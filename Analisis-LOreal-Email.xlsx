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drawings/drawing3.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4.xml" ContentType="application/vnd.openxmlformats-officedocument.drawing+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drawings/drawing5.xml" ContentType="application/vnd.openxmlformats-officedocument.drawing+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drawings/drawing6.xml" ContentType="application/vnd.openxmlformats-officedocument.drawing+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drawings/drawing7.xml" ContentType="application/vnd.openxmlformats-officedocument.drawing+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drawings/drawing8.xml" ContentType="application/vnd.openxmlformats-officedocument.drawing+xml"/>
  <Override PartName="/xl/charts/chart40.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mc:AlternateContent xmlns:mc="http://schemas.openxmlformats.org/markup-compatibility/2006">
    <mc:Choice Requires="x15">
      <x15ac:absPath xmlns:x15ac="http://schemas.microsoft.com/office/spreadsheetml/2010/11/ac" url="/Users/josemartinez/Desktop/Personal/Caso LOreal DDX/ENTREGA/"/>
    </mc:Choice>
  </mc:AlternateContent>
  <xr:revisionPtr revIDLastSave="0" documentId="13_ncr:20001_{CAF0644A-076A-634A-9317-1EA04A938734}" xr6:coauthVersionLast="47" xr6:coauthVersionMax="47" xr10:uidLastSave="{00000000-0000-0000-0000-000000000000}"/>
  <bookViews>
    <workbookView xWindow="0" yWindow="500" windowWidth="28800" windowHeight="16300" tabRatio="500" activeTab="8" xr2:uid="{00000000-000D-0000-FFFF-FFFF00000000}"/>
  </bookViews>
  <sheets>
    <sheet name="LÉEME" sheetId="1" r:id="rId1"/>
    <sheet name="TABLERO PRO" sheetId="17" r:id="rId2"/>
    <sheet name="PRUEBA DE ROBUSTEZ" sheetId="18" r:id="rId3"/>
    <sheet name="TABLERO" sheetId="2" r:id="rId4"/>
    <sheet name="HALLAZGOS" sheetId="3" r:id="rId5"/>
    <sheet name="H0 DATOS" sheetId="4" r:id="rId6"/>
    <sheet name="H1 CALENDARIO" sheetId="5" r:id="rId7"/>
    <sheet name="H2 CAMPAÑA" sheetId="6" r:id="rId8"/>
    <sheet name="H3 ASUNTO" sheetId="7" r:id="rId9"/>
    <sheet name="H4 TEMÁTICA HOT SALE" sheetId="8" r:id="rId10"/>
    <sheet name="RANKING ASUNTOS" sheetId="9" r:id="rId11"/>
    <sheet name="PROYECCIÓN COP" sheetId="10" r:id="rId12"/>
    <sheet name="PRUEBA AB" sheetId="11" r:id="rId13"/>
    <sheet name="FÓRMULAS Y VERIFICACIÓN" sheetId="12" r:id="rId14"/>
    <sheet name="DATOS LIMPIOS" sheetId="13" r:id="rId15"/>
    <sheet name="FILAS EXCLUIDAS" sheetId="14" r:id="rId16"/>
    <sheet name="_datos_graficos" sheetId="15" state="hidden" r:id="rId17"/>
    <sheet name="_calculos" sheetId="16" state="hidden" r:id="rId18"/>
    <sheet name="DESCUENTO ÓPTIMO" sheetId="19" r:id="rId19"/>
    <sheet name="BIBLIOTECA ASUNTOS" sheetId="20" r:id="rId20"/>
  </sheets>
  <definedNames>
    <definedName name="_xlnm._FilterDatabase" localSheetId="14" hidden="1">'DATOS LIMPIOS'!$A$4:$AT$493</definedName>
    <definedName name="_xlnm.Print_Area" localSheetId="19">'BIBLIOTECA ASUNTOS'!$A$1:$I$39</definedName>
    <definedName name="_xlnm.Print_Area" localSheetId="18">'DESCUENTO ÓPTIMO'!$A$1:$L$37</definedName>
    <definedName name="_xlnm.Print_Area" localSheetId="0">LÉEME!$A$1:$F$26</definedName>
    <definedName name="_xlnm.Print_Area" localSheetId="2">'PRUEBA DE ROBUSTEZ'!$A$1:$I$49</definedName>
    <definedName name="_xlnm.Print_Area" localSheetId="1">'TABLERO PRO'!$A$1:$R$39</definedName>
  </definedNames>
  <calcPr calcId="191029" iterateDelta="1E-4"/>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F31" i="20" l="1"/>
  <c r="E31" i="20"/>
  <c r="D31" i="20"/>
  <c r="B31" i="20"/>
  <c r="A31" i="20"/>
  <c r="F30" i="20"/>
  <c r="E30" i="20"/>
  <c r="D30" i="20"/>
  <c r="B30" i="20"/>
  <c r="A30" i="20"/>
  <c r="F29" i="20"/>
  <c r="E29" i="20"/>
  <c r="D29" i="20"/>
  <c r="B29" i="20"/>
  <c r="A29" i="20"/>
  <c r="F28" i="20"/>
  <c r="E28" i="20"/>
  <c r="D28" i="20"/>
  <c r="B28" i="20"/>
  <c r="A28" i="20"/>
  <c r="F27" i="20"/>
  <c r="E27" i="20"/>
  <c r="D27" i="20"/>
  <c r="B27" i="20"/>
  <c r="A27" i="20"/>
  <c r="F26" i="20"/>
  <c r="E26" i="20"/>
  <c r="D26" i="20"/>
  <c r="B26" i="20"/>
  <c r="A26" i="20"/>
  <c r="F25" i="20"/>
  <c r="E25" i="20"/>
  <c r="D25" i="20"/>
  <c r="B25" i="20"/>
  <c r="A25" i="20"/>
  <c r="F24" i="20"/>
  <c r="E24" i="20"/>
  <c r="D24" i="20"/>
  <c r="B24" i="20"/>
  <c r="A24" i="20"/>
  <c r="F23" i="20"/>
  <c r="E23" i="20"/>
  <c r="D23" i="20"/>
  <c r="B23" i="20"/>
  <c r="A23" i="20"/>
  <c r="F22" i="20"/>
  <c r="E22" i="20"/>
  <c r="D22" i="20"/>
  <c r="B22" i="20"/>
  <c r="A22" i="20"/>
  <c r="F21" i="20"/>
  <c r="E21" i="20"/>
  <c r="D21" i="20"/>
  <c r="B21" i="20"/>
  <c r="A21" i="20"/>
  <c r="F20" i="20"/>
  <c r="E20" i="20"/>
  <c r="D20" i="20"/>
  <c r="B20" i="20"/>
  <c r="A20" i="20"/>
  <c r="F19" i="20"/>
  <c r="E19" i="20"/>
  <c r="D19" i="20"/>
  <c r="B19" i="20"/>
  <c r="A19" i="20"/>
  <c r="F18" i="20"/>
  <c r="E18" i="20"/>
  <c r="D18" i="20"/>
  <c r="B18" i="20"/>
  <c r="A18" i="20"/>
  <c r="F17" i="20"/>
  <c r="E17" i="20"/>
  <c r="D17" i="20"/>
  <c r="B17" i="20"/>
  <c r="A17" i="20"/>
  <c r="F16" i="20"/>
  <c r="E16" i="20"/>
  <c r="D16" i="20"/>
  <c r="B16" i="20"/>
  <c r="A16" i="20"/>
  <c r="F15" i="20"/>
  <c r="E15" i="20"/>
  <c r="D15" i="20"/>
  <c r="B15" i="20"/>
  <c r="A15" i="20"/>
  <c r="F14" i="20"/>
  <c r="E14" i="20"/>
  <c r="D14" i="20"/>
  <c r="B14" i="20"/>
  <c r="A14" i="20"/>
  <c r="F13" i="20"/>
  <c r="E13" i="20"/>
  <c r="D13" i="20"/>
  <c r="B13" i="20"/>
  <c r="A13" i="20"/>
  <c r="F12" i="20"/>
  <c r="E12" i="20"/>
  <c r="D12" i="20"/>
  <c r="B12" i="20"/>
  <c r="A12" i="20"/>
  <c r="F11" i="20"/>
  <c r="E11" i="20"/>
  <c r="D11" i="20"/>
  <c r="B11" i="20"/>
  <c r="A11" i="20"/>
  <c r="F10" i="20"/>
  <c r="E10" i="20"/>
  <c r="D10" i="20"/>
  <c r="B10" i="20"/>
  <c r="A10" i="20"/>
  <c r="D34" i="19"/>
  <c r="C34" i="19"/>
  <c r="B34" i="19"/>
  <c r="D33" i="19"/>
  <c r="C33" i="19"/>
  <c r="B33" i="19"/>
  <c r="D32" i="19"/>
  <c r="C32" i="19"/>
  <c r="B32" i="19"/>
  <c r="C31" i="19"/>
  <c r="B31" i="19"/>
  <c r="D31" i="19" s="1"/>
  <c r="C30" i="19"/>
  <c r="B30" i="19"/>
  <c r="C29" i="19"/>
  <c r="B29" i="19"/>
  <c r="C28" i="19"/>
  <c r="D28" i="19" s="1"/>
  <c r="B28" i="19"/>
  <c r="C27" i="19"/>
  <c r="D27" i="19" s="1"/>
  <c r="B27" i="19"/>
  <c r="C26" i="19"/>
  <c r="D26" i="19" s="1"/>
  <c r="B26" i="19"/>
  <c r="D25" i="19"/>
  <c r="C25" i="19"/>
  <c r="B25" i="19"/>
  <c r="D24" i="19"/>
  <c r="C24" i="19"/>
  <c r="B24" i="19"/>
  <c r="C23" i="19"/>
  <c r="B23" i="19"/>
  <c r="D23" i="19" s="1"/>
  <c r="C22" i="19"/>
  <c r="B22" i="19"/>
  <c r="D22" i="19" s="1"/>
  <c r="C21" i="19"/>
  <c r="B21" i="19"/>
  <c r="D21" i="19" s="1"/>
  <c r="C20" i="19"/>
  <c r="D20" i="19" s="1"/>
  <c r="B20" i="19"/>
  <c r="D16" i="19"/>
  <c r="D15" i="19"/>
  <c r="D14" i="19"/>
  <c r="D11" i="19"/>
  <c r="D13" i="19" s="1"/>
  <c r="B208" i="16"/>
  <c r="B207" i="16"/>
  <c r="B206" i="16"/>
  <c r="B205" i="16"/>
  <c r="B204" i="16"/>
  <c r="B203" i="16"/>
  <c r="B202" i="16"/>
  <c r="B201" i="16"/>
  <c r="B200" i="16"/>
  <c r="B199" i="16"/>
  <c r="B198" i="16"/>
  <c r="B197" i="16"/>
  <c r="B196" i="16"/>
  <c r="B195" i="16"/>
  <c r="B194" i="16"/>
  <c r="B193" i="16"/>
  <c r="B192" i="16"/>
  <c r="B191" i="16"/>
  <c r="B190" i="16"/>
  <c r="B189" i="16"/>
  <c r="B188" i="16"/>
  <c r="B187" i="16"/>
  <c r="B186" i="16"/>
  <c r="B185" i="16"/>
  <c r="B184" i="16"/>
  <c r="B183" i="16"/>
  <c r="B182" i="16"/>
  <c r="B181" i="16"/>
  <c r="B180" i="16"/>
  <c r="B179" i="16"/>
  <c r="B178" i="16"/>
  <c r="B177" i="16"/>
  <c r="B176" i="16"/>
  <c r="B175" i="16"/>
  <c r="B174" i="16"/>
  <c r="B173" i="16"/>
  <c r="B172" i="16"/>
  <c r="B171" i="16"/>
  <c r="B170" i="16"/>
  <c r="B169" i="16"/>
  <c r="B168" i="16"/>
  <c r="B167" i="16"/>
  <c r="B166" i="16"/>
  <c r="B165" i="16"/>
  <c r="B164" i="16"/>
  <c r="B163" i="16"/>
  <c r="B162" i="16"/>
  <c r="B161" i="16"/>
  <c r="B160" i="16"/>
  <c r="B159" i="16"/>
  <c r="B158" i="16"/>
  <c r="B157" i="16"/>
  <c r="B156" i="16"/>
  <c r="B155" i="16"/>
  <c r="B154" i="16"/>
  <c r="B153" i="16"/>
  <c r="B152" i="16"/>
  <c r="B151" i="16"/>
  <c r="B150" i="16"/>
  <c r="B149" i="16"/>
  <c r="B148" i="16"/>
  <c r="B147" i="16"/>
  <c r="B146" i="16"/>
  <c r="B145" i="16"/>
  <c r="B144" i="16"/>
  <c r="B143" i="16"/>
  <c r="B142" i="16"/>
  <c r="B141" i="16"/>
  <c r="B140" i="16"/>
  <c r="B139" i="16"/>
  <c r="B138" i="16"/>
  <c r="B137" i="16"/>
  <c r="B136" i="16"/>
  <c r="B135" i="16"/>
  <c r="B134" i="16"/>
  <c r="B133" i="16"/>
  <c r="B132" i="16"/>
  <c r="B131" i="16"/>
  <c r="B130" i="16"/>
  <c r="B129" i="16"/>
  <c r="B128" i="16"/>
  <c r="B127" i="16"/>
  <c r="B126" i="16"/>
  <c r="B125" i="16"/>
  <c r="B124" i="16"/>
  <c r="B123" i="16"/>
  <c r="B122" i="16"/>
  <c r="B121" i="16"/>
  <c r="B120" i="16"/>
  <c r="B119" i="16"/>
  <c r="B118" i="16"/>
  <c r="B117" i="16"/>
  <c r="F4" i="16"/>
  <c r="C4" i="16"/>
  <c r="B4" i="16" a="1"/>
  <c r="B4" i="16" s="1"/>
  <c r="AT493" i="13"/>
  <c r="AS493" i="13"/>
  <c r="AQ493" i="13"/>
  <c r="AP493" i="13"/>
  <c r="AR493" i="13" s="1"/>
  <c r="AO493" i="13"/>
  <c r="AN493" i="13"/>
  <c r="AM493" i="13"/>
  <c r="AK493" i="13"/>
  <c r="AJ493" i="13"/>
  <c r="AI493" i="13"/>
  <c r="AL493" i="13" s="1"/>
  <c r="AH493" i="13"/>
  <c r="AG493" i="13"/>
  <c r="AF493" i="13"/>
  <c r="AC493" i="13"/>
  <c r="AA493" i="13"/>
  <c r="Z493" i="13"/>
  <c r="V493" i="13"/>
  <c r="T493" i="13"/>
  <c r="S493" i="13"/>
  <c r="W493" i="13" s="1"/>
  <c r="P493" i="13"/>
  <c r="O493" i="13"/>
  <c r="N493" i="13"/>
  <c r="M493" i="13"/>
  <c r="AT492" i="13"/>
  <c r="AS492" i="13"/>
  <c r="AQ492" i="13"/>
  <c r="AR492" i="13" s="1"/>
  <c r="AP492" i="13"/>
  <c r="AO492" i="13"/>
  <c r="AN492" i="13"/>
  <c r="AM492" i="13"/>
  <c r="AK492" i="13"/>
  <c r="AJ492" i="13"/>
  <c r="AI492" i="13"/>
  <c r="AL492" i="13" s="1"/>
  <c r="AH492" i="13"/>
  <c r="AG492" i="13"/>
  <c r="AF492" i="13"/>
  <c r="AC492" i="13"/>
  <c r="AA492" i="13"/>
  <c r="Z492" i="13"/>
  <c r="V492" i="13"/>
  <c r="S492" i="13"/>
  <c r="P492" i="13"/>
  <c r="O492" i="13"/>
  <c r="N492" i="13"/>
  <c r="M492" i="13"/>
  <c r="AT491" i="13"/>
  <c r="AS491" i="13"/>
  <c r="AR491" i="13"/>
  <c r="AQ491" i="13"/>
  <c r="AP491" i="13"/>
  <c r="AO491" i="13"/>
  <c r="AN491" i="13"/>
  <c r="AM491" i="13"/>
  <c r="AL491" i="13"/>
  <c r="AK491" i="13"/>
  <c r="AJ491" i="13"/>
  <c r="AI491" i="13"/>
  <c r="AH491" i="13"/>
  <c r="AG491" i="13"/>
  <c r="AF491" i="13"/>
  <c r="AC491" i="13"/>
  <c r="AA491" i="13"/>
  <c r="Z491" i="13"/>
  <c r="V491" i="13"/>
  <c r="U491" i="13"/>
  <c r="T491" i="13"/>
  <c r="S491" i="13"/>
  <c r="P491" i="13"/>
  <c r="O491" i="13"/>
  <c r="N491" i="13"/>
  <c r="M491" i="13"/>
  <c r="AS490" i="13"/>
  <c r="AR490" i="13"/>
  <c r="AQ490" i="13"/>
  <c r="AP490" i="13"/>
  <c r="AO490" i="13"/>
  <c r="AN490" i="13"/>
  <c r="AM490" i="13"/>
  <c r="AK490" i="13"/>
  <c r="AH490" i="13"/>
  <c r="AG490" i="13"/>
  <c r="AF490" i="13"/>
  <c r="AI490" i="13" s="1"/>
  <c r="AC490" i="13"/>
  <c r="AA490" i="13"/>
  <c r="Z490" i="13"/>
  <c r="W490" i="13"/>
  <c r="V490" i="13"/>
  <c r="U490" i="13"/>
  <c r="T490" i="13"/>
  <c r="S490" i="13"/>
  <c r="P490" i="13"/>
  <c r="O490" i="13"/>
  <c r="N490" i="13"/>
  <c r="M490" i="13"/>
  <c r="AT489" i="13"/>
  <c r="AS489" i="13"/>
  <c r="AQ489" i="13"/>
  <c r="AP489" i="13"/>
  <c r="AO489" i="13"/>
  <c r="AR489" i="13" s="1"/>
  <c r="AN489" i="13"/>
  <c r="AM489" i="13"/>
  <c r="AH489" i="13"/>
  <c r="AG489" i="13"/>
  <c r="AK489" i="13" s="1"/>
  <c r="AF489" i="13"/>
  <c r="AC489" i="13"/>
  <c r="AA489" i="13"/>
  <c r="Z489" i="13"/>
  <c r="W489" i="13"/>
  <c r="V489" i="13"/>
  <c r="U489" i="13"/>
  <c r="T489" i="13"/>
  <c r="S489" i="13"/>
  <c r="P489" i="13"/>
  <c r="O489" i="13"/>
  <c r="N489" i="13"/>
  <c r="M489" i="13"/>
  <c r="AS488" i="13"/>
  <c r="AQ488" i="13"/>
  <c r="AP488" i="13"/>
  <c r="AO488" i="13"/>
  <c r="AR488" i="13" s="1"/>
  <c r="AN488" i="13"/>
  <c r="AM488" i="13"/>
  <c r="AH488" i="13"/>
  <c r="AG488" i="13"/>
  <c r="AK488" i="13" s="1"/>
  <c r="AF488" i="13"/>
  <c r="AJ488" i="13" s="1"/>
  <c r="AC488" i="13"/>
  <c r="AA488" i="13"/>
  <c r="Z488" i="13"/>
  <c r="V488" i="13"/>
  <c r="S488" i="13"/>
  <c r="P488" i="13"/>
  <c r="O488" i="13"/>
  <c r="N488" i="13"/>
  <c r="M488" i="13"/>
  <c r="AS487" i="13"/>
  <c r="AQ487" i="13"/>
  <c r="AP487" i="13"/>
  <c r="AR487" i="13" s="1"/>
  <c r="AO487" i="13"/>
  <c r="AN487" i="13"/>
  <c r="AM487" i="13"/>
  <c r="AK487" i="13"/>
  <c r="AJ487" i="13"/>
  <c r="AH487" i="13"/>
  <c r="AG487" i="13"/>
  <c r="AF487" i="13"/>
  <c r="AI487" i="13" s="1"/>
  <c r="AL487" i="13" s="1"/>
  <c r="AC487" i="13"/>
  <c r="AA487" i="13"/>
  <c r="Z487" i="13"/>
  <c r="V487" i="13"/>
  <c r="T487" i="13"/>
  <c r="S487" i="13"/>
  <c r="W487" i="13" s="1"/>
  <c r="P487" i="13"/>
  <c r="O487" i="13"/>
  <c r="N487" i="13"/>
  <c r="M487" i="13"/>
  <c r="AT486" i="13"/>
  <c r="AS486" i="13"/>
  <c r="AQ486" i="13"/>
  <c r="AP486" i="13"/>
  <c r="AR486" i="13" s="1"/>
  <c r="AO486" i="13"/>
  <c r="AN486" i="13"/>
  <c r="AM486" i="13"/>
  <c r="AL486" i="13"/>
  <c r="AK486" i="13"/>
  <c r="AJ486" i="13"/>
  <c r="AH486" i="13"/>
  <c r="AG486" i="13"/>
  <c r="AF486" i="13"/>
  <c r="AI486" i="13" s="1"/>
  <c r="AC486" i="13"/>
  <c r="AA486" i="13"/>
  <c r="Z486" i="13"/>
  <c r="W486" i="13"/>
  <c r="V486" i="13"/>
  <c r="U486" i="13"/>
  <c r="T486" i="13"/>
  <c r="S486" i="13"/>
  <c r="P486" i="13"/>
  <c r="O486" i="13"/>
  <c r="N486" i="13"/>
  <c r="M486" i="13"/>
  <c r="AT485" i="13"/>
  <c r="AS485" i="13"/>
  <c r="AR485" i="13"/>
  <c r="AQ485" i="13"/>
  <c r="AP485" i="13"/>
  <c r="AO485" i="13"/>
  <c r="AN485" i="13"/>
  <c r="AM485" i="13"/>
  <c r="AH485" i="13"/>
  <c r="AG485" i="13"/>
  <c r="AK485" i="13" s="1"/>
  <c r="AF485" i="13"/>
  <c r="AI485" i="13" s="1"/>
  <c r="AC485" i="13"/>
  <c r="AA485" i="13"/>
  <c r="Z485" i="13"/>
  <c r="W485" i="13"/>
  <c r="V485" i="13"/>
  <c r="U485" i="13"/>
  <c r="T485" i="13"/>
  <c r="S485" i="13"/>
  <c r="P485" i="13"/>
  <c r="O485" i="13"/>
  <c r="N485" i="13"/>
  <c r="M485" i="13"/>
  <c r="AT484" i="13"/>
  <c r="AS484" i="13"/>
  <c r="AQ484" i="13"/>
  <c r="AP484" i="13"/>
  <c r="AR484" i="13" s="1"/>
  <c r="AO484" i="13"/>
  <c r="AN484" i="13"/>
  <c r="AM484" i="13"/>
  <c r="AJ484" i="13"/>
  <c r="AH484" i="13"/>
  <c r="AG484" i="13"/>
  <c r="AK484" i="13" s="1"/>
  <c r="AF484" i="13"/>
  <c r="AC484" i="13"/>
  <c r="AA484" i="13"/>
  <c r="Z484" i="13"/>
  <c r="V484" i="13"/>
  <c r="T484" i="13"/>
  <c r="S484" i="13"/>
  <c r="U484" i="13" s="1"/>
  <c r="P484" i="13"/>
  <c r="O484" i="13"/>
  <c r="N484" i="13"/>
  <c r="M484" i="13"/>
  <c r="AT483" i="13"/>
  <c r="AS483" i="13"/>
  <c r="AQ483" i="13"/>
  <c r="AP483" i="13"/>
  <c r="AR483" i="13" s="1"/>
  <c r="AO483" i="13"/>
  <c r="AN483" i="13"/>
  <c r="AM483" i="13"/>
  <c r="AL483" i="13"/>
  <c r="AK483" i="13"/>
  <c r="AJ483" i="13"/>
  <c r="AI483" i="13"/>
  <c r="AH483" i="13"/>
  <c r="AG483" i="13"/>
  <c r="AF483" i="13"/>
  <c r="AC483" i="13"/>
  <c r="AA483" i="13"/>
  <c r="Z483" i="13"/>
  <c r="W483" i="13"/>
  <c r="V483" i="13"/>
  <c r="U483" i="13"/>
  <c r="T483" i="13"/>
  <c r="S483" i="13"/>
  <c r="P483" i="13"/>
  <c r="O483" i="13"/>
  <c r="N483" i="13"/>
  <c r="M483" i="13"/>
  <c r="AT482" i="13"/>
  <c r="AS482" i="13"/>
  <c r="AR482" i="13"/>
  <c r="AQ482" i="13"/>
  <c r="AP482" i="13"/>
  <c r="AO482" i="13"/>
  <c r="AN482" i="13"/>
  <c r="AM482" i="13"/>
  <c r="AH482" i="13"/>
  <c r="AG482" i="13"/>
  <c r="AK482" i="13" s="1"/>
  <c r="AF482" i="13"/>
  <c r="AC482" i="13"/>
  <c r="AA482" i="13"/>
  <c r="Z482" i="13"/>
  <c r="W482" i="13"/>
  <c r="V482" i="13"/>
  <c r="U482" i="13"/>
  <c r="T482" i="13"/>
  <c r="S482" i="13"/>
  <c r="P482" i="13"/>
  <c r="O482" i="13"/>
  <c r="N482" i="13"/>
  <c r="M482" i="13"/>
  <c r="AS481" i="13"/>
  <c r="AQ481" i="13"/>
  <c r="AP481" i="13"/>
  <c r="AO481" i="13"/>
  <c r="AR481" i="13" s="1"/>
  <c r="AN481" i="13"/>
  <c r="AM481" i="13"/>
  <c r="AH481" i="13"/>
  <c r="AG481" i="13"/>
  <c r="AK481" i="13" s="1"/>
  <c r="AF481" i="13"/>
  <c r="AC481" i="13"/>
  <c r="AA481" i="13"/>
  <c r="Z481" i="13"/>
  <c r="V481" i="13"/>
  <c r="S481" i="13"/>
  <c r="P481" i="13"/>
  <c r="O481" i="13"/>
  <c r="N481" i="13"/>
  <c r="M481" i="13"/>
  <c r="AS480" i="13"/>
  <c r="AR480" i="13"/>
  <c r="AQ480" i="13"/>
  <c r="AP480" i="13"/>
  <c r="AO480" i="13"/>
  <c r="AN480" i="13"/>
  <c r="AM480" i="13"/>
  <c r="AK480" i="13"/>
  <c r="AH480" i="13"/>
  <c r="AG480" i="13"/>
  <c r="AF480" i="13"/>
  <c r="AC480" i="13"/>
  <c r="AA480" i="13"/>
  <c r="Z480" i="13"/>
  <c r="V480" i="13"/>
  <c r="U480" i="13"/>
  <c r="T480" i="13"/>
  <c r="S480" i="13"/>
  <c r="W480" i="13" s="1"/>
  <c r="P480" i="13"/>
  <c r="O480" i="13"/>
  <c r="N480" i="13"/>
  <c r="M480" i="13"/>
  <c r="AT479" i="13"/>
  <c r="AS479" i="13"/>
  <c r="AQ479" i="13"/>
  <c r="AP479" i="13"/>
  <c r="AR479" i="13" s="1"/>
  <c r="AO479" i="13"/>
  <c r="AN479" i="13"/>
  <c r="AM479" i="13"/>
  <c r="AK479" i="13"/>
  <c r="AJ479" i="13"/>
  <c r="AL479" i="13" s="1"/>
  <c r="AI479" i="13"/>
  <c r="AH479" i="13"/>
  <c r="AG479" i="13"/>
  <c r="AF479" i="13"/>
  <c r="AC479" i="13"/>
  <c r="AA479" i="13"/>
  <c r="Z479" i="13"/>
  <c r="W479" i="13"/>
  <c r="V479" i="13"/>
  <c r="U479" i="13"/>
  <c r="T479" i="13"/>
  <c r="S479" i="13"/>
  <c r="P479" i="13"/>
  <c r="O479" i="13"/>
  <c r="N479" i="13"/>
  <c r="M479" i="13"/>
  <c r="AS478" i="13"/>
  <c r="AQ478" i="13"/>
  <c r="AP478" i="13"/>
  <c r="AO478" i="13"/>
  <c r="AR478" i="13" s="1"/>
  <c r="AN478" i="13"/>
  <c r="AM478" i="13"/>
  <c r="AH478" i="13"/>
  <c r="AG478" i="13"/>
  <c r="AK478" i="13" s="1"/>
  <c r="AF478" i="13"/>
  <c r="AC478" i="13"/>
  <c r="AA478" i="13"/>
  <c r="Z478" i="13"/>
  <c r="W478" i="13"/>
  <c r="V478" i="13"/>
  <c r="U478" i="13"/>
  <c r="T478" i="13"/>
  <c r="S478" i="13"/>
  <c r="P478" i="13"/>
  <c r="O478" i="13"/>
  <c r="N478" i="13"/>
  <c r="M478" i="13"/>
  <c r="AT477" i="13"/>
  <c r="AS477" i="13"/>
  <c r="AQ477" i="13"/>
  <c r="AP477" i="13"/>
  <c r="AO477" i="13"/>
  <c r="AN477" i="13"/>
  <c r="AM477" i="13"/>
  <c r="AI477" i="13"/>
  <c r="AL477" i="13" s="1"/>
  <c r="AH477" i="13"/>
  <c r="AG477" i="13"/>
  <c r="AK477" i="13" s="1"/>
  <c r="AF477" i="13"/>
  <c r="AJ477" i="13" s="1"/>
  <c r="AC477" i="13"/>
  <c r="AA477" i="13"/>
  <c r="Z477" i="13"/>
  <c r="V477" i="13"/>
  <c r="S477" i="13"/>
  <c r="P477" i="13"/>
  <c r="O477" i="13"/>
  <c r="N477" i="13"/>
  <c r="M477" i="13"/>
  <c r="AS476" i="13"/>
  <c r="AQ476" i="13"/>
  <c r="AP476" i="13"/>
  <c r="AR476" i="13" s="1"/>
  <c r="AO476" i="13"/>
  <c r="AN476" i="13"/>
  <c r="AM476" i="13"/>
  <c r="AK476" i="13"/>
  <c r="AJ476" i="13"/>
  <c r="AH476" i="13"/>
  <c r="AG476" i="13"/>
  <c r="AF476" i="13"/>
  <c r="AT476" i="13" s="1"/>
  <c r="AC476" i="13"/>
  <c r="AA476" i="13"/>
  <c r="Z476" i="13"/>
  <c r="V476" i="13"/>
  <c r="S476" i="13"/>
  <c r="W476" i="13" s="1"/>
  <c r="P476" i="13"/>
  <c r="O476" i="13"/>
  <c r="N476" i="13"/>
  <c r="M476" i="13"/>
  <c r="AT475" i="13"/>
  <c r="AS475" i="13"/>
  <c r="AQ475" i="13"/>
  <c r="AP475" i="13"/>
  <c r="AR475" i="13" s="1"/>
  <c r="AO475" i="13"/>
  <c r="AN475" i="13"/>
  <c r="AM475" i="13"/>
  <c r="AK475" i="13"/>
  <c r="AJ475" i="13"/>
  <c r="AL475" i="13" s="1"/>
  <c r="AI475" i="13"/>
  <c r="AH475" i="13"/>
  <c r="AG475" i="13"/>
  <c r="AF475" i="13"/>
  <c r="AC475" i="13"/>
  <c r="AA475" i="13"/>
  <c r="Z475" i="13"/>
  <c r="W475" i="13"/>
  <c r="V475" i="13"/>
  <c r="U475" i="13"/>
  <c r="T475" i="13"/>
  <c r="S475" i="13"/>
  <c r="P475" i="13"/>
  <c r="O475" i="13"/>
  <c r="N475" i="13"/>
  <c r="M475" i="13"/>
  <c r="AT474" i="13"/>
  <c r="AS474" i="13"/>
  <c r="AQ474" i="13"/>
  <c r="AP474" i="13"/>
  <c r="AO474" i="13"/>
  <c r="AR474" i="13" s="1"/>
  <c r="AN474" i="13"/>
  <c r="AM474" i="13"/>
  <c r="AH474" i="13"/>
  <c r="AG474" i="13"/>
  <c r="AK474" i="13" s="1"/>
  <c r="AF474" i="13"/>
  <c r="AC474" i="13"/>
  <c r="AA474" i="13"/>
  <c r="Z474" i="13"/>
  <c r="W474" i="13"/>
  <c r="V474" i="13"/>
  <c r="U474" i="13"/>
  <c r="T474" i="13"/>
  <c r="S474" i="13"/>
  <c r="P474" i="13"/>
  <c r="O474" i="13"/>
  <c r="N474" i="13"/>
  <c r="M474" i="13"/>
  <c r="AS473" i="13"/>
  <c r="AQ473" i="13"/>
  <c r="AP473" i="13"/>
  <c r="AO473" i="13"/>
  <c r="AR473" i="13" s="1"/>
  <c r="AN473" i="13"/>
  <c r="AM473" i="13"/>
  <c r="AH473" i="13"/>
  <c r="AG473" i="13"/>
  <c r="AK473" i="13" s="1"/>
  <c r="AF473" i="13"/>
  <c r="AJ473" i="13" s="1"/>
  <c r="AC473" i="13"/>
  <c r="AA473" i="13"/>
  <c r="Z473" i="13"/>
  <c r="V473" i="13"/>
  <c r="S473" i="13"/>
  <c r="P473" i="13"/>
  <c r="O473" i="13"/>
  <c r="N473" i="13"/>
  <c r="M473" i="13"/>
  <c r="AS472" i="13"/>
  <c r="AR472" i="13"/>
  <c r="AQ472" i="13"/>
  <c r="AP472" i="13"/>
  <c r="AO472" i="13"/>
  <c r="AN472" i="13"/>
  <c r="AM472" i="13"/>
  <c r="AJ472" i="13"/>
  <c r="AH472" i="13"/>
  <c r="AG472" i="13"/>
  <c r="AK472" i="13" s="1"/>
  <c r="AF472" i="13"/>
  <c r="AT472" i="13" s="1"/>
  <c r="AC472" i="13"/>
  <c r="AA472" i="13"/>
  <c r="Z472" i="13"/>
  <c r="V472" i="13"/>
  <c r="T472" i="13"/>
  <c r="S472" i="13"/>
  <c r="W472" i="13" s="1"/>
  <c r="P472" i="13"/>
  <c r="O472" i="13"/>
  <c r="N472" i="13"/>
  <c r="M472" i="13"/>
  <c r="AT471" i="13"/>
  <c r="AS471" i="13"/>
  <c r="AQ471" i="13"/>
  <c r="AP471" i="13"/>
  <c r="AR471" i="13" s="1"/>
  <c r="AO471" i="13"/>
  <c r="AN471" i="13"/>
  <c r="AM471" i="13"/>
  <c r="AK471" i="13"/>
  <c r="AJ471" i="13"/>
  <c r="AI471" i="13"/>
  <c r="AL471" i="13" s="1"/>
  <c r="AH471" i="13"/>
  <c r="AG471" i="13"/>
  <c r="AF471" i="13"/>
  <c r="AC471" i="13"/>
  <c r="AA471" i="13"/>
  <c r="Z471" i="13"/>
  <c r="W471" i="13"/>
  <c r="V471" i="13"/>
  <c r="T471" i="13"/>
  <c r="S471" i="13"/>
  <c r="P471" i="13"/>
  <c r="O471" i="13"/>
  <c r="N471" i="13"/>
  <c r="M471" i="13"/>
  <c r="AS470" i="13"/>
  <c r="AQ470" i="13"/>
  <c r="AP470" i="13"/>
  <c r="AO470" i="13"/>
  <c r="AR470" i="13" s="1"/>
  <c r="AN470" i="13"/>
  <c r="AM470" i="13"/>
  <c r="AH470" i="13"/>
  <c r="AG470" i="13"/>
  <c r="AK470" i="13" s="1"/>
  <c r="AF470" i="13"/>
  <c r="AC470" i="13"/>
  <c r="AA470" i="13"/>
  <c r="Z470" i="13"/>
  <c r="W470" i="13"/>
  <c r="V470" i="13"/>
  <c r="U470" i="13"/>
  <c r="T470" i="13"/>
  <c r="S470" i="13"/>
  <c r="P470" i="13"/>
  <c r="O470" i="13"/>
  <c r="N470" i="13"/>
  <c r="M470" i="13"/>
  <c r="AS469" i="13"/>
  <c r="AQ469" i="13"/>
  <c r="AP469" i="13"/>
  <c r="AO469" i="13"/>
  <c r="AR469" i="13" s="1"/>
  <c r="AN469" i="13"/>
  <c r="AM469" i="13"/>
  <c r="AH469" i="13"/>
  <c r="AG469" i="13"/>
  <c r="AK469" i="13" s="1"/>
  <c r="AF469" i="13"/>
  <c r="AJ469" i="13" s="1"/>
  <c r="AC469" i="13"/>
  <c r="AA469" i="13"/>
  <c r="Z469" i="13"/>
  <c r="V469" i="13"/>
  <c r="U469" i="13"/>
  <c r="S469" i="13"/>
  <c r="P469" i="13"/>
  <c r="O469" i="13"/>
  <c r="N469" i="13"/>
  <c r="M469" i="13"/>
  <c r="AS468" i="13"/>
  <c r="AR468" i="13"/>
  <c r="AQ468" i="13"/>
  <c r="AP468" i="13"/>
  <c r="AO468" i="13"/>
  <c r="AN468" i="13"/>
  <c r="AM468" i="13"/>
  <c r="AK468" i="13"/>
  <c r="AJ468" i="13"/>
  <c r="AI468" i="13"/>
  <c r="AL468" i="13" s="1"/>
  <c r="AH468" i="13"/>
  <c r="AG468" i="13"/>
  <c r="AF468" i="13"/>
  <c r="AT468" i="13" s="1"/>
  <c r="AC468" i="13"/>
  <c r="AA468" i="13"/>
  <c r="Z468" i="13"/>
  <c r="V468" i="13"/>
  <c r="S468" i="13"/>
  <c r="P468" i="13"/>
  <c r="O468" i="13"/>
  <c r="N468" i="13"/>
  <c r="M468" i="13"/>
  <c r="AT467" i="13"/>
  <c r="AS467" i="13"/>
  <c r="AR467" i="13"/>
  <c r="AQ467" i="13"/>
  <c r="AP467" i="13"/>
  <c r="AO467" i="13"/>
  <c r="AN467" i="13"/>
  <c r="AM467" i="13"/>
  <c r="AK467" i="13"/>
  <c r="AJ467" i="13"/>
  <c r="AI467" i="13"/>
  <c r="AL467" i="13" s="1"/>
  <c r="AH467" i="13"/>
  <c r="AG467" i="13"/>
  <c r="AF467" i="13"/>
  <c r="AC467" i="13"/>
  <c r="AA467" i="13"/>
  <c r="Z467" i="13"/>
  <c r="V467" i="13"/>
  <c r="T467" i="13"/>
  <c r="S467" i="13"/>
  <c r="P467" i="13"/>
  <c r="O467" i="13"/>
  <c r="N467" i="13"/>
  <c r="M467" i="13"/>
  <c r="AT466" i="13"/>
  <c r="AS466" i="13"/>
  <c r="AR466" i="13"/>
  <c r="AQ466" i="13"/>
  <c r="AP466" i="13"/>
  <c r="AO466" i="13"/>
  <c r="AN466" i="13"/>
  <c r="AM466" i="13"/>
  <c r="AL466" i="13"/>
  <c r="AK466" i="13"/>
  <c r="AJ466" i="13"/>
  <c r="AH466" i="13"/>
  <c r="AG466" i="13"/>
  <c r="AF466" i="13"/>
  <c r="AI466" i="13" s="1"/>
  <c r="AC466" i="13"/>
  <c r="AA466" i="13"/>
  <c r="Z466" i="13"/>
  <c r="W466" i="13"/>
  <c r="V466" i="13"/>
  <c r="U466" i="13"/>
  <c r="T466" i="13"/>
  <c r="S466" i="13"/>
  <c r="P466" i="13"/>
  <c r="O466" i="13"/>
  <c r="N466" i="13"/>
  <c r="M466" i="13"/>
  <c r="AT465" i="13"/>
  <c r="AS465" i="13"/>
  <c r="AQ465" i="13"/>
  <c r="AP465" i="13"/>
  <c r="AO465" i="13"/>
  <c r="AN465" i="13"/>
  <c r="AM465" i="13"/>
  <c r="AK465" i="13"/>
  <c r="AI465" i="13"/>
  <c r="AL465" i="13" s="1"/>
  <c r="AH465" i="13"/>
  <c r="AG465" i="13"/>
  <c r="AF465" i="13"/>
  <c r="AJ465" i="13" s="1"/>
  <c r="AC465" i="13"/>
  <c r="AA465" i="13"/>
  <c r="Z465" i="13"/>
  <c r="V465" i="13"/>
  <c r="S465" i="13"/>
  <c r="P465" i="13"/>
  <c r="O465" i="13"/>
  <c r="N465" i="13"/>
  <c r="M465" i="13"/>
  <c r="AS464" i="13"/>
  <c r="AQ464" i="13"/>
  <c r="AP464" i="13"/>
  <c r="AR464" i="13" s="1"/>
  <c r="AO464" i="13"/>
  <c r="AN464" i="13"/>
  <c r="AM464" i="13"/>
  <c r="AJ464" i="13"/>
  <c r="AI464" i="13"/>
  <c r="AL464" i="13" s="1"/>
  <c r="AH464" i="13"/>
  <c r="AG464" i="13"/>
  <c r="AK464" i="13" s="1"/>
  <c r="AF464" i="13"/>
  <c r="AT464" i="13" s="1"/>
  <c r="AC464" i="13"/>
  <c r="AA464" i="13"/>
  <c r="Z464" i="13"/>
  <c r="V464" i="13"/>
  <c r="S464" i="13"/>
  <c r="W464" i="13" s="1"/>
  <c r="P464" i="13"/>
  <c r="O464" i="13"/>
  <c r="N464" i="13"/>
  <c r="M464" i="13"/>
  <c r="AT463" i="13"/>
  <c r="AS463" i="13"/>
  <c r="AQ463" i="13"/>
  <c r="AP463" i="13"/>
  <c r="AR463" i="13" s="1"/>
  <c r="AO463" i="13"/>
  <c r="AN463" i="13"/>
  <c r="AM463" i="13"/>
  <c r="AK463" i="13"/>
  <c r="AJ463" i="13"/>
  <c r="AI463" i="13"/>
  <c r="AL463" i="13" s="1"/>
  <c r="AH463" i="13"/>
  <c r="AG463" i="13"/>
  <c r="AF463" i="13"/>
  <c r="AC463" i="13"/>
  <c r="AA463" i="13"/>
  <c r="Z463" i="13"/>
  <c r="V463" i="13"/>
  <c r="S463" i="13"/>
  <c r="P463" i="13"/>
  <c r="O463" i="13"/>
  <c r="N463" i="13"/>
  <c r="M463" i="13"/>
  <c r="AT462" i="13"/>
  <c r="AS462" i="13"/>
  <c r="AR462" i="13"/>
  <c r="AQ462" i="13"/>
  <c r="AP462" i="13"/>
  <c r="AO462" i="13"/>
  <c r="AN462" i="13"/>
  <c r="AM462" i="13"/>
  <c r="AK462" i="13"/>
  <c r="AJ462" i="13"/>
  <c r="AI462" i="13"/>
  <c r="AL462" i="13" s="1"/>
  <c r="AH462" i="13"/>
  <c r="AG462" i="13"/>
  <c r="AF462" i="13"/>
  <c r="AC462" i="13"/>
  <c r="AA462" i="13"/>
  <c r="Z462" i="13"/>
  <c r="V462" i="13"/>
  <c r="S462" i="13"/>
  <c r="P462" i="13"/>
  <c r="O462" i="13"/>
  <c r="N462" i="13"/>
  <c r="M462" i="13"/>
  <c r="AT461" i="13"/>
  <c r="AS461" i="13"/>
  <c r="AQ461" i="13"/>
  <c r="AP461" i="13"/>
  <c r="AO461" i="13"/>
  <c r="AN461" i="13"/>
  <c r="AM461" i="13"/>
  <c r="AK461" i="13"/>
  <c r="AI461" i="13"/>
  <c r="AL461" i="13" s="1"/>
  <c r="AH461" i="13"/>
  <c r="AG461" i="13"/>
  <c r="AF461" i="13"/>
  <c r="AJ461" i="13" s="1"/>
  <c r="AC461" i="13"/>
  <c r="AA461" i="13"/>
  <c r="Z461" i="13"/>
  <c r="V461" i="13"/>
  <c r="S461" i="13"/>
  <c r="P461" i="13"/>
  <c r="O461" i="13"/>
  <c r="N461" i="13"/>
  <c r="M461" i="13"/>
  <c r="AS460" i="13"/>
  <c r="AQ460" i="13"/>
  <c r="AP460" i="13"/>
  <c r="AO460" i="13"/>
  <c r="AR460" i="13" s="1"/>
  <c r="AN460" i="13"/>
  <c r="AM460" i="13"/>
  <c r="AH460" i="13"/>
  <c r="AG460" i="13"/>
  <c r="AK460" i="13" s="1"/>
  <c r="AF460" i="13"/>
  <c r="AC460" i="13"/>
  <c r="AA460" i="13"/>
  <c r="Z460" i="13"/>
  <c r="W460" i="13"/>
  <c r="V460" i="13"/>
  <c r="U460" i="13"/>
  <c r="T460" i="13"/>
  <c r="S460" i="13"/>
  <c r="P460" i="13"/>
  <c r="O460" i="13"/>
  <c r="N460" i="13"/>
  <c r="M460" i="13"/>
  <c r="AT459" i="13"/>
  <c r="AS459" i="13"/>
  <c r="AQ459" i="13"/>
  <c r="AP459" i="13"/>
  <c r="AO459" i="13"/>
  <c r="AN459" i="13"/>
  <c r="AM459" i="13"/>
  <c r="AJ459" i="13"/>
  <c r="AI459" i="13"/>
  <c r="AL459" i="13" s="1"/>
  <c r="AH459" i="13"/>
  <c r="AG459" i="13"/>
  <c r="AK459" i="13" s="1"/>
  <c r="AF459" i="13"/>
  <c r="AC459" i="13"/>
  <c r="AA459" i="13"/>
  <c r="Z459" i="13"/>
  <c r="V459" i="13"/>
  <c r="S459" i="13"/>
  <c r="P459" i="13"/>
  <c r="O459" i="13"/>
  <c r="N459" i="13"/>
  <c r="M459" i="13"/>
  <c r="AS458" i="13"/>
  <c r="AQ458" i="13"/>
  <c r="AR458" i="13" s="1"/>
  <c r="AP458" i="13"/>
  <c r="AO458" i="13"/>
  <c r="AN458" i="13"/>
  <c r="AM458" i="13"/>
  <c r="AK458" i="13"/>
  <c r="AJ458" i="13"/>
  <c r="AI458" i="13"/>
  <c r="AH458" i="13"/>
  <c r="AG458" i="13"/>
  <c r="AF458" i="13"/>
  <c r="AT458" i="13" s="1"/>
  <c r="AC458" i="13"/>
  <c r="AA458" i="13"/>
  <c r="Z458" i="13"/>
  <c r="V458" i="13"/>
  <c r="S458" i="13"/>
  <c r="P458" i="13"/>
  <c r="O458" i="13"/>
  <c r="N458" i="13"/>
  <c r="M458" i="13"/>
  <c r="AT457" i="13"/>
  <c r="AS457" i="13"/>
  <c r="AQ457" i="13"/>
  <c r="AP457" i="13"/>
  <c r="AO457" i="13"/>
  <c r="AN457" i="13"/>
  <c r="AM457" i="13"/>
  <c r="AK457" i="13"/>
  <c r="AH457" i="13"/>
  <c r="AG457" i="13"/>
  <c r="AI457" i="13" s="1"/>
  <c r="AL457" i="13" s="1"/>
  <c r="AF457" i="13"/>
  <c r="AJ457" i="13" s="1"/>
  <c r="AC457" i="13"/>
  <c r="AA457" i="13"/>
  <c r="Z457" i="13"/>
  <c r="V457" i="13"/>
  <c r="S457" i="13"/>
  <c r="P457" i="13"/>
  <c r="O457" i="13"/>
  <c r="N457" i="13"/>
  <c r="M457" i="13"/>
  <c r="AS456" i="13"/>
  <c r="AQ456" i="13"/>
  <c r="AP456" i="13"/>
  <c r="AO456" i="13"/>
  <c r="AN456" i="13"/>
  <c r="AM456" i="13"/>
  <c r="AH456" i="13"/>
  <c r="AG456" i="13"/>
  <c r="AK456" i="13" s="1"/>
  <c r="AF456" i="13"/>
  <c r="AC456" i="13"/>
  <c r="AA456" i="13"/>
  <c r="Z456" i="13"/>
  <c r="W456" i="13"/>
  <c r="V456" i="13"/>
  <c r="T456" i="13"/>
  <c r="S456" i="13"/>
  <c r="U456" i="13" s="1"/>
  <c r="P456" i="13"/>
  <c r="O456" i="13"/>
  <c r="N456" i="13"/>
  <c r="M456" i="13"/>
  <c r="AT455" i="13"/>
  <c r="AS455" i="13"/>
  <c r="AQ455" i="13"/>
  <c r="AP455" i="13"/>
  <c r="AO455" i="13"/>
  <c r="AN455" i="13"/>
  <c r="AM455" i="13"/>
  <c r="AJ455" i="13"/>
  <c r="AH455" i="13"/>
  <c r="AG455" i="13"/>
  <c r="AK455" i="13" s="1"/>
  <c r="AF455" i="13"/>
  <c r="AC455" i="13"/>
  <c r="AA455" i="13"/>
  <c r="Z455" i="13"/>
  <c r="W455" i="13"/>
  <c r="V455" i="13"/>
  <c r="U455" i="13"/>
  <c r="S455" i="13"/>
  <c r="P455" i="13"/>
  <c r="O455" i="13"/>
  <c r="N455" i="13"/>
  <c r="M455" i="13"/>
  <c r="AT454" i="13"/>
  <c r="AS454" i="13"/>
  <c r="AQ454" i="13"/>
  <c r="AR454" i="13" s="1"/>
  <c r="AP454" i="13"/>
  <c r="AO454" i="13"/>
  <c r="AN454" i="13"/>
  <c r="AM454" i="13"/>
  <c r="AJ454" i="13"/>
  <c r="AH454" i="13"/>
  <c r="AG454" i="13"/>
  <c r="AK454" i="13" s="1"/>
  <c r="AF454" i="13"/>
  <c r="AC454" i="13"/>
  <c r="AA454" i="13"/>
  <c r="Z454" i="13"/>
  <c r="V454" i="13"/>
  <c r="T454" i="13"/>
  <c r="S454" i="13"/>
  <c r="P454" i="13"/>
  <c r="O454" i="13"/>
  <c r="N454" i="13"/>
  <c r="M454" i="13"/>
  <c r="AS453" i="13"/>
  <c r="AQ453" i="13"/>
  <c r="AP453" i="13"/>
  <c r="AO453" i="13"/>
  <c r="AN453" i="13"/>
  <c r="AM453" i="13"/>
  <c r="AH453" i="13"/>
  <c r="AG453" i="13"/>
  <c r="AK453" i="13" s="1"/>
  <c r="AF453" i="13"/>
  <c r="AC453" i="13"/>
  <c r="AA453" i="13"/>
  <c r="Z453" i="13"/>
  <c r="W453" i="13"/>
  <c r="V453" i="13"/>
  <c r="U453" i="13"/>
  <c r="S453" i="13"/>
  <c r="P453" i="13"/>
  <c r="O453" i="13"/>
  <c r="N453" i="13"/>
  <c r="M453" i="13"/>
  <c r="AS452" i="13"/>
  <c r="AQ452" i="13"/>
  <c r="AP452" i="13"/>
  <c r="AO452" i="13"/>
  <c r="AN452" i="13"/>
  <c r="AM452" i="13"/>
  <c r="AH452" i="13"/>
  <c r="AG452" i="13"/>
  <c r="AK452" i="13" s="1"/>
  <c r="AF452" i="13"/>
  <c r="AC452" i="13"/>
  <c r="AA452" i="13"/>
  <c r="Z452" i="13"/>
  <c r="W452" i="13"/>
  <c r="V452" i="13"/>
  <c r="U452" i="13"/>
  <c r="S452" i="13"/>
  <c r="P452" i="13"/>
  <c r="O452" i="13"/>
  <c r="N452" i="13"/>
  <c r="M452" i="13"/>
  <c r="AT451" i="13"/>
  <c r="AS451" i="13"/>
  <c r="AQ451" i="13"/>
  <c r="AP451" i="13"/>
  <c r="AO451" i="13"/>
  <c r="AN451" i="13"/>
  <c r="AM451" i="13"/>
  <c r="AJ451" i="13"/>
  <c r="AH451" i="13"/>
  <c r="AG451" i="13"/>
  <c r="AF451" i="13"/>
  <c r="AC451" i="13"/>
  <c r="AA451" i="13"/>
  <c r="Z451" i="13"/>
  <c r="W451" i="13"/>
  <c r="V451" i="13"/>
  <c r="T451" i="13"/>
  <c r="S451" i="13"/>
  <c r="P451" i="13"/>
  <c r="O451" i="13"/>
  <c r="N451" i="13"/>
  <c r="M451" i="13"/>
  <c r="AS450" i="13"/>
  <c r="AQ450" i="13"/>
  <c r="AP450" i="13"/>
  <c r="AO450" i="13"/>
  <c r="AR450" i="13" s="1"/>
  <c r="AN450" i="13"/>
  <c r="AM450" i="13"/>
  <c r="AH450" i="13"/>
  <c r="AG450" i="13"/>
  <c r="AK450" i="13" s="1"/>
  <c r="AF450" i="13"/>
  <c r="AC450" i="13"/>
  <c r="AA450" i="13"/>
  <c r="Z450" i="13"/>
  <c r="V450" i="13"/>
  <c r="S450" i="13"/>
  <c r="P450" i="13"/>
  <c r="O450" i="13"/>
  <c r="N450" i="13"/>
  <c r="M450" i="13"/>
  <c r="AS449" i="13"/>
  <c r="AQ449" i="13"/>
  <c r="AP449" i="13"/>
  <c r="AO449" i="13"/>
  <c r="AN449" i="13"/>
  <c r="AM449" i="13"/>
  <c r="AH449" i="13"/>
  <c r="AG449" i="13"/>
  <c r="AK449" i="13" s="1"/>
  <c r="AF449" i="13"/>
  <c r="AC449" i="13"/>
  <c r="AA449" i="13"/>
  <c r="Z449" i="13"/>
  <c r="W449" i="13"/>
  <c r="V449" i="13"/>
  <c r="S449" i="13"/>
  <c r="P449" i="13"/>
  <c r="O449" i="13"/>
  <c r="N449" i="13"/>
  <c r="M449" i="13"/>
  <c r="AT448" i="13"/>
  <c r="AS448" i="13"/>
  <c r="AQ448" i="13"/>
  <c r="AP448" i="13"/>
  <c r="AO448" i="13"/>
  <c r="AN448" i="13"/>
  <c r="AM448" i="13"/>
  <c r="AH448" i="13"/>
  <c r="AG448" i="13"/>
  <c r="AK448" i="13" s="1"/>
  <c r="AF448" i="13"/>
  <c r="AC448" i="13"/>
  <c r="AA448" i="13"/>
  <c r="Z448" i="13"/>
  <c r="W448" i="13"/>
  <c r="V448" i="13"/>
  <c r="U448" i="13"/>
  <c r="S448" i="13"/>
  <c r="P448" i="13"/>
  <c r="O448" i="13"/>
  <c r="N448" i="13"/>
  <c r="M448" i="13"/>
  <c r="AT447" i="13"/>
  <c r="AS447" i="13"/>
  <c r="AQ447" i="13"/>
  <c r="AP447" i="13"/>
  <c r="AO447" i="13"/>
  <c r="AR447" i="13" s="1"/>
  <c r="AN447" i="13"/>
  <c r="AM447" i="13"/>
  <c r="AJ447" i="13"/>
  <c r="AH447" i="13"/>
  <c r="AG447" i="13"/>
  <c r="AF447" i="13"/>
  <c r="AC447" i="13"/>
  <c r="AA447" i="13"/>
  <c r="Z447" i="13"/>
  <c r="W447" i="13"/>
  <c r="V447" i="13"/>
  <c r="T447" i="13"/>
  <c r="S447" i="13"/>
  <c r="P447" i="13"/>
  <c r="O447" i="13"/>
  <c r="N447" i="13"/>
  <c r="M447" i="13"/>
  <c r="AS446" i="13"/>
  <c r="AQ446" i="13"/>
  <c r="AP446" i="13"/>
  <c r="AO446" i="13"/>
  <c r="AR446" i="13" s="1"/>
  <c r="AN446" i="13"/>
  <c r="AM446" i="13"/>
  <c r="AI446" i="13"/>
  <c r="AH446" i="13"/>
  <c r="AG446" i="13"/>
  <c r="AK446" i="13" s="1"/>
  <c r="AF446" i="13"/>
  <c r="AC446" i="13"/>
  <c r="AA446" i="13"/>
  <c r="Z446" i="13"/>
  <c r="V446" i="13"/>
  <c r="S446" i="13"/>
  <c r="P446" i="13"/>
  <c r="O446" i="13"/>
  <c r="N446" i="13"/>
  <c r="M446" i="13"/>
  <c r="AS445" i="13"/>
  <c r="AQ445" i="13"/>
  <c r="AP445" i="13"/>
  <c r="AO445" i="13"/>
  <c r="AN445" i="13"/>
  <c r="AM445" i="13"/>
  <c r="AH445" i="13"/>
  <c r="AG445" i="13"/>
  <c r="AK445" i="13" s="1"/>
  <c r="AF445" i="13"/>
  <c r="AC445" i="13"/>
  <c r="AA445" i="13"/>
  <c r="Z445" i="13"/>
  <c r="W445" i="13"/>
  <c r="V445" i="13"/>
  <c r="S445" i="13"/>
  <c r="P445" i="13"/>
  <c r="O445" i="13"/>
  <c r="N445" i="13"/>
  <c r="M445" i="13"/>
  <c r="AS444" i="13"/>
  <c r="AQ444" i="13"/>
  <c r="AP444" i="13"/>
  <c r="AO444" i="13"/>
  <c r="AR444" i="13" s="1"/>
  <c r="AN444" i="13"/>
  <c r="AM444" i="13"/>
  <c r="AK444" i="13"/>
  <c r="AH444" i="13"/>
  <c r="AG444" i="13"/>
  <c r="AF444" i="13"/>
  <c r="AC444" i="13"/>
  <c r="AA444" i="13"/>
  <c r="Z444" i="13"/>
  <c r="W444" i="13"/>
  <c r="V444" i="13"/>
  <c r="U444" i="13"/>
  <c r="T444" i="13"/>
  <c r="S444" i="13"/>
  <c r="P444" i="13"/>
  <c r="O444" i="13"/>
  <c r="N444" i="13"/>
  <c r="M444" i="13"/>
  <c r="AT443" i="13"/>
  <c r="AS443" i="13"/>
  <c r="AQ443" i="13"/>
  <c r="AP443" i="13"/>
  <c r="AO443" i="13"/>
  <c r="AR443" i="13" s="1"/>
  <c r="AN443" i="13"/>
  <c r="AM443" i="13"/>
  <c r="AJ443" i="13"/>
  <c r="AH443" i="13"/>
  <c r="AG443" i="13"/>
  <c r="AF443" i="13"/>
  <c r="AD443" i="13"/>
  <c r="AC443" i="13"/>
  <c r="AA443" i="13"/>
  <c r="Z443" i="13"/>
  <c r="W443" i="13"/>
  <c r="V443" i="13"/>
  <c r="S443" i="13"/>
  <c r="P443" i="13"/>
  <c r="O443" i="13"/>
  <c r="N443" i="13"/>
  <c r="M443" i="13"/>
  <c r="AS442" i="13"/>
  <c r="AQ442" i="13"/>
  <c r="AP442" i="13"/>
  <c r="AO442" i="13"/>
  <c r="AR442" i="13" s="1"/>
  <c r="AN442" i="13"/>
  <c r="AM442" i="13"/>
  <c r="AH442" i="13"/>
  <c r="AG442" i="13"/>
  <c r="AK442" i="13" s="1"/>
  <c r="AF442" i="13"/>
  <c r="AC442" i="13"/>
  <c r="AA442" i="13"/>
  <c r="Z442" i="13"/>
  <c r="W442" i="13"/>
  <c r="V442" i="13"/>
  <c r="U442" i="13"/>
  <c r="T442" i="13"/>
  <c r="S442" i="13"/>
  <c r="P442" i="13"/>
  <c r="O442" i="13"/>
  <c r="N442" i="13"/>
  <c r="M442" i="13"/>
  <c r="AS441" i="13"/>
  <c r="AQ441" i="13"/>
  <c r="AP441" i="13"/>
  <c r="AO441" i="13"/>
  <c r="AN441" i="13"/>
  <c r="AM441" i="13"/>
  <c r="AH441" i="13"/>
  <c r="AG441" i="13"/>
  <c r="AK441" i="13" s="1"/>
  <c r="AF441" i="13"/>
  <c r="AC441" i="13"/>
  <c r="AA441" i="13"/>
  <c r="Z441" i="13"/>
  <c r="W441" i="13"/>
  <c r="V441" i="13"/>
  <c r="U441" i="13"/>
  <c r="S441" i="13"/>
  <c r="P441" i="13"/>
  <c r="O441" i="13"/>
  <c r="N441" i="13"/>
  <c r="M441" i="13"/>
  <c r="AS440" i="13"/>
  <c r="AQ440" i="13"/>
  <c r="AP440" i="13"/>
  <c r="AO440" i="13"/>
  <c r="AR440" i="13" s="1"/>
  <c r="AN440" i="13"/>
  <c r="AM440" i="13"/>
  <c r="AK440" i="13"/>
  <c r="AJ440" i="13"/>
  <c r="AH440" i="13"/>
  <c r="AG440" i="13"/>
  <c r="AF440" i="13"/>
  <c r="AT440" i="13" s="1"/>
  <c r="AC440" i="13"/>
  <c r="AA440" i="13"/>
  <c r="Z440" i="13"/>
  <c r="V440" i="13"/>
  <c r="S440" i="13"/>
  <c r="P440" i="13"/>
  <c r="O440" i="13"/>
  <c r="N440" i="13"/>
  <c r="M440" i="13"/>
  <c r="AT439" i="13"/>
  <c r="AS439" i="13"/>
  <c r="AQ439" i="13"/>
  <c r="AP439" i="13"/>
  <c r="AO439" i="13"/>
  <c r="AN439" i="13"/>
  <c r="AM439" i="13"/>
  <c r="AK439" i="13"/>
  <c r="AJ439" i="13"/>
  <c r="AI439" i="13"/>
  <c r="AL439" i="13" s="1"/>
  <c r="AH439" i="13"/>
  <c r="AG439" i="13"/>
  <c r="AF439" i="13"/>
  <c r="AC439" i="13"/>
  <c r="AA439" i="13"/>
  <c r="Z439" i="13"/>
  <c r="W439" i="13"/>
  <c r="V439" i="13"/>
  <c r="U439" i="13"/>
  <c r="T439" i="13"/>
  <c r="S439" i="13"/>
  <c r="P439" i="13"/>
  <c r="O439" i="13"/>
  <c r="N439" i="13"/>
  <c r="M439" i="13"/>
  <c r="AS438" i="13"/>
  <c r="AQ438" i="13"/>
  <c r="AP438" i="13"/>
  <c r="AO438" i="13"/>
  <c r="AR438" i="13" s="1"/>
  <c r="AN438" i="13"/>
  <c r="AM438" i="13"/>
  <c r="AH438" i="13"/>
  <c r="AG438" i="13"/>
  <c r="AK438" i="13" s="1"/>
  <c r="AF438" i="13"/>
  <c r="AC438" i="13"/>
  <c r="AA438" i="13"/>
  <c r="Z438" i="13"/>
  <c r="W438" i="13"/>
  <c r="V438" i="13"/>
  <c r="T438" i="13"/>
  <c r="S438" i="13"/>
  <c r="U438" i="13" s="1"/>
  <c r="P438" i="13"/>
  <c r="O438" i="13"/>
  <c r="N438" i="13"/>
  <c r="M438" i="13"/>
  <c r="AS437" i="13"/>
  <c r="AQ437" i="13"/>
  <c r="AP437" i="13"/>
  <c r="AO437" i="13"/>
  <c r="AR437" i="13" s="1"/>
  <c r="AN437" i="13"/>
  <c r="AM437" i="13"/>
  <c r="AL437" i="13"/>
  <c r="AI437" i="13"/>
  <c r="AH437" i="13"/>
  <c r="AG437" i="13"/>
  <c r="AK437" i="13" s="1"/>
  <c r="AF437" i="13"/>
  <c r="AC437" i="13"/>
  <c r="AA437" i="13"/>
  <c r="Z437" i="13"/>
  <c r="W437" i="13"/>
  <c r="V437" i="13"/>
  <c r="S437" i="13"/>
  <c r="P437" i="13"/>
  <c r="O437" i="13"/>
  <c r="N437" i="13"/>
  <c r="M437" i="13"/>
  <c r="AS436" i="13"/>
  <c r="AQ436" i="13"/>
  <c r="AP436" i="13"/>
  <c r="AR436" i="13" s="1"/>
  <c r="AO436" i="13"/>
  <c r="AN436" i="13"/>
  <c r="AM436" i="13"/>
  <c r="AK436" i="13"/>
  <c r="AJ436" i="13"/>
  <c r="AH436" i="13"/>
  <c r="AG436" i="13"/>
  <c r="AI436" i="13" s="1"/>
  <c r="AL436" i="13" s="1"/>
  <c r="AF436" i="13"/>
  <c r="AT436" i="13" s="1"/>
  <c r="AC436" i="13"/>
  <c r="AA436" i="13"/>
  <c r="Z436" i="13"/>
  <c r="V436" i="13"/>
  <c r="S436" i="13"/>
  <c r="W436" i="13" s="1"/>
  <c r="P436" i="13"/>
  <c r="O436" i="13"/>
  <c r="N436" i="13"/>
  <c r="M436" i="13"/>
  <c r="AT435" i="13"/>
  <c r="AS435" i="13"/>
  <c r="AR435" i="13"/>
  <c r="AQ435" i="13"/>
  <c r="AP435" i="13"/>
  <c r="AO435" i="13"/>
  <c r="AN435" i="13"/>
  <c r="AM435" i="13"/>
  <c r="AK435" i="13"/>
  <c r="AJ435" i="13"/>
  <c r="AH435" i="13"/>
  <c r="AG435" i="13"/>
  <c r="AI435" i="13" s="1"/>
  <c r="AL435" i="13" s="1"/>
  <c r="AF435" i="13"/>
  <c r="AC435" i="13"/>
  <c r="AA435" i="13"/>
  <c r="Z435" i="13"/>
  <c r="V435" i="13"/>
  <c r="S435" i="13"/>
  <c r="U435" i="13" s="1"/>
  <c r="P435" i="13"/>
  <c r="O435" i="13"/>
  <c r="N435" i="13"/>
  <c r="M435" i="13"/>
  <c r="AS434" i="13"/>
  <c r="AQ434" i="13"/>
  <c r="AP434" i="13"/>
  <c r="AO434" i="13"/>
  <c r="AR434" i="13" s="1"/>
  <c r="AN434" i="13"/>
  <c r="AM434" i="13"/>
  <c r="AK434" i="13"/>
  <c r="AH434" i="13"/>
  <c r="AG434" i="13"/>
  <c r="AF434" i="13"/>
  <c r="AJ434" i="13" s="1"/>
  <c r="AC434" i="13"/>
  <c r="AA434" i="13"/>
  <c r="Z434" i="13"/>
  <c r="V434" i="13"/>
  <c r="U434" i="13"/>
  <c r="S434" i="13"/>
  <c r="P434" i="13"/>
  <c r="O434" i="13"/>
  <c r="N434" i="13"/>
  <c r="M434" i="13"/>
  <c r="AT433" i="13"/>
  <c r="AS433" i="13"/>
  <c r="AQ433" i="13"/>
  <c r="AP433" i="13"/>
  <c r="AO433" i="13"/>
  <c r="AN433" i="13"/>
  <c r="AM433" i="13"/>
  <c r="AK433" i="13"/>
  <c r="AH433" i="13"/>
  <c r="AG433" i="13"/>
  <c r="AF433" i="13"/>
  <c r="AJ433" i="13" s="1"/>
  <c r="AC433" i="13"/>
  <c r="AA433" i="13"/>
  <c r="Z433" i="13"/>
  <c r="V433" i="13"/>
  <c r="S433" i="13"/>
  <c r="P433" i="13"/>
  <c r="O433" i="13"/>
  <c r="N433" i="13"/>
  <c r="M433" i="13"/>
  <c r="AS432" i="13"/>
  <c r="AQ432" i="13"/>
  <c r="AR432" i="13" s="1"/>
  <c r="AP432" i="13"/>
  <c r="AO432" i="13"/>
  <c r="AN432" i="13"/>
  <c r="AM432" i="13"/>
  <c r="AK432" i="13"/>
  <c r="AJ432" i="13"/>
  <c r="AI432" i="13"/>
  <c r="AL432" i="13" s="1"/>
  <c r="AH432" i="13"/>
  <c r="AG432" i="13"/>
  <c r="AF432" i="13"/>
  <c r="AT432" i="13" s="1"/>
  <c r="AC432" i="13"/>
  <c r="AD432" i="13" s="1"/>
  <c r="AA432" i="13"/>
  <c r="Z432" i="13"/>
  <c r="W432" i="13"/>
  <c r="V432" i="13"/>
  <c r="T432" i="13"/>
  <c r="S432" i="13"/>
  <c r="P432" i="13"/>
  <c r="O432" i="13"/>
  <c r="N432" i="13"/>
  <c r="M432" i="13"/>
  <c r="AT431" i="13"/>
  <c r="AS431" i="13"/>
  <c r="AR431" i="13"/>
  <c r="AQ431" i="13"/>
  <c r="AP431" i="13"/>
  <c r="AO431" i="13"/>
  <c r="AN431" i="13"/>
  <c r="AM431" i="13"/>
  <c r="AJ431" i="13"/>
  <c r="AI431" i="13"/>
  <c r="AH431" i="13"/>
  <c r="AG431" i="13"/>
  <c r="AK431" i="13" s="1"/>
  <c r="AF431" i="13"/>
  <c r="AC431" i="13"/>
  <c r="AA431" i="13"/>
  <c r="Z431" i="13"/>
  <c r="V431" i="13"/>
  <c r="U431" i="13"/>
  <c r="S431" i="13"/>
  <c r="P431" i="13"/>
  <c r="O431" i="13"/>
  <c r="N431" i="13"/>
  <c r="M431" i="13"/>
  <c r="AT430" i="13"/>
  <c r="AS430" i="13"/>
  <c r="AR430" i="13"/>
  <c r="AQ430" i="13"/>
  <c r="AP430" i="13"/>
  <c r="AO430" i="13"/>
  <c r="AN430" i="13"/>
  <c r="AM430" i="13"/>
  <c r="AL430" i="13"/>
  <c r="AK430" i="13"/>
  <c r="AJ430" i="13"/>
  <c r="AH430" i="13"/>
  <c r="AG430" i="13"/>
  <c r="AF430" i="13"/>
  <c r="AI430" i="13" s="1"/>
  <c r="AC430" i="13"/>
  <c r="AA430" i="13"/>
  <c r="Z430" i="13"/>
  <c r="W430" i="13"/>
  <c r="V430" i="13"/>
  <c r="U430" i="13"/>
  <c r="T430" i="13"/>
  <c r="S430" i="13"/>
  <c r="P430" i="13"/>
  <c r="O430" i="13"/>
  <c r="N430" i="13"/>
  <c r="M430" i="13"/>
  <c r="AT429" i="13"/>
  <c r="AS429" i="13"/>
  <c r="AQ429" i="13"/>
  <c r="AP429" i="13"/>
  <c r="AO429" i="13"/>
  <c r="AN429" i="13"/>
  <c r="AM429" i="13"/>
  <c r="AK429" i="13"/>
  <c r="AL429" i="13" s="1"/>
  <c r="AI429" i="13"/>
  <c r="AH429" i="13"/>
  <c r="AG429" i="13"/>
  <c r="AF429" i="13"/>
  <c r="AJ429" i="13" s="1"/>
  <c r="AC429" i="13"/>
  <c r="AA429" i="13"/>
  <c r="Z429" i="13"/>
  <c r="V429" i="13"/>
  <c r="S429" i="13"/>
  <c r="U429" i="13" s="1"/>
  <c r="P429" i="13"/>
  <c r="O429" i="13"/>
  <c r="N429" i="13"/>
  <c r="M429" i="13"/>
  <c r="AS428" i="13"/>
  <c r="AQ428" i="13"/>
  <c r="AP428" i="13"/>
  <c r="AR428" i="13" s="1"/>
  <c r="AO428" i="13"/>
  <c r="AN428" i="13"/>
  <c r="AM428" i="13"/>
  <c r="AJ428" i="13"/>
  <c r="AI428" i="13"/>
  <c r="AH428" i="13"/>
  <c r="AG428" i="13"/>
  <c r="AK428" i="13" s="1"/>
  <c r="AF428" i="13"/>
  <c r="AT428" i="13" s="1"/>
  <c r="AC428" i="13"/>
  <c r="AA428" i="13"/>
  <c r="Z428" i="13"/>
  <c r="V428" i="13"/>
  <c r="S428" i="13"/>
  <c r="P428" i="13"/>
  <c r="O428" i="13"/>
  <c r="N428" i="13"/>
  <c r="M428" i="13"/>
  <c r="AT427" i="13"/>
  <c r="AS427" i="13"/>
  <c r="AQ427" i="13"/>
  <c r="AR427" i="13" s="1"/>
  <c r="AP427" i="13"/>
  <c r="AO427" i="13"/>
  <c r="AN427" i="13"/>
  <c r="AM427" i="13"/>
  <c r="AK427" i="13"/>
  <c r="AJ427" i="13"/>
  <c r="AI427" i="13"/>
  <c r="AL427" i="13" s="1"/>
  <c r="AH427" i="13"/>
  <c r="AG427" i="13"/>
  <c r="AF427" i="13"/>
  <c r="AC427" i="13"/>
  <c r="AA427" i="13"/>
  <c r="Z427" i="13"/>
  <c r="V427" i="13"/>
  <c r="S427" i="13"/>
  <c r="P427" i="13"/>
  <c r="O427" i="13"/>
  <c r="N427" i="13"/>
  <c r="M427" i="13"/>
  <c r="AT426" i="13"/>
  <c r="AS426" i="13"/>
  <c r="AQ426" i="13"/>
  <c r="AP426" i="13"/>
  <c r="AO426" i="13"/>
  <c r="AR426" i="13" s="1"/>
  <c r="AN426" i="13"/>
  <c r="AM426" i="13"/>
  <c r="AJ426" i="13"/>
  <c r="AH426" i="13"/>
  <c r="AG426" i="13"/>
  <c r="AI426" i="13" s="1"/>
  <c r="AL426" i="13" s="1"/>
  <c r="AF426" i="13"/>
  <c r="AC426" i="13"/>
  <c r="AA426" i="13"/>
  <c r="Z426" i="13"/>
  <c r="V426" i="13"/>
  <c r="U426" i="13"/>
  <c r="T426" i="13"/>
  <c r="S426" i="13"/>
  <c r="P426" i="13"/>
  <c r="O426" i="13"/>
  <c r="N426" i="13"/>
  <c r="M426" i="13"/>
  <c r="AT425" i="13"/>
  <c r="AS425" i="13"/>
  <c r="AQ425" i="13"/>
  <c r="AP425" i="13"/>
  <c r="AO425" i="13"/>
  <c r="AR425" i="13" s="1"/>
  <c r="AN425" i="13"/>
  <c r="AM425" i="13"/>
  <c r="AK425" i="13"/>
  <c r="AH425" i="13"/>
  <c r="AG425" i="13"/>
  <c r="AF425" i="13"/>
  <c r="AJ425" i="13" s="1"/>
  <c r="AC425" i="13"/>
  <c r="AA425" i="13"/>
  <c r="Z425" i="13"/>
  <c r="W425" i="13"/>
  <c r="V425" i="13"/>
  <c r="S425" i="13"/>
  <c r="P425" i="13"/>
  <c r="O425" i="13"/>
  <c r="N425" i="13"/>
  <c r="M425" i="13"/>
  <c r="AS424" i="13"/>
  <c r="AQ424" i="13"/>
  <c r="AP424" i="13"/>
  <c r="AR424" i="13" s="1"/>
  <c r="AO424" i="13"/>
  <c r="AN424" i="13"/>
  <c r="AM424" i="13"/>
  <c r="AH424" i="13"/>
  <c r="AG424" i="13"/>
  <c r="AK424" i="13" s="1"/>
  <c r="AF424" i="13"/>
  <c r="AC424" i="13"/>
  <c r="AA424" i="13"/>
  <c r="Z424" i="13"/>
  <c r="W424" i="13"/>
  <c r="V424" i="13"/>
  <c r="U424" i="13"/>
  <c r="T424" i="13"/>
  <c r="S424" i="13"/>
  <c r="P424" i="13"/>
  <c r="O424" i="13"/>
  <c r="N424" i="13"/>
  <c r="M424" i="13"/>
  <c r="AT423" i="13"/>
  <c r="AS423" i="13"/>
  <c r="AQ423" i="13"/>
  <c r="AP423" i="13"/>
  <c r="AO423" i="13"/>
  <c r="AR423" i="13" s="1"/>
  <c r="AN423" i="13"/>
  <c r="AM423" i="13"/>
  <c r="AJ423" i="13"/>
  <c r="AH423" i="13"/>
  <c r="AG423" i="13"/>
  <c r="AK423" i="13" s="1"/>
  <c r="AF423" i="13"/>
  <c r="AC423" i="13"/>
  <c r="AA423" i="13"/>
  <c r="Z423" i="13"/>
  <c r="V423" i="13"/>
  <c r="S423" i="13"/>
  <c r="P423" i="13"/>
  <c r="O423" i="13"/>
  <c r="N423" i="13"/>
  <c r="M423" i="13"/>
  <c r="AS422" i="13"/>
  <c r="AQ422" i="13"/>
  <c r="AR422" i="13" s="1"/>
  <c r="AP422" i="13"/>
  <c r="AO422" i="13"/>
  <c r="AN422" i="13"/>
  <c r="AM422" i="13"/>
  <c r="AK422" i="13"/>
  <c r="AJ422" i="13"/>
  <c r="AH422" i="13"/>
  <c r="AG422" i="13"/>
  <c r="AF422" i="13"/>
  <c r="AT422" i="13" s="1"/>
  <c r="AC422" i="13"/>
  <c r="AA422" i="13"/>
  <c r="Z422" i="13"/>
  <c r="V422" i="13"/>
  <c r="T422" i="13"/>
  <c r="S422" i="13"/>
  <c r="W422" i="13" s="1"/>
  <c r="P422" i="13"/>
  <c r="O422" i="13"/>
  <c r="N422" i="13"/>
  <c r="M422" i="13"/>
  <c r="AT421" i="13"/>
  <c r="AS421" i="13"/>
  <c r="AQ421" i="13"/>
  <c r="AP421" i="13"/>
  <c r="AO421" i="13"/>
  <c r="AN421" i="13"/>
  <c r="AM421" i="13"/>
  <c r="AH421" i="13"/>
  <c r="AG421" i="13"/>
  <c r="AK421" i="13" s="1"/>
  <c r="AF421" i="13"/>
  <c r="AJ421" i="13" s="1"/>
  <c r="AC421" i="13"/>
  <c r="AA421" i="13"/>
  <c r="Z421" i="13"/>
  <c r="V421" i="13"/>
  <c r="U421" i="13"/>
  <c r="S421" i="13"/>
  <c r="P421" i="13"/>
  <c r="O421" i="13"/>
  <c r="N421" i="13"/>
  <c r="M421" i="13"/>
  <c r="AT420" i="13"/>
  <c r="AS420" i="13"/>
  <c r="AR420" i="13"/>
  <c r="AQ420" i="13"/>
  <c r="AP420" i="13"/>
  <c r="AO420" i="13"/>
  <c r="AN420" i="13"/>
  <c r="AM420" i="13"/>
  <c r="AH420" i="13"/>
  <c r="AG420" i="13"/>
  <c r="AK420" i="13" s="1"/>
  <c r="AF420" i="13"/>
  <c r="AJ420" i="13" s="1"/>
  <c r="AC420" i="13"/>
  <c r="AA420" i="13"/>
  <c r="Z420" i="13"/>
  <c r="W420" i="13"/>
  <c r="V420" i="13"/>
  <c r="U420" i="13"/>
  <c r="T420" i="13"/>
  <c r="S420" i="13"/>
  <c r="P420" i="13"/>
  <c r="O420" i="13"/>
  <c r="N420" i="13"/>
  <c r="M420" i="13"/>
  <c r="AT419" i="13"/>
  <c r="AS419" i="13"/>
  <c r="AR419" i="13"/>
  <c r="AQ419" i="13"/>
  <c r="AP419" i="13"/>
  <c r="AO419" i="13"/>
  <c r="AN419" i="13"/>
  <c r="AM419" i="13"/>
  <c r="AJ419" i="13"/>
  <c r="AH419" i="13"/>
  <c r="AG419" i="13"/>
  <c r="AK419" i="13" s="1"/>
  <c r="AF419" i="13"/>
  <c r="AC419" i="13"/>
  <c r="AA419" i="13"/>
  <c r="Z419" i="13"/>
  <c r="V419" i="13"/>
  <c r="S419" i="13"/>
  <c r="P419" i="13"/>
  <c r="O419" i="13"/>
  <c r="N419" i="13"/>
  <c r="M419" i="13"/>
  <c r="AS418" i="13"/>
  <c r="AR418" i="13"/>
  <c r="AQ418" i="13"/>
  <c r="AP418" i="13"/>
  <c r="AO418" i="13"/>
  <c r="AN418" i="13"/>
  <c r="AM418" i="13"/>
  <c r="AK418" i="13"/>
  <c r="AJ418" i="13"/>
  <c r="AH418" i="13"/>
  <c r="AG418" i="13"/>
  <c r="AF418" i="13"/>
  <c r="AT418" i="13" s="1"/>
  <c r="AC418" i="13"/>
  <c r="AA418" i="13"/>
  <c r="Z418" i="13"/>
  <c r="V418" i="13"/>
  <c r="U418" i="13"/>
  <c r="S418" i="13"/>
  <c r="W418" i="13" s="1"/>
  <c r="P418" i="13"/>
  <c r="O418" i="13"/>
  <c r="N418" i="13"/>
  <c r="M418" i="13"/>
  <c r="AT417" i="13"/>
  <c r="AS417" i="13"/>
  <c r="AQ417" i="13"/>
  <c r="AP417" i="13"/>
  <c r="AO417" i="13"/>
  <c r="AN417" i="13"/>
  <c r="AM417" i="13"/>
  <c r="AI417" i="13"/>
  <c r="AH417" i="13"/>
  <c r="AG417" i="13"/>
  <c r="AK417" i="13" s="1"/>
  <c r="AF417" i="13"/>
  <c r="AJ417" i="13" s="1"/>
  <c r="AC417" i="13"/>
  <c r="AA417" i="13"/>
  <c r="Z417" i="13"/>
  <c r="W417" i="13"/>
  <c r="V417" i="13"/>
  <c r="T417" i="13"/>
  <c r="S417" i="13"/>
  <c r="P417" i="13"/>
  <c r="O417" i="13"/>
  <c r="N417" i="13"/>
  <c r="M417" i="13"/>
  <c r="AT416" i="13"/>
  <c r="AS416" i="13"/>
  <c r="AQ416" i="13"/>
  <c r="AP416" i="13"/>
  <c r="AO416" i="13"/>
  <c r="AR416" i="13" s="1"/>
  <c r="AN416" i="13"/>
  <c r="AM416" i="13"/>
  <c r="AK416" i="13"/>
  <c r="AJ416" i="13"/>
  <c r="AH416" i="13"/>
  <c r="AG416" i="13"/>
  <c r="AI416" i="13" s="1"/>
  <c r="AL416" i="13" s="1"/>
  <c r="AF416" i="13"/>
  <c r="AC416" i="13"/>
  <c r="AA416" i="13"/>
  <c r="Z416" i="13"/>
  <c r="V416" i="13"/>
  <c r="S416" i="13"/>
  <c r="P416" i="13"/>
  <c r="O416" i="13"/>
  <c r="N416" i="13"/>
  <c r="M416" i="13"/>
  <c r="AT415" i="13"/>
  <c r="AS415" i="13"/>
  <c r="AQ415" i="13"/>
  <c r="AP415" i="13"/>
  <c r="AO415" i="13"/>
  <c r="AN415" i="13"/>
  <c r="AM415" i="13"/>
  <c r="AL415" i="13"/>
  <c r="AK415" i="13"/>
  <c r="AI415" i="13"/>
  <c r="AH415" i="13"/>
  <c r="AG415" i="13"/>
  <c r="AF415" i="13"/>
  <c r="AJ415" i="13" s="1"/>
  <c r="AC415" i="13"/>
  <c r="AA415" i="13"/>
  <c r="Z415" i="13"/>
  <c r="V415" i="13"/>
  <c r="S415" i="13"/>
  <c r="P415" i="13"/>
  <c r="O415" i="13"/>
  <c r="N415" i="13"/>
  <c r="M415" i="13"/>
  <c r="AS414" i="13"/>
  <c r="AQ414" i="13"/>
  <c r="AP414" i="13"/>
  <c r="AO414" i="13"/>
  <c r="AR414" i="13" s="1"/>
  <c r="AN414" i="13"/>
  <c r="AM414" i="13"/>
  <c r="AH414" i="13"/>
  <c r="AG414" i="13"/>
  <c r="AK414" i="13" s="1"/>
  <c r="AF414" i="13"/>
  <c r="AC414" i="13"/>
  <c r="AA414" i="13"/>
  <c r="Z414" i="13"/>
  <c r="W414" i="13"/>
  <c r="V414" i="13"/>
  <c r="U414" i="13"/>
  <c r="T414" i="13"/>
  <c r="S414" i="13"/>
  <c r="P414" i="13"/>
  <c r="O414" i="13"/>
  <c r="N414" i="13"/>
  <c r="M414" i="13"/>
  <c r="AT413" i="13"/>
  <c r="AS413" i="13"/>
  <c r="AQ413" i="13"/>
  <c r="AP413" i="13"/>
  <c r="AR413" i="13" s="1"/>
  <c r="AO413" i="13"/>
  <c r="AN413" i="13"/>
  <c r="AM413" i="13"/>
  <c r="AJ413" i="13"/>
  <c r="AI413" i="13"/>
  <c r="AH413" i="13"/>
  <c r="AG413" i="13"/>
  <c r="AK413" i="13" s="1"/>
  <c r="AF413" i="13"/>
  <c r="AC413" i="13"/>
  <c r="AA413" i="13"/>
  <c r="Z413" i="13"/>
  <c r="W413" i="13"/>
  <c r="V413" i="13"/>
  <c r="T413" i="13"/>
  <c r="S413" i="13"/>
  <c r="P413" i="13"/>
  <c r="O413" i="13"/>
  <c r="N413" i="13"/>
  <c r="M413" i="13"/>
  <c r="AT412" i="13"/>
  <c r="AS412" i="13"/>
  <c r="AQ412" i="13"/>
  <c r="AP412" i="13"/>
  <c r="AO412" i="13"/>
  <c r="AR412" i="13" s="1"/>
  <c r="AN412" i="13"/>
  <c r="AM412" i="13"/>
  <c r="AJ412" i="13"/>
  <c r="AI412" i="13"/>
  <c r="AH412" i="13"/>
  <c r="AG412" i="13"/>
  <c r="AK412" i="13" s="1"/>
  <c r="AF412" i="13"/>
  <c r="AC412" i="13"/>
  <c r="AA412" i="13"/>
  <c r="Z412" i="13"/>
  <c r="V412" i="13"/>
  <c r="T412" i="13"/>
  <c r="S412" i="13"/>
  <c r="P412" i="13"/>
  <c r="O412" i="13"/>
  <c r="N412" i="13"/>
  <c r="M412" i="13"/>
  <c r="AT411" i="13"/>
  <c r="AS411" i="13"/>
  <c r="AQ411" i="13"/>
  <c r="AP411" i="13"/>
  <c r="AO411" i="13"/>
  <c r="AN411" i="13"/>
  <c r="AM411" i="13"/>
  <c r="AK411" i="13"/>
  <c r="AI411" i="13"/>
  <c r="AL411" i="13" s="1"/>
  <c r="AH411" i="13"/>
  <c r="AG411" i="13"/>
  <c r="AF411" i="13"/>
  <c r="AJ411" i="13" s="1"/>
  <c r="AC411" i="13"/>
  <c r="AA411" i="13"/>
  <c r="Z411" i="13"/>
  <c r="V411" i="13"/>
  <c r="U411" i="13"/>
  <c r="S411" i="13"/>
  <c r="P411" i="13"/>
  <c r="O411" i="13"/>
  <c r="N411" i="13"/>
  <c r="M411" i="13"/>
  <c r="AS410" i="13"/>
  <c r="AQ410" i="13"/>
  <c r="AP410" i="13"/>
  <c r="AO410" i="13"/>
  <c r="AN410" i="13"/>
  <c r="AM410" i="13"/>
  <c r="AK410" i="13"/>
  <c r="AH410" i="13"/>
  <c r="AG410" i="13"/>
  <c r="AF410" i="13"/>
  <c r="AC410" i="13"/>
  <c r="AA410" i="13"/>
  <c r="Z410" i="13"/>
  <c r="W410" i="13"/>
  <c r="V410" i="13"/>
  <c r="U410" i="13"/>
  <c r="T410" i="13"/>
  <c r="S410" i="13"/>
  <c r="P410" i="13"/>
  <c r="O410" i="13"/>
  <c r="N410" i="13"/>
  <c r="M410" i="13"/>
  <c r="AT409" i="13"/>
  <c r="AS409" i="13"/>
  <c r="AQ409" i="13"/>
  <c r="AP409" i="13"/>
  <c r="AR409" i="13" s="1"/>
  <c r="AO409" i="13"/>
  <c r="AN409" i="13"/>
  <c r="AM409" i="13"/>
  <c r="AJ409" i="13"/>
  <c r="AH409" i="13"/>
  <c r="AG409" i="13"/>
  <c r="AK409" i="13" s="1"/>
  <c r="AF409" i="13"/>
  <c r="AC409" i="13"/>
  <c r="AA409" i="13"/>
  <c r="Z409" i="13"/>
  <c r="W409" i="13"/>
  <c r="V409" i="13"/>
  <c r="T409" i="13"/>
  <c r="S409" i="13"/>
  <c r="P409" i="13"/>
  <c r="O409" i="13"/>
  <c r="N409" i="13"/>
  <c r="M409" i="13"/>
  <c r="AT408" i="13"/>
  <c r="AS408" i="13"/>
  <c r="AR408" i="13"/>
  <c r="AQ408" i="13"/>
  <c r="AP408" i="13"/>
  <c r="AO408" i="13"/>
  <c r="AN408" i="13"/>
  <c r="AM408" i="13"/>
  <c r="AJ408" i="13"/>
  <c r="AI408" i="13"/>
  <c r="AL408" i="13" s="1"/>
  <c r="AH408" i="13"/>
  <c r="AG408" i="13"/>
  <c r="AK408" i="13" s="1"/>
  <c r="AF408" i="13"/>
  <c r="AC408" i="13"/>
  <c r="AA408" i="13"/>
  <c r="Z408" i="13"/>
  <c r="V408" i="13"/>
  <c r="U408" i="13"/>
  <c r="T408" i="13"/>
  <c r="S408" i="13"/>
  <c r="P408" i="13"/>
  <c r="O408" i="13"/>
  <c r="N408" i="13"/>
  <c r="M408" i="13"/>
  <c r="AS407" i="13"/>
  <c r="AQ407" i="13"/>
  <c r="AP407" i="13"/>
  <c r="AO407" i="13"/>
  <c r="AR407" i="13" s="1"/>
  <c r="AN407" i="13"/>
  <c r="AM407" i="13"/>
  <c r="AK407" i="13"/>
  <c r="AH407" i="13"/>
  <c r="AG407" i="13"/>
  <c r="AF407" i="13"/>
  <c r="AJ407" i="13" s="1"/>
  <c r="AC407" i="13"/>
  <c r="AA407" i="13"/>
  <c r="Z407" i="13"/>
  <c r="V407" i="13"/>
  <c r="S407" i="13"/>
  <c r="P407" i="13"/>
  <c r="O407" i="13"/>
  <c r="N407" i="13"/>
  <c r="M407" i="13"/>
  <c r="AS406" i="13"/>
  <c r="AQ406" i="13"/>
  <c r="AP406" i="13"/>
  <c r="AO406" i="13"/>
  <c r="AR406" i="13" s="1"/>
  <c r="AN406" i="13"/>
  <c r="AM406" i="13"/>
  <c r="AK406" i="13"/>
  <c r="AH406" i="13"/>
  <c r="AG406" i="13"/>
  <c r="AF406" i="13"/>
  <c r="AC406" i="13"/>
  <c r="AA406" i="13"/>
  <c r="Z406" i="13"/>
  <c r="W406" i="13"/>
  <c r="V406" i="13"/>
  <c r="U406" i="13"/>
  <c r="T406" i="13"/>
  <c r="S406" i="13"/>
  <c r="P406" i="13"/>
  <c r="O406" i="13"/>
  <c r="N406" i="13"/>
  <c r="M406" i="13"/>
  <c r="AT405" i="13"/>
  <c r="AS405" i="13"/>
  <c r="AR405" i="13"/>
  <c r="AQ405" i="13"/>
  <c r="AP405" i="13"/>
  <c r="AO405" i="13"/>
  <c r="AN405" i="13"/>
  <c r="AM405" i="13"/>
  <c r="AJ405" i="13"/>
  <c r="AI405" i="13"/>
  <c r="AL405" i="13" s="1"/>
  <c r="AH405" i="13"/>
  <c r="AG405" i="13"/>
  <c r="AK405" i="13" s="1"/>
  <c r="AF405" i="13"/>
  <c r="AC405" i="13"/>
  <c r="AA405" i="13"/>
  <c r="Z405" i="13"/>
  <c r="V405" i="13"/>
  <c r="U405" i="13"/>
  <c r="T405" i="13"/>
  <c r="S405" i="13"/>
  <c r="P405" i="13"/>
  <c r="O405" i="13"/>
  <c r="N405" i="13"/>
  <c r="M405" i="13"/>
  <c r="AS404" i="13"/>
  <c r="AR404" i="13"/>
  <c r="AQ404" i="13"/>
  <c r="AP404" i="13"/>
  <c r="AO404" i="13"/>
  <c r="AN404" i="13"/>
  <c r="AM404" i="13"/>
  <c r="AK404" i="13"/>
  <c r="AJ404" i="13"/>
  <c r="AH404" i="13"/>
  <c r="AG404" i="13"/>
  <c r="AF404" i="13"/>
  <c r="AT404" i="13" s="1"/>
  <c r="AC404" i="13"/>
  <c r="AA404" i="13"/>
  <c r="Z404" i="13"/>
  <c r="V404" i="13"/>
  <c r="T404" i="13"/>
  <c r="S404" i="13"/>
  <c r="W404" i="13" s="1"/>
  <c r="P404" i="13"/>
  <c r="O404" i="13"/>
  <c r="N404" i="13"/>
  <c r="M404" i="13"/>
  <c r="AT403" i="13"/>
  <c r="AS403" i="13"/>
  <c r="AQ403" i="13"/>
  <c r="AP403" i="13"/>
  <c r="AO403" i="13"/>
  <c r="AN403" i="13"/>
  <c r="AM403" i="13"/>
  <c r="AK403" i="13"/>
  <c r="AI403" i="13"/>
  <c r="AL403" i="13" s="1"/>
  <c r="AH403" i="13"/>
  <c r="AG403" i="13"/>
  <c r="AF403" i="13"/>
  <c r="AJ403" i="13" s="1"/>
  <c r="AC403" i="13"/>
  <c r="AA403" i="13"/>
  <c r="Z403" i="13"/>
  <c r="V403" i="13"/>
  <c r="S403" i="13"/>
  <c r="P403" i="13"/>
  <c r="O403" i="13"/>
  <c r="N403" i="13"/>
  <c r="M403" i="13"/>
  <c r="AT402" i="13"/>
  <c r="AS402" i="13"/>
  <c r="AQ402" i="13"/>
  <c r="AR402" i="13" s="1"/>
  <c r="AP402" i="13"/>
  <c r="AO402" i="13"/>
  <c r="AN402" i="13"/>
  <c r="AM402" i="13"/>
  <c r="AJ402" i="13"/>
  <c r="AI402" i="13"/>
  <c r="AH402" i="13"/>
  <c r="AG402" i="13"/>
  <c r="AK402" i="13" s="1"/>
  <c r="AF402" i="13"/>
  <c r="AC402" i="13"/>
  <c r="AA402" i="13"/>
  <c r="Z402" i="13"/>
  <c r="V402" i="13"/>
  <c r="U402" i="13"/>
  <c r="S402" i="13"/>
  <c r="W402" i="13" s="1"/>
  <c r="P402" i="13"/>
  <c r="O402" i="13"/>
  <c r="N402" i="13"/>
  <c r="M402" i="13"/>
  <c r="AT401" i="13"/>
  <c r="AS401" i="13"/>
  <c r="AQ401" i="13"/>
  <c r="AR401" i="13" s="1"/>
  <c r="AP401" i="13"/>
  <c r="AO401" i="13"/>
  <c r="AN401" i="13"/>
  <c r="AM401" i="13"/>
  <c r="AK401" i="13"/>
  <c r="AJ401" i="13"/>
  <c r="AI401" i="13"/>
  <c r="AL401" i="13" s="1"/>
  <c r="AH401" i="13"/>
  <c r="AG401" i="13"/>
  <c r="AF401" i="13"/>
  <c r="AC401" i="13"/>
  <c r="AA401" i="13"/>
  <c r="Z401" i="13"/>
  <c r="V401" i="13"/>
  <c r="T401" i="13"/>
  <c r="S401" i="13"/>
  <c r="P401" i="13"/>
  <c r="O401" i="13"/>
  <c r="N401" i="13"/>
  <c r="M401" i="13"/>
  <c r="AS400" i="13"/>
  <c r="AR400" i="13"/>
  <c r="AQ400" i="13"/>
  <c r="AP400" i="13"/>
  <c r="AO400" i="13"/>
  <c r="AN400" i="13"/>
  <c r="AM400" i="13"/>
  <c r="AK400" i="13"/>
  <c r="AJ400" i="13"/>
  <c r="AH400" i="13"/>
  <c r="AG400" i="13"/>
  <c r="AF400" i="13"/>
  <c r="AT400" i="13" s="1"/>
  <c r="AC400" i="13"/>
  <c r="AA400" i="13"/>
  <c r="Z400" i="13"/>
  <c r="W400" i="13"/>
  <c r="V400" i="13"/>
  <c r="U400" i="13"/>
  <c r="T400" i="13"/>
  <c r="S400" i="13"/>
  <c r="P400" i="13"/>
  <c r="O400" i="13"/>
  <c r="N400" i="13"/>
  <c r="M400" i="13"/>
  <c r="AT399" i="13"/>
  <c r="AS399" i="13"/>
  <c r="AQ399" i="13"/>
  <c r="AP399" i="13"/>
  <c r="AO399" i="13"/>
  <c r="AN399" i="13"/>
  <c r="AM399" i="13"/>
  <c r="AK399" i="13"/>
  <c r="AI399" i="13"/>
  <c r="AL399" i="13" s="1"/>
  <c r="AH399" i="13"/>
  <c r="AG399" i="13"/>
  <c r="AF399" i="13"/>
  <c r="AJ399" i="13" s="1"/>
  <c r="AC399" i="13"/>
  <c r="AA399" i="13"/>
  <c r="Z399" i="13"/>
  <c r="V399" i="13"/>
  <c r="S399" i="13"/>
  <c r="P399" i="13"/>
  <c r="O399" i="13"/>
  <c r="N399" i="13"/>
  <c r="M399" i="13"/>
  <c r="AS398" i="13"/>
  <c r="AQ398" i="13"/>
  <c r="AP398" i="13"/>
  <c r="AR398" i="13" s="1"/>
  <c r="AO398" i="13"/>
  <c r="AN398" i="13"/>
  <c r="AM398" i="13"/>
  <c r="AJ398" i="13"/>
  <c r="AH398" i="13"/>
  <c r="AG398" i="13"/>
  <c r="AK398" i="13" s="1"/>
  <c r="AF398" i="13"/>
  <c r="AT398" i="13" s="1"/>
  <c r="AC398" i="13"/>
  <c r="AA398" i="13"/>
  <c r="Z398" i="13"/>
  <c r="V398" i="13"/>
  <c r="T398" i="13"/>
  <c r="S398" i="13"/>
  <c r="U398" i="13" s="1"/>
  <c r="P398" i="13"/>
  <c r="O398" i="13"/>
  <c r="N398" i="13"/>
  <c r="M398" i="13"/>
  <c r="AT397" i="13"/>
  <c r="AS397" i="13"/>
  <c r="AQ397" i="13"/>
  <c r="AP397" i="13"/>
  <c r="AR397" i="13" s="1"/>
  <c r="AO397" i="13"/>
  <c r="AN397" i="13"/>
  <c r="AM397" i="13"/>
  <c r="AL397" i="13"/>
  <c r="AK397" i="13"/>
  <c r="AJ397" i="13"/>
  <c r="AI397" i="13"/>
  <c r="AH397" i="13"/>
  <c r="AG397" i="13"/>
  <c r="AF397" i="13"/>
  <c r="AC397" i="13"/>
  <c r="AA397" i="13"/>
  <c r="Z397" i="13"/>
  <c r="V397" i="13"/>
  <c r="U397" i="13"/>
  <c r="S397" i="13"/>
  <c r="P397" i="13"/>
  <c r="O397" i="13"/>
  <c r="N397" i="13"/>
  <c r="M397" i="13"/>
  <c r="AT396" i="13"/>
  <c r="AS396" i="13"/>
  <c r="AQ396" i="13"/>
  <c r="AR396" i="13" s="1"/>
  <c r="AP396" i="13"/>
  <c r="AO396" i="13"/>
  <c r="AN396" i="13"/>
  <c r="AM396" i="13"/>
  <c r="AK396" i="13"/>
  <c r="AJ396" i="13"/>
  <c r="AI396" i="13"/>
  <c r="AL396" i="13" s="1"/>
  <c r="AH396" i="13"/>
  <c r="AG396" i="13"/>
  <c r="AF396" i="13"/>
  <c r="AC396" i="13"/>
  <c r="AA396" i="13"/>
  <c r="Z396" i="13"/>
  <c r="V396" i="13"/>
  <c r="S396" i="13"/>
  <c r="P396" i="13"/>
  <c r="O396" i="13"/>
  <c r="N396" i="13"/>
  <c r="M396" i="13"/>
  <c r="AT395" i="13"/>
  <c r="AS395" i="13"/>
  <c r="AQ395" i="13"/>
  <c r="AP395" i="13"/>
  <c r="AO395" i="13"/>
  <c r="AN395" i="13"/>
  <c r="AM395" i="13"/>
  <c r="AK395" i="13"/>
  <c r="AI395" i="13"/>
  <c r="AL395" i="13" s="1"/>
  <c r="AH395" i="13"/>
  <c r="AG395" i="13"/>
  <c r="AF395" i="13"/>
  <c r="AJ395" i="13" s="1"/>
  <c r="AC395" i="13"/>
  <c r="AA395" i="13"/>
  <c r="Z395" i="13"/>
  <c r="V395" i="13"/>
  <c r="U395" i="13"/>
  <c r="S395" i="13"/>
  <c r="P395" i="13"/>
  <c r="O395" i="13"/>
  <c r="N395" i="13"/>
  <c r="M395" i="13"/>
  <c r="AS394" i="13"/>
  <c r="AQ394" i="13"/>
  <c r="AP394" i="13"/>
  <c r="AO394" i="13"/>
  <c r="AR394" i="13" s="1"/>
  <c r="AN394" i="13"/>
  <c r="AM394" i="13"/>
  <c r="AH394" i="13"/>
  <c r="AG394" i="13"/>
  <c r="AK394" i="13" s="1"/>
  <c r="AF394" i="13"/>
  <c r="AT394" i="13" s="1"/>
  <c r="AC394" i="13"/>
  <c r="AA394" i="13"/>
  <c r="Z394" i="13"/>
  <c r="W394" i="13"/>
  <c r="V394" i="13"/>
  <c r="S394" i="13"/>
  <c r="U394" i="13" s="1"/>
  <c r="P394" i="13"/>
  <c r="O394" i="13"/>
  <c r="N394" i="13"/>
  <c r="M394" i="13"/>
  <c r="AT393" i="13"/>
  <c r="AS393" i="13"/>
  <c r="AQ393" i="13"/>
  <c r="AP393" i="13"/>
  <c r="AO393" i="13"/>
  <c r="AR393" i="13" s="1"/>
  <c r="AN393" i="13"/>
  <c r="AM393" i="13"/>
  <c r="AJ393" i="13"/>
  <c r="AH393" i="13"/>
  <c r="AG393" i="13"/>
  <c r="AK393" i="13" s="1"/>
  <c r="AF393" i="13"/>
  <c r="AC393" i="13"/>
  <c r="AA393" i="13"/>
  <c r="Z393" i="13"/>
  <c r="V393" i="13"/>
  <c r="T393" i="13"/>
  <c r="S393" i="13"/>
  <c r="W393" i="13" s="1"/>
  <c r="P393" i="13"/>
  <c r="O393" i="13"/>
  <c r="N393" i="13"/>
  <c r="M393" i="13"/>
  <c r="AT392" i="13"/>
  <c r="AS392" i="13"/>
  <c r="AR392" i="13"/>
  <c r="AQ392" i="13"/>
  <c r="AP392" i="13"/>
  <c r="AO392" i="13"/>
  <c r="AN392" i="13"/>
  <c r="AM392" i="13"/>
  <c r="AL392" i="13"/>
  <c r="AK392" i="13"/>
  <c r="AJ392" i="13"/>
  <c r="AI392" i="13"/>
  <c r="AH392" i="13"/>
  <c r="AG392" i="13"/>
  <c r="AF392" i="13"/>
  <c r="AC392" i="13"/>
  <c r="AA392" i="13"/>
  <c r="Z392" i="13"/>
  <c r="V392" i="13"/>
  <c r="T392" i="13"/>
  <c r="S392" i="13"/>
  <c r="P392" i="13"/>
  <c r="O392" i="13"/>
  <c r="N392" i="13"/>
  <c r="M392" i="13"/>
  <c r="AT391" i="13"/>
  <c r="AS391" i="13"/>
  <c r="AQ391" i="13"/>
  <c r="AP391" i="13"/>
  <c r="AO391" i="13"/>
  <c r="AN391" i="13"/>
  <c r="AM391" i="13"/>
  <c r="AH391" i="13"/>
  <c r="AG391" i="13"/>
  <c r="AK391" i="13" s="1"/>
  <c r="AF391" i="13"/>
  <c r="AJ391" i="13" s="1"/>
  <c r="AC391" i="13"/>
  <c r="AA391" i="13"/>
  <c r="Z391" i="13"/>
  <c r="V391" i="13"/>
  <c r="S391" i="13"/>
  <c r="P391" i="13"/>
  <c r="O391" i="13"/>
  <c r="N391" i="13"/>
  <c r="M391" i="13"/>
  <c r="AS390" i="13"/>
  <c r="AR390" i="13"/>
  <c r="AQ390" i="13"/>
  <c r="AP390" i="13"/>
  <c r="AO390" i="13"/>
  <c r="AN390" i="13"/>
  <c r="AM390" i="13"/>
  <c r="AI390" i="13"/>
  <c r="AH390" i="13"/>
  <c r="AG390" i="13"/>
  <c r="AK390" i="13" s="1"/>
  <c r="AF390" i="13"/>
  <c r="AT390" i="13" s="1"/>
  <c r="AC390" i="13"/>
  <c r="AA390" i="13"/>
  <c r="Z390" i="13"/>
  <c r="W390" i="13"/>
  <c r="V390" i="13"/>
  <c r="U390" i="13"/>
  <c r="T390" i="13"/>
  <c r="S390" i="13"/>
  <c r="P390" i="13"/>
  <c r="O390" i="13"/>
  <c r="N390" i="13"/>
  <c r="M390" i="13"/>
  <c r="AT389" i="13"/>
  <c r="AS389" i="13"/>
  <c r="AR389" i="13"/>
  <c r="AQ389" i="13"/>
  <c r="AP389" i="13"/>
  <c r="AO389" i="13"/>
  <c r="AN389" i="13"/>
  <c r="AM389" i="13"/>
  <c r="AJ389" i="13"/>
  <c r="AI389" i="13"/>
  <c r="AL389" i="13" s="1"/>
  <c r="AH389" i="13"/>
  <c r="AG389" i="13"/>
  <c r="AK389" i="13" s="1"/>
  <c r="AF389" i="13"/>
  <c r="AC389" i="13"/>
  <c r="AA389" i="13"/>
  <c r="Z389" i="13"/>
  <c r="V389" i="13"/>
  <c r="S389" i="13"/>
  <c r="W389" i="13" s="1"/>
  <c r="P389" i="13"/>
  <c r="O389" i="13"/>
  <c r="N389" i="13"/>
  <c r="M389" i="13"/>
  <c r="AT388" i="13"/>
  <c r="AS388" i="13"/>
  <c r="AQ388" i="13"/>
  <c r="AP388" i="13"/>
  <c r="AO388" i="13"/>
  <c r="AR388" i="13" s="1"/>
  <c r="AN388" i="13"/>
  <c r="AM388" i="13"/>
  <c r="AK388" i="13"/>
  <c r="AJ388" i="13"/>
  <c r="AH388" i="13"/>
  <c r="AG388" i="13"/>
  <c r="AI388" i="13" s="1"/>
  <c r="AL388" i="13" s="1"/>
  <c r="AF388" i="13"/>
  <c r="AC388" i="13"/>
  <c r="AA388" i="13"/>
  <c r="Z388" i="13"/>
  <c r="V388" i="13"/>
  <c r="U388" i="13"/>
  <c r="S388" i="13"/>
  <c r="W388" i="13" s="1"/>
  <c r="P388" i="13"/>
  <c r="O388" i="13"/>
  <c r="N388" i="13"/>
  <c r="M388" i="13"/>
  <c r="AT387" i="13"/>
  <c r="AS387" i="13"/>
  <c r="AQ387" i="13"/>
  <c r="AP387" i="13"/>
  <c r="AO387" i="13"/>
  <c r="AR387" i="13" s="1"/>
  <c r="AN387" i="13"/>
  <c r="AM387" i="13"/>
  <c r="AK387" i="13"/>
  <c r="AH387" i="13"/>
  <c r="AG387" i="13"/>
  <c r="AF387" i="13"/>
  <c r="AJ387" i="13" s="1"/>
  <c r="AC387" i="13"/>
  <c r="AA387" i="13"/>
  <c r="Z387" i="13"/>
  <c r="W387" i="13"/>
  <c r="V387" i="13"/>
  <c r="U387" i="13"/>
  <c r="S387" i="13"/>
  <c r="P387" i="13"/>
  <c r="O387" i="13"/>
  <c r="N387" i="13"/>
  <c r="M387" i="13"/>
  <c r="AS386" i="13"/>
  <c r="AQ386" i="13"/>
  <c r="AP386" i="13"/>
  <c r="AO386" i="13"/>
  <c r="AR386" i="13" s="1"/>
  <c r="AN386" i="13"/>
  <c r="AM386" i="13"/>
  <c r="AH386" i="13"/>
  <c r="AG386" i="13"/>
  <c r="AK386" i="13" s="1"/>
  <c r="AF386" i="13"/>
  <c r="AT386" i="13" s="1"/>
  <c r="AC386" i="13"/>
  <c r="AA386" i="13"/>
  <c r="Z386" i="13"/>
  <c r="W386" i="13"/>
  <c r="V386" i="13"/>
  <c r="U386" i="13"/>
  <c r="T386" i="13"/>
  <c r="S386" i="13"/>
  <c r="P386" i="13"/>
  <c r="O386" i="13"/>
  <c r="N386" i="13"/>
  <c r="M386" i="13"/>
  <c r="AT385" i="13"/>
  <c r="AS385" i="13"/>
  <c r="AQ385" i="13"/>
  <c r="AP385" i="13"/>
  <c r="AO385" i="13"/>
  <c r="AR385" i="13" s="1"/>
  <c r="AN385" i="13"/>
  <c r="AM385" i="13"/>
  <c r="AJ385" i="13"/>
  <c r="AI385" i="13"/>
  <c r="AL385" i="13" s="1"/>
  <c r="AH385" i="13"/>
  <c r="AG385" i="13"/>
  <c r="AK385" i="13" s="1"/>
  <c r="AF385" i="13"/>
  <c r="AC385" i="13"/>
  <c r="AA385" i="13"/>
  <c r="Z385" i="13"/>
  <c r="W385" i="13"/>
  <c r="V385" i="13"/>
  <c r="U385" i="13"/>
  <c r="T385" i="13"/>
  <c r="S385" i="13"/>
  <c r="P385" i="13"/>
  <c r="O385" i="13"/>
  <c r="N385" i="13"/>
  <c r="M385" i="13"/>
  <c r="AS384" i="13"/>
  <c r="AR384" i="13"/>
  <c r="AQ384" i="13"/>
  <c r="AP384" i="13"/>
  <c r="AO384" i="13"/>
  <c r="AN384" i="13"/>
  <c r="AM384" i="13"/>
  <c r="AJ384" i="13"/>
  <c r="AH384" i="13"/>
  <c r="AG384" i="13"/>
  <c r="AK384" i="13" s="1"/>
  <c r="AF384" i="13"/>
  <c r="AC384" i="13"/>
  <c r="AA384" i="13"/>
  <c r="Z384" i="13"/>
  <c r="V384" i="13"/>
  <c r="T384" i="13"/>
  <c r="S384" i="13"/>
  <c r="U384" i="13" s="1"/>
  <c r="P384" i="13"/>
  <c r="O384" i="13"/>
  <c r="N384" i="13"/>
  <c r="M384" i="13"/>
  <c r="AS383" i="13"/>
  <c r="AQ383" i="13"/>
  <c r="AP383" i="13"/>
  <c r="AO383" i="13"/>
  <c r="AN383" i="13"/>
  <c r="AM383" i="13"/>
  <c r="AI383" i="13"/>
  <c r="AH383" i="13"/>
  <c r="AG383" i="13"/>
  <c r="AK383" i="13" s="1"/>
  <c r="AF383" i="13"/>
  <c r="AJ383" i="13" s="1"/>
  <c r="AC383" i="13"/>
  <c r="AA383" i="13"/>
  <c r="Z383" i="13"/>
  <c r="W383" i="13"/>
  <c r="V383" i="13"/>
  <c r="U383" i="13"/>
  <c r="S383" i="13"/>
  <c r="P383" i="13"/>
  <c r="O383" i="13"/>
  <c r="N383" i="13"/>
  <c r="M383" i="13"/>
  <c r="AS382" i="13"/>
  <c r="AQ382" i="13"/>
  <c r="AP382" i="13"/>
  <c r="AO382" i="13"/>
  <c r="AN382" i="13"/>
  <c r="AM382" i="13"/>
  <c r="AK382" i="13"/>
  <c r="AH382" i="13"/>
  <c r="AG382" i="13"/>
  <c r="AF382" i="13"/>
  <c r="AT382" i="13" s="1"/>
  <c r="AC382" i="13"/>
  <c r="AA382" i="13"/>
  <c r="Z382" i="13"/>
  <c r="W382" i="13"/>
  <c r="V382" i="13"/>
  <c r="U382" i="13"/>
  <c r="T382" i="13"/>
  <c r="S382" i="13"/>
  <c r="P382" i="13"/>
  <c r="O382" i="13"/>
  <c r="N382" i="13"/>
  <c r="M382" i="13"/>
  <c r="AT381" i="13"/>
  <c r="AS381" i="13"/>
  <c r="AQ381" i="13"/>
  <c r="AP381" i="13"/>
  <c r="AO381" i="13"/>
  <c r="AR381" i="13" s="1"/>
  <c r="AN381" i="13"/>
  <c r="AM381" i="13"/>
  <c r="AJ381" i="13"/>
  <c r="AH381" i="13"/>
  <c r="AG381" i="13"/>
  <c r="AI381" i="13" s="1"/>
  <c r="AL381" i="13" s="1"/>
  <c r="AF381" i="13"/>
  <c r="AC381" i="13"/>
  <c r="AA381" i="13"/>
  <c r="Z381" i="13"/>
  <c r="W381" i="13"/>
  <c r="V381" i="13"/>
  <c r="U381" i="13"/>
  <c r="T381" i="13"/>
  <c r="S381" i="13"/>
  <c r="P381" i="13"/>
  <c r="O381" i="13"/>
  <c r="N381" i="13"/>
  <c r="M381" i="13"/>
  <c r="AS380" i="13"/>
  <c r="AQ380" i="13"/>
  <c r="AP380" i="13"/>
  <c r="AO380" i="13"/>
  <c r="AN380" i="13"/>
  <c r="AM380" i="13"/>
  <c r="AI380" i="13"/>
  <c r="AL380" i="13" s="1"/>
  <c r="AH380" i="13"/>
  <c r="AG380" i="13"/>
  <c r="AK380" i="13" s="1"/>
  <c r="AF380" i="13"/>
  <c r="AJ380" i="13" s="1"/>
  <c r="AC380" i="13"/>
  <c r="AA380" i="13"/>
  <c r="Z380" i="13"/>
  <c r="W380" i="13"/>
  <c r="V380" i="13"/>
  <c r="S380" i="13"/>
  <c r="P380" i="13"/>
  <c r="O380" i="13"/>
  <c r="N380" i="13"/>
  <c r="M380" i="13"/>
  <c r="AS379" i="13"/>
  <c r="AQ379" i="13"/>
  <c r="AP379" i="13"/>
  <c r="AO379" i="13"/>
  <c r="AN379" i="13"/>
  <c r="AM379" i="13"/>
  <c r="AH379" i="13"/>
  <c r="AG379" i="13"/>
  <c r="AK379" i="13" s="1"/>
  <c r="AF379" i="13"/>
  <c r="AJ379" i="13" s="1"/>
  <c r="AC379" i="13"/>
  <c r="AA379" i="13"/>
  <c r="Z379" i="13"/>
  <c r="W379" i="13"/>
  <c r="V379" i="13"/>
  <c r="U379" i="13"/>
  <c r="S379" i="13"/>
  <c r="P379" i="13"/>
  <c r="O379" i="13"/>
  <c r="N379" i="13"/>
  <c r="M379" i="13"/>
  <c r="AS378" i="13"/>
  <c r="AQ378" i="13"/>
  <c r="AP378" i="13"/>
  <c r="AO378" i="13"/>
  <c r="AR378" i="13" s="1"/>
  <c r="AN378" i="13"/>
  <c r="AM378" i="13"/>
  <c r="AK378" i="13"/>
  <c r="AJ378" i="13"/>
  <c r="AH378" i="13"/>
  <c r="AG378" i="13"/>
  <c r="AF378" i="13"/>
  <c r="AC378" i="13"/>
  <c r="AA378" i="13"/>
  <c r="Z378" i="13"/>
  <c r="V378" i="13"/>
  <c r="S378" i="13"/>
  <c r="P378" i="13"/>
  <c r="O378" i="13"/>
  <c r="N378" i="13"/>
  <c r="M378" i="13"/>
  <c r="AT377" i="13"/>
  <c r="AS377" i="13"/>
  <c r="AQ377" i="13"/>
  <c r="AP377" i="13"/>
  <c r="AO377" i="13"/>
  <c r="AR377" i="13" s="1"/>
  <c r="AN377" i="13"/>
  <c r="AM377" i="13"/>
  <c r="AJ377" i="13"/>
  <c r="AH377" i="13"/>
  <c r="AG377" i="13"/>
  <c r="AI377" i="13" s="1"/>
  <c r="AL377" i="13" s="1"/>
  <c r="AF377" i="13"/>
  <c r="AC377" i="13"/>
  <c r="AA377" i="13"/>
  <c r="Z377" i="13"/>
  <c r="W377" i="13"/>
  <c r="V377" i="13"/>
  <c r="U377" i="13"/>
  <c r="T377" i="13"/>
  <c r="S377" i="13"/>
  <c r="P377" i="13"/>
  <c r="O377" i="13"/>
  <c r="N377" i="13"/>
  <c r="M377" i="13"/>
  <c r="AT376" i="13"/>
  <c r="AS376" i="13"/>
  <c r="AQ376" i="13"/>
  <c r="AP376" i="13"/>
  <c r="AO376" i="13"/>
  <c r="AR376" i="13" s="1"/>
  <c r="AN376" i="13"/>
  <c r="AM376" i="13"/>
  <c r="AH376" i="13"/>
  <c r="AG376" i="13"/>
  <c r="AK376" i="13" s="1"/>
  <c r="AF376" i="13"/>
  <c r="AC376" i="13"/>
  <c r="AA376" i="13"/>
  <c r="Z376" i="13"/>
  <c r="W376" i="13"/>
  <c r="V376" i="13"/>
  <c r="U376" i="13"/>
  <c r="T376" i="13"/>
  <c r="S376" i="13"/>
  <c r="P376" i="13"/>
  <c r="O376" i="13"/>
  <c r="N376" i="13"/>
  <c r="M376" i="13"/>
  <c r="AS375" i="13"/>
  <c r="AQ375" i="13"/>
  <c r="AP375" i="13"/>
  <c r="AO375" i="13"/>
  <c r="AN375" i="13"/>
  <c r="AM375" i="13"/>
  <c r="AH375" i="13"/>
  <c r="AG375" i="13"/>
  <c r="AK375" i="13" s="1"/>
  <c r="AF375" i="13"/>
  <c r="AJ375" i="13" s="1"/>
  <c r="AC375" i="13"/>
  <c r="AA375" i="13"/>
  <c r="Z375" i="13"/>
  <c r="V375" i="13"/>
  <c r="S375" i="13"/>
  <c r="P375" i="13"/>
  <c r="O375" i="13"/>
  <c r="N375" i="13"/>
  <c r="M375" i="13"/>
  <c r="AS374" i="13"/>
  <c r="AR374" i="13"/>
  <c r="AQ374" i="13"/>
  <c r="AP374" i="13"/>
  <c r="AO374" i="13"/>
  <c r="AN374" i="13"/>
  <c r="AM374" i="13"/>
  <c r="AK374" i="13"/>
  <c r="AJ374" i="13"/>
  <c r="AI374" i="13"/>
  <c r="AH374" i="13"/>
  <c r="AG374" i="13"/>
  <c r="AF374" i="13"/>
  <c r="AT374" i="13" s="1"/>
  <c r="AC374" i="13"/>
  <c r="AA374" i="13"/>
  <c r="Z374" i="13"/>
  <c r="V374" i="13"/>
  <c r="S374" i="13"/>
  <c r="P374" i="13"/>
  <c r="O374" i="13"/>
  <c r="N374" i="13"/>
  <c r="M374" i="13"/>
  <c r="AT373" i="13"/>
  <c r="AS373" i="13"/>
  <c r="AR373" i="13"/>
  <c r="AQ373" i="13"/>
  <c r="AP373" i="13"/>
  <c r="AO373" i="13"/>
  <c r="AN373" i="13"/>
  <c r="AM373" i="13"/>
  <c r="AK373" i="13"/>
  <c r="AJ373" i="13"/>
  <c r="AL373" i="13" s="1"/>
  <c r="AI373" i="13"/>
  <c r="AH373" i="13"/>
  <c r="AG373" i="13"/>
  <c r="AF373" i="13"/>
  <c r="AC373" i="13"/>
  <c r="AA373" i="13"/>
  <c r="Z373" i="13"/>
  <c r="W373" i="13"/>
  <c r="V373" i="13"/>
  <c r="T373" i="13"/>
  <c r="S373" i="13"/>
  <c r="P373" i="13"/>
  <c r="O373" i="13"/>
  <c r="N373" i="13"/>
  <c r="M373" i="13"/>
  <c r="AT372" i="13"/>
  <c r="AS372" i="13"/>
  <c r="AQ372" i="13"/>
  <c r="AP372" i="13"/>
  <c r="AO372" i="13"/>
  <c r="AR372" i="13" s="1"/>
  <c r="AN372" i="13"/>
  <c r="AM372" i="13"/>
  <c r="AK372" i="13"/>
  <c r="AH372" i="13"/>
  <c r="AG372" i="13"/>
  <c r="AF372" i="13"/>
  <c r="AC372" i="13"/>
  <c r="AA372" i="13"/>
  <c r="Z372" i="13"/>
  <c r="W372" i="13"/>
  <c r="V372" i="13"/>
  <c r="U372" i="13"/>
  <c r="T372" i="13"/>
  <c r="S372" i="13"/>
  <c r="P372" i="13"/>
  <c r="O372" i="13"/>
  <c r="N372" i="13"/>
  <c r="M372" i="13"/>
  <c r="AT371" i="13"/>
  <c r="AS371" i="13"/>
  <c r="AQ371" i="13"/>
  <c r="AP371" i="13"/>
  <c r="AO371" i="13"/>
  <c r="AR371" i="13" s="1"/>
  <c r="AN371" i="13"/>
  <c r="AM371" i="13"/>
  <c r="AK371" i="13"/>
  <c r="AH371" i="13"/>
  <c r="AG371" i="13"/>
  <c r="AF371" i="13"/>
  <c r="AC371" i="13"/>
  <c r="AA371" i="13"/>
  <c r="Z371" i="13"/>
  <c r="V371" i="13"/>
  <c r="S371" i="13"/>
  <c r="P371" i="13"/>
  <c r="O371" i="13"/>
  <c r="N371" i="13"/>
  <c r="M371" i="13"/>
  <c r="AS370" i="13"/>
  <c r="AQ370" i="13"/>
  <c r="AR370" i="13" s="1"/>
  <c r="AP370" i="13"/>
  <c r="AO370" i="13"/>
  <c r="AN370" i="13"/>
  <c r="AM370" i="13"/>
  <c r="AK370" i="13"/>
  <c r="AJ370" i="13"/>
  <c r="AI370" i="13"/>
  <c r="AH370" i="13"/>
  <c r="AG370" i="13"/>
  <c r="AF370" i="13"/>
  <c r="AT370" i="13" s="1"/>
  <c r="AC370" i="13"/>
  <c r="AA370" i="13"/>
  <c r="Z370" i="13"/>
  <c r="V370" i="13"/>
  <c r="T370" i="13"/>
  <c r="S370" i="13"/>
  <c r="P370" i="13"/>
  <c r="O370" i="13"/>
  <c r="N370" i="13"/>
  <c r="M370" i="13"/>
  <c r="AT369" i="13"/>
  <c r="AS369" i="13"/>
  <c r="AR369" i="13"/>
  <c r="AQ369" i="13"/>
  <c r="AP369" i="13"/>
  <c r="AO369" i="13"/>
  <c r="AN369" i="13"/>
  <c r="AM369" i="13"/>
  <c r="AL369" i="13"/>
  <c r="AK369" i="13"/>
  <c r="AJ369" i="13"/>
  <c r="AI369" i="13"/>
  <c r="AH369" i="13"/>
  <c r="AG369" i="13"/>
  <c r="AF369" i="13"/>
  <c r="AC369" i="13"/>
  <c r="AA369" i="13"/>
  <c r="Z369" i="13"/>
  <c r="V369" i="13"/>
  <c r="S369" i="13"/>
  <c r="U369" i="13" s="1"/>
  <c r="P369" i="13"/>
  <c r="O369" i="13"/>
  <c r="N369" i="13"/>
  <c r="M369" i="13"/>
  <c r="AT368" i="13"/>
  <c r="AS368" i="13"/>
  <c r="AR368" i="13"/>
  <c r="AQ368" i="13"/>
  <c r="AP368" i="13"/>
  <c r="AO368" i="13"/>
  <c r="AN368" i="13"/>
  <c r="AM368" i="13"/>
  <c r="AK368" i="13"/>
  <c r="AJ368" i="13"/>
  <c r="AL368" i="13" s="1"/>
  <c r="AH368" i="13"/>
  <c r="AG368" i="13"/>
  <c r="AF368" i="13"/>
  <c r="AI368" i="13" s="1"/>
  <c r="AC368" i="13"/>
  <c r="AA368" i="13"/>
  <c r="Z368" i="13"/>
  <c r="W368" i="13"/>
  <c r="V368" i="13"/>
  <c r="U368" i="13"/>
  <c r="T368" i="13"/>
  <c r="S368" i="13"/>
  <c r="P368" i="13"/>
  <c r="O368" i="13"/>
  <c r="N368" i="13"/>
  <c r="M368" i="13"/>
  <c r="AT367" i="13"/>
  <c r="AS367" i="13"/>
  <c r="AQ367" i="13"/>
  <c r="AP367" i="13"/>
  <c r="AO367" i="13"/>
  <c r="AN367" i="13"/>
  <c r="AM367" i="13"/>
  <c r="AK367" i="13"/>
  <c r="AI367" i="13"/>
  <c r="AL367" i="13" s="1"/>
  <c r="AH367" i="13"/>
  <c r="AG367" i="13"/>
  <c r="AF367" i="13"/>
  <c r="AJ367" i="13" s="1"/>
  <c r="AC367" i="13"/>
  <c r="AA367" i="13"/>
  <c r="Z367" i="13"/>
  <c r="V367" i="13"/>
  <c r="S367" i="13"/>
  <c r="P367" i="13"/>
  <c r="O367" i="13"/>
  <c r="N367" i="13"/>
  <c r="M367" i="13"/>
  <c r="AS366" i="13"/>
  <c r="AQ366" i="13"/>
  <c r="AP366" i="13"/>
  <c r="AR366" i="13" s="1"/>
  <c r="AO366" i="13"/>
  <c r="AN366" i="13"/>
  <c r="AM366" i="13"/>
  <c r="AJ366" i="13"/>
  <c r="AH366" i="13"/>
  <c r="AG366" i="13"/>
  <c r="AI366" i="13" s="1"/>
  <c r="AF366" i="13"/>
  <c r="AT366" i="13" s="1"/>
  <c r="AC366" i="13"/>
  <c r="AD366" i="13" s="1"/>
  <c r="AA366" i="13"/>
  <c r="Z366" i="13"/>
  <c r="V366" i="13"/>
  <c r="S366" i="13"/>
  <c r="P366" i="13"/>
  <c r="O366" i="13"/>
  <c r="N366" i="13"/>
  <c r="M366" i="13"/>
  <c r="AT365" i="13"/>
  <c r="AS365" i="13"/>
  <c r="AQ365" i="13"/>
  <c r="AR365" i="13" s="1"/>
  <c r="AP365" i="13"/>
  <c r="AO365" i="13"/>
  <c r="AN365" i="13"/>
  <c r="AM365" i="13"/>
  <c r="AK365" i="13"/>
  <c r="AJ365" i="13"/>
  <c r="AI365" i="13"/>
  <c r="AL365" i="13" s="1"/>
  <c r="AH365" i="13"/>
  <c r="AG365" i="13"/>
  <c r="AF365" i="13"/>
  <c r="AC365" i="13"/>
  <c r="AA365" i="13"/>
  <c r="Z365" i="13"/>
  <c r="V365" i="13"/>
  <c r="S365" i="13"/>
  <c r="P365" i="13"/>
  <c r="O365" i="13"/>
  <c r="N365" i="13"/>
  <c r="M365" i="13"/>
  <c r="AT364" i="13"/>
  <c r="AS364" i="13"/>
  <c r="AQ364" i="13"/>
  <c r="AR364" i="13" s="1"/>
  <c r="AP364" i="13"/>
  <c r="AO364" i="13"/>
  <c r="AN364" i="13"/>
  <c r="AM364" i="13"/>
  <c r="AK364" i="13"/>
  <c r="AJ364" i="13"/>
  <c r="AI364" i="13"/>
  <c r="AL364" i="13" s="1"/>
  <c r="AH364" i="13"/>
  <c r="AG364" i="13"/>
  <c r="AF364" i="13"/>
  <c r="AC364" i="13"/>
  <c r="AA364" i="13"/>
  <c r="Z364" i="13"/>
  <c r="V364" i="13"/>
  <c r="S364" i="13"/>
  <c r="P364" i="13"/>
  <c r="O364" i="13"/>
  <c r="N364" i="13"/>
  <c r="M364" i="13"/>
  <c r="AT363" i="13"/>
  <c r="AS363" i="13"/>
  <c r="AQ363" i="13"/>
  <c r="AP363" i="13"/>
  <c r="AO363" i="13"/>
  <c r="AN363" i="13"/>
  <c r="AM363" i="13"/>
  <c r="AL363" i="13"/>
  <c r="AK363" i="13"/>
  <c r="AI363" i="13"/>
  <c r="AH363" i="13"/>
  <c r="AG363" i="13"/>
  <c r="AF363" i="13"/>
  <c r="AJ363" i="13" s="1"/>
  <c r="AC363" i="13"/>
  <c r="AA363" i="13"/>
  <c r="Z363" i="13"/>
  <c r="V363" i="13"/>
  <c r="U363" i="13"/>
  <c r="S363" i="13"/>
  <c r="P363" i="13"/>
  <c r="O363" i="13"/>
  <c r="N363" i="13"/>
  <c r="M363" i="13"/>
  <c r="AS362" i="13"/>
  <c r="AQ362" i="13"/>
  <c r="AP362" i="13"/>
  <c r="AO362" i="13"/>
  <c r="AR362" i="13" s="1"/>
  <c r="AN362" i="13"/>
  <c r="AM362" i="13"/>
  <c r="AI362" i="13"/>
  <c r="AL362" i="13" s="1"/>
  <c r="AH362" i="13"/>
  <c r="AG362" i="13"/>
  <c r="AK362" i="13" s="1"/>
  <c r="AF362" i="13"/>
  <c r="AT362" i="13" s="1"/>
  <c r="AC362" i="13"/>
  <c r="AA362" i="13"/>
  <c r="Z362" i="13"/>
  <c r="V362" i="13"/>
  <c r="S362" i="13"/>
  <c r="P362" i="13"/>
  <c r="O362" i="13"/>
  <c r="N362" i="13"/>
  <c r="M362" i="13"/>
  <c r="AT361" i="13"/>
  <c r="AS361" i="13"/>
  <c r="AR361" i="13"/>
  <c r="AQ361" i="13"/>
  <c r="AP361" i="13"/>
  <c r="AO361" i="13"/>
  <c r="AN361" i="13"/>
  <c r="AM361" i="13"/>
  <c r="AK361" i="13"/>
  <c r="AJ361" i="13"/>
  <c r="AI361" i="13"/>
  <c r="AH361" i="13"/>
  <c r="AG361" i="13"/>
  <c r="AF361" i="13"/>
  <c r="AC361" i="13"/>
  <c r="AA361" i="13"/>
  <c r="Z361" i="13"/>
  <c r="V361" i="13"/>
  <c r="T361" i="13"/>
  <c r="S361" i="13"/>
  <c r="P361" i="13"/>
  <c r="O361" i="13"/>
  <c r="N361" i="13"/>
  <c r="M361" i="13"/>
  <c r="AT360" i="13"/>
  <c r="AS360" i="13"/>
  <c r="AR360" i="13"/>
  <c r="AQ360" i="13"/>
  <c r="AP360" i="13"/>
  <c r="AO360" i="13"/>
  <c r="AN360" i="13"/>
  <c r="AM360" i="13"/>
  <c r="AK360" i="13"/>
  <c r="AJ360" i="13"/>
  <c r="AL360" i="13" s="1"/>
  <c r="AI360" i="13"/>
  <c r="AH360" i="13"/>
  <c r="AG360" i="13"/>
  <c r="AF360" i="13"/>
  <c r="AC360" i="13"/>
  <c r="AA360" i="13"/>
  <c r="Z360" i="13"/>
  <c r="V360" i="13"/>
  <c r="U360" i="13"/>
  <c r="T360" i="13"/>
  <c r="S360" i="13"/>
  <c r="P360" i="13"/>
  <c r="O360" i="13"/>
  <c r="N360" i="13"/>
  <c r="M360" i="13"/>
  <c r="AT359" i="13"/>
  <c r="AS359" i="13"/>
  <c r="AQ359" i="13"/>
  <c r="AP359" i="13"/>
  <c r="AO359" i="13"/>
  <c r="AN359" i="13"/>
  <c r="AM359" i="13"/>
  <c r="AK359" i="13"/>
  <c r="AH359" i="13"/>
  <c r="AG359" i="13"/>
  <c r="AI359" i="13" s="1"/>
  <c r="AL359" i="13" s="1"/>
  <c r="AF359" i="13"/>
  <c r="AJ359" i="13" s="1"/>
  <c r="AC359" i="13"/>
  <c r="AA359" i="13"/>
  <c r="Z359" i="13"/>
  <c r="V359" i="13"/>
  <c r="S359" i="13"/>
  <c r="P359" i="13"/>
  <c r="O359" i="13"/>
  <c r="N359" i="13"/>
  <c r="M359" i="13"/>
  <c r="AS358" i="13"/>
  <c r="AQ358" i="13"/>
  <c r="AP358" i="13"/>
  <c r="AR358" i="13" s="1"/>
  <c r="AO358" i="13"/>
  <c r="AN358" i="13"/>
  <c r="AM358" i="13"/>
  <c r="AH358" i="13"/>
  <c r="AG358" i="13"/>
  <c r="AK358" i="13" s="1"/>
  <c r="AF358" i="13"/>
  <c r="AC358" i="13"/>
  <c r="AA358" i="13"/>
  <c r="Z358" i="13"/>
  <c r="W358" i="13"/>
  <c r="V358" i="13"/>
  <c r="U358" i="13"/>
  <c r="T358" i="13"/>
  <c r="S358" i="13"/>
  <c r="P358" i="13"/>
  <c r="O358" i="13"/>
  <c r="N358" i="13"/>
  <c r="M358" i="13"/>
  <c r="AT357" i="13"/>
  <c r="AS357" i="13"/>
  <c r="AR357" i="13"/>
  <c r="AQ357" i="13"/>
  <c r="AP357" i="13"/>
  <c r="AO357" i="13"/>
  <c r="AN357" i="13"/>
  <c r="AM357" i="13"/>
  <c r="AJ357" i="13"/>
  <c r="AI357" i="13"/>
  <c r="AL357" i="13" s="1"/>
  <c r="AH357" i="13"/>
  <c r="AG357" i="13"/>
  <c r="AK357" i="13" s="1"/>
  <c r="AF357" i="13"/>
  <c r="AC357" i="13"/>
  <c r="AA357" i="13"/>
  <c r="Z357" i="13"/>
  <c r="W357" i="13"/>
  <c r="V357" i="13"/>
  <c r="S357" i="13"/>
  <c r="P357" i="13"/>
  <c r="O357" i="13"/>
  <c r="N357" i="13"/>
  <c r="M357" i="13"/>
  <c r="AS356" i="13"/>
  <c r="AQ356" i="13"/>
  <c r="AP356" i="13"/>
  <c r="AO356" i="13"/>
  <c r="AR356" i="13" s="1"/>
  <c r="AN356" i="13"/>
  <c r="AM356" i="13"/>
  <c r="AK356" i="13"/>
  <c r="AJ356" i="13"/>
  <c r="AH356" i="13"/>
  <c r="AG356" i="13"/>
  <c r="AI356" i="13" s="1"/>
  <c r="AL356" i="13" s="1"/>
  <c r="AF356" i="13"/>
  <c r="AT356" i="13" s="1"/>
  <c r="AC356" i="13"/>
  <c r="AA356" i="13"/>
  <c r="Z356" i="13"/>
  <c r="V356" i="13"/>
  <c r="T356" i="13"/>
  <c r="S356" i="13"/>
  <c r="P356" i="13"/>
  <c r="O356" i="13"/>
  <c r="N356" i="13"/>
  <c r="M356" i="13"/>
  <c r="AT355" i="13"/>
  <c r="AS355" i="13"/>
  <c r="AQ355" i="13"/>
  <c r="AP355" i="13"/>
  <c r="AO355" i="13"/>
  <c r="AN355" i="13"/>
  <c r="AM355" i="13"/>
  <c r="AK355" i="13"/>
  <c r="AH355" i="13"/>
  <c r="AG355" i="13"/>
  <c r="AF355" i="13"/>
  <c r="AJ355" i="13" s="1"/>
  <c r="AC355" i="13"/>
  <c r="AA355" i="13"/>
  <c r="Z355" i="13"/>
  <c r="W355" i="13"/>
  <c r="V355" i="13"/>
  <c r="U355" i="13"/>
  <c r="S355" i="13"/>
  <c r="P355" i="13"/>
  <c r="O355" i="13"/>
  <c r="N355" i="13"/>
  <c r="M355" i="13"/>
  <c r="AS354" i="13"/>
  <c r="AQ354" i="13"/>
  <c r="AP354" i="13"/>
  <c r="AO354" i="13"/>
  <c r="AN354" i="13"/>
  <c r="AM354" i="13"/>
  <c r="AH354" i="13"/>
  <c r="AG354" i="13"/>
  <c r="AK354" i="13" s="1"/>
  <c r="AF354" i="13"/>
  <c r="AC354" i="13"/>
  <c r="AA354" i="13"/>
  <c r="Z354" i="13"/>
  <c r="W354" i="13"/>
  <c r="V354" i="13"/>
  <c r="U354" i="13"/>
  <c r="T354" i="13"/>
  <c r="S354" i="13"/>
  <c r="P354" i="13"/>
  <c r="O354" i="13"/>
  <c r="N354" i="13"/>
  <c r="M354" i="13"/>
  <c r="AT353" i="13"/>
  <c r="AS353" i="13"/>
  <c r="AQ353" i="13"/>
  <c r="AP353" i="13"/>
  <c r="AO353" i="13"/>
  <c r="AN353" i="13"/>
  <c r="AM353" i="13"/>
  <c r="AL353" i="13"/>
  <c r="AJ353" i="13"/>
  <c r="AI353" i="13"/>
  <c r="AH353" i="13"/>
  <c r="AG353" i="13"/>
  <c r="AK353" i="13" s="1"/>
  <c r="AF353" i="13"/>
  <c r="AD353" i="13"/>
  <c r="AC353" i="13"/>
  <c r="AA353" i="13"/>
  <c r="Z353" i="13"/>
  <c r="W353" i="13"/>
  <c r="V353" i="13"/>
  <c r="U353" i="13"/>
  <c r="T353" i="13"/>
  <c r="S353" i="13"/>
  <c r="P353" i="13"/>
  <c r="O353" i="13"/>
  <c r="N353" i="13"/>
  <c r="M353" i="13"/>
  <c r="AS352" i="13"/>
  <c r="AR352" i="13"/>
  <c r="AQ352" i="13"/>
  <c r="AP352" i="13"/>
  <c r="AO352" i="13"/>
  <c r="AN352" i="13"/>
  <c r="AM352" i="13"/>
  <c r="AJ352" i="13"/>
  <c r="AH352" i="13"/>
  <c r="AG352" i="13"/>
  <c r="AK352" i="13" s="1"/>
  <c r="AF352" i="13"/>
  <c r="AT352" i="13" s="1"/>
  <c r="AC352" i="13"/>
  <c r="AA352" i="13"/>
  <c r="Z352" i="13"/>
  <c r="W352" i="13"/>
  <c r="V352" i="13"/>
  <c r="T352" i="13"/>
  <c r="S352" i="13"/>
  <c r="U352" i="13" s="1"/>
  <c r="P352" i="13"/>
  <c r="O352" i="13"/>
  <c r="N352" i="13"/>
  <c r="M352" i="13"/>
  <c r="AS351" i="13"/>
  <c r="AQ351" i="13"/>
  <c r="AP351" i="13"/>
  <c r="AO351" i="13"/>
  <c r="AR351" i="13" s="1"/>
  <c r="AN351" i="13"/>
  <c r="AM351" i="13"/>
  <c r="AI351" i="13"/>
  <c r="AL351" i="13" s="1"/>
  <c r="AH351" i="13"/>
  <c r="AG351" i="13"/>
  <c r="AK351" i="13" s="1"/>
  <c r="AF351" i="13"/>
  <c r="AD351" i="13"/>
  <c r="AC351" i="13"/>
  <c r="AA351" i="13"/>
  <c r="Z351" i="13"/>
  <c r="W351" i="13"/>
  <c r="V351" i="13"/>
  <c r="U351" i="13"/>
  <c r="S351" i="13"/>
  <c r="P351" i="13"/>
  <c r="O351" i="13"/>
  <c r="N351" i="13"/>
  <c r="M351" i="13"/>
  <c r="AS350" i="13"/>
  <c r="AQ350" i="13"/>
  <c r="AP350" i="13"/>
  <c r="AO350" i="13"/>
  <c r="AR350" i="13" s="1"/>
  <c r="AN350" i="13"/>
  <c r="AM350" i="13"/>
  <c r="AJ350" i="13"/>
  <c r="AH350" i="13"/>
  <c r="AG350" i="13"/>
  <c r="AK350" i="13" s="1"/>
  <c r="AF350" i="13"/>
  <c r="AC350" i="13"/>
  <c r="AA350" i="13"/>
  <c r="Z350" i="13"/>
  <c r="W350" i="13"/>
  <c r="V350" i="13"/>
  <c r="U350" i="13"/>
  <c r="T350" i="13"/>
  <c r="S350" i="13"/>
  <c r="P350" i="13"/>
  <c r="O350" i="13"/>
  <c r="N350" i="13"/>
  <c r="M350" i="13"/>
  <c r="AT349" i="13"/>
  <c r="AS349" i="13"/>
  <c r="AQ349" i="13"/>
  <c r="AP349" i="13"/>
  <c r="AO349" i="13"/>
  <c r="AN349" i="13"/>
  <c r="AM349" i="13"/>
  <c r="AL349" i="13"/>
  <c r="AJ349" i="13"/>
  <c r="AH349" i="13"/>
  <c r="AG349" i="13"/>
  <c r="AI349" i="13" s="1"/>
  <c r="AF349" i="13"/>
  <c r="AC349" i="13"/>
  <c r="AA349" i="13"/>
  <c r="Z349" i="13"/>
  <c r="V349" i="13"/>
  <c r="T349" i="13"/>
  <c r="S349" i="13"/>
  <c r="P349" i="13"/>
  <c r="O349" i="13"/>
  <c r="N349" i="13"/>
  <c r="M349" i="13"/>
  <c r="AS348" i="13"/>
  <c r="AQ348" i="13"/>
  <c r="AP348" i="13"/>
  <c r="AO348" i="13"/>
  <c r="AR348" i="13" s="1"/>
  <c r="AN348" i="13"/>
  <c r="AM348" i="13"/>
  <c r="AI348" i="13"/>
  <c r="AH348" i="13"/>
  <c r="AG348" i="13"/>
  <c r="AK348" i="13" s="1"/>
  <c r="AF348" i="13"/>
  <c r="AJ348" i="13" s="1"/>
  <c r="AC348" i="13"/>
  <c r="AA348" i="13"/>
  <c r="Z348" i="13"/>
  <c r="W348" i="13"/>
  <c r="V348" i="13"/>
  <c r="S348" i="13"/>
  <c r="P348" i="13"/>
  <c r="O348" i="13"/>
  <c r="N348" i="13"/>
  <c r="M348" i="13"/>
  <c r="AT347" i="13"/>
  <c r="AS347" i="13"/>
  <c r="AQ347" i="13"/>
  <c r="AP347" i="13"/>
  <c r="AO347" i="13"/>
  <c r="AR347" i="13" s="1"/>
  <c r="AN347" i="13"/>
  <c r="AM347" i="13"/>
  <c r="AK347" i="13"/>
  <c r="AH347" i="13"/>
  <c r="AG347" i="13"/>
  <c r="AF347" i="13"/>
  <c r="AC347" i="13"/>
  <c r="AA347" i="13"/>
  <c r="Z347" i="13"/>
  <c r="V347" i="13"/>
  <c r="S347" i="13"/>
  <c r="P347" i="13"/>
  <c r="O347" i="13"/>
  <c r="N347" i="13"/>
  <c r="M347" i="13"/>
  <c r="AS346" i="13"/>
  <c r="AQ346" i="13"/>
  <c r="AP346" i="13"/>
  <c r="AO346" i="13"/>
  <c r="AR346" i="13" s="1"/>
  <c r="AN346" i="13"/>
  <c r="AM346" i="13"/>
  <c r="AK346" i="13"/>
  <c r="AJ346" i="13"/>
  <c r="AH346" i="13"/>
  <c r="AG346" i="13"/>
  <c r="AF346" i="13"/>
  <c r="AT346" i="13" s="1"/>
  <c r="AC346" i="13"/>
  <c r="AA346" i="13"/>
  <c r="Z346" i="13"/>
  <c r="W346" i="13"/>
  <c r="V346" i="13"/>
  <c r="T346" i="13"/>
  <c r="S346" i="13"/>
  <c r="P346" i="13"/>
  <c r="O346" i="13"/>
  <c r="N346" i="13"/>
  <c r="M346" i="13"/>
  <c r="AT345" i="13"/>
  <c r="AS345" i="13"/>
  <c r="AR345" i="13"/>
  <c r="AQ345" i="13"/>
  <c r="AP345" i="13"/>
  <c r="AO345" i="13"/>
  <c r="AN345" i="13"/>
  <c r="AM345" i="13"/>
  <c r="AJ345" i="13"/>
  <c r="AH345" i="13"/>
  <c r="AG345" i="13"/>
  <c r="AK345" i="13" s="1"/>
  <c r="AF345" i="13"/>
  <c r="AC345" i="13"/>
  <c r="AA345" i="13"/>
  <c r="Z345" i="13"/>
  <c r="V345" i="13"/>
  <c r="S345" i="13"/>
  <c r="W345" i="13" s="1"/>
  <c r="P345" i="13"/>
  <c r="O345" i="13"/>
  <c r="N345" i="13"/>
  <c r="M345" i="13"/>
  <c r="AT344" i="13"/>
  <c r="AS344" i="13"/>
  <c r="AR344" i="13"/>
  <c r="AQ344" i="13"/>
  <c r="AP344" i="13"/>
  <c r="AO344" i="13"/>
  <c r="AN344" i="13"/>
  <c r="AM344" i="13"/>
  <c r="AJ344" i="13"/>
  <c r="AH344" i="13"/>
  <c r="AG344" i="13"/>
  <c r="AK344" i="13" s="1"/>
  <c r="AF344" i="13"/>
  <c r="AC344" i="13"/>
  <c r="AA344" i="13"/>
  <c r="Z344" i="13"/>
  <c r="W344" i="13"/>
  <c r="V344" i="13"/>
  <c r="U344" i="13"/>
  <c r="T344" i="13"/>
  <c r="S344" i="13"/>
  <c r="P344" i="13"/>
  <c r="O344" i="13"/>
  <c r="N344" i="13"/>
  <c r="M344" i="13"/>
  <c r="AT343" i="13"/>
  <c r="AS343" i="13"/>
  <c r="AQ343" i="13"/>
  <c r="AP343" i="13"/>
  <c r="AO343" i="13"/>
  <c r="AR343" i="13" s="1"/>
  <c r="AN343" i="13"/>
  <c r="AM343" i="13"/>
  <c r="AK343" i="13"/>
  <c r="AH343" i="13"/>
  <c r="AG343" i="13"/>
  <c r="AF343" i="13"/>
  <c r="AJ343" i="13" s="1"/>
  <c r="AC343" i="13"/>
  <c r="AA343" i="13"/>
  <c r="Z343" i="13"/>
  <c r="V343" i="13"/>
  <c r="S343" i="13"/>
  <c r="P343" i="13"/>
  <c r="O343" i="13"/>
  <c r="N343" i="13"/>
  <c r="M343" i="13"/>
  <c r="AT342" i="13"/>
  <c r="AS342" i="13"/>
  <c r="AQ342" i="13"/>
  <c r="AP342" i="13"/>
  <c r="AO342" i="13"/>
  <c r="AR342" i="13" s="1"/>
  <c r="AN342" i="13"/>
  <c r="AM342" i="13"/>
  <c r="AK342" i="13"/>
  <c r="AH342" i="13"/>
  <c r="AG342" i="13"/>
  <c r="AF342" i="13"/>
  <c r="AI342" i="13" s="1"/>
  <c r="AL342" i="13" s="1"/>
  <c r="AC342" i="13"/>
  <c r="AA342" i="13"/>
  <c r="Z342" i="13"/>
  <c r="V342" i="13"/>
  <c r="T342" i="13"/>
  <c r="S342" i="13"/>
  <c r="P342" i="13"/>
  <c r="O342" i="13"/>
  <c r="N342" i="13"/>
  <c r="M342" i="13"/>
  <c r="AT341" i="13"/>
  <c r="AS341" i="13"/>
  <c r="AR341" i="13"/>
  <c r="AQ341" i="13"/>
  <c r="AP341" i="13"/>
  <c r="AO341" i="13"/>
  <c r="AN341" i="13"/>
  <c r="AM341" i="13"/>
  <c r="AK341" i="13"/>
  <c r="AJ341" i="13"/>
  <c r="AH341" i="13"/>
  <c r="AG341" i="13"/>
  <c r="AI341" i="13" s="1"/>
  <c r="AL341" i="13" s="1"/>
  <c r="AF341" i="13"/>
  <c r="AC341" i="13"/>
  <c r="AA341" i="13"/>
  <c r="Z341" i="13"/>
  <c r="W341" i="13"/>
  <c r="V341" i="13"/>
  <c r="U341" i="13"/>
  <c r="S341" i="13"/>
  <c r="P341" i="13"/>
  <c r="O341" i="13"/>
  <c r="N341" i="13"/>
  <c r="M341" i="13"/>
  <c r="AS340" i="13"/>
  <c r="AR340" i="13"/>
  <c r="AQ340" i="13"/>
  <c r="AP340" i="13"/>
  <c r="AO340" i="13"/>
  <c r="AN340" i="13"/>
  <c r="AM340" i="13"/>
  <c r="AK340" i="13"/>
  <c r="AH340" i="13"/>
  <c r="AG340" i="13"/>
  <c r="AF340" i="13"/>
  <c r="AI340" i="13" s="1"/>
  <c r="AC340" i="13"/>
  <c r="AA340" i="13"/>
  <c r="Z340" i="13"/>
  <c r="W340" i="13"/>
  <c r="V340" i="13"/>
  <c r="U340" i="13"/>
  <c r="T340" i="13"/>
  <c r="S340" i="13"/>
  <c r="P340" i="13"/>
  <c r="O340" i="13"/>
  <c r="N340" i="13"/>
  <c r="M340" i="13"/>
  <c r="AT339" i="13"/>
  <c r="AS339" i="13"/>
  <c r="AQ339" i="13"/>
  <c r="AP339" i="13"/>
  <c r="AO339" i="13"/>
  <c r="AN339" i="13"/>
  <c r="AM339" i="13"/>
  <c r="AH339" i="13"/>
  <c r="AG339" i="13"/>
  <c r="AK339" i="13" s="1"/>
  <c r="AF339" i="13"/>
  <c r="AJ339" i="13" s="1"/>
  <c r="AC339" i="13"/>
  <c r="AA339" i="13"/>
  <c r="Z339" i="13"/>
  <c r="V339" i="13"/>
  <c r="S339" i="13"/>
  <c r="P339" i="13"/>
  <c r="O339" i="13"/>
  <c r="N339" i="13"/>
  <c r="M339" i="13"/>
  <c r="AS338" i="13"/>
  <c r="AR338" i="13"/>
  <c r="AQ338" i="13"/>
  <c r="AP338" i="13"/>
  <c r="AO338" i="13"/>
  <c r="AN338" i="13"/>
  <c r="AM338" i="13"/>
  <c r="AK338" i="13"/>
  <c r="AJ338" i="13"/>
  <c r="AI338" i="13"/>
  <c r="AH338" i="13"/>
  <c r="AG338" i="13"/>
  <c r="AF338" i="13"/>
  <c r="AT338" i="13" s="1"/>
  <c r="AC338" i="13"/>
  <c r="AA338" i="13"/>
  <c r="Z338" i="13"/>
  <c r="V338" i="13"/>
  <c r="T338" i="13"/>
  <c r="S338" i="13"/>
  <c r="W338" i="13" s="1"/>
  <c r="P338" i="13"/>
  <c r="O338" i="13"/>
  <c r="N338" i="13"/>
  <c r="M338" i="13"/>
  <c r="AT337" i="13"/>
  <c r="AS337" i="13"/>
  <c r="AR337" i="13"/>
  <c r="AQ337" i="13"/>
  <c r="AP337" i="13"/>
  <c r="AO337" i="13"/>
  <c r="AN337" i="13"/>
  <c r="AM337" i="13"/>
  <c r="AL337" i="13"/>
  <c r="AK337" i="13"/>
  <c r="AJ337" i="13"/>
  <c r="AI337" i="13"/>
  <c r="AH337" i="13"/>
  <c r="AG337" i="13"/>
  <c r="AF337" i="13"/>
  <c r="AC337" i="13"/>
  <c r="AA337" i="13"/>
  <c r="Z337" i="13"/>
  <c r="V337" i="13"/>
  <c r="U337" i="13"/>
  <c r="S337" i="13"/>
  <c r="P337" i="13"/>
  <c r="O337" i="13"/>
  <c r="N337" i="13"/>
  <c r="M337" i="13"/>
  <c r="AT336" i="13"/>
  <c r="AS336" i="13"/>
  <c r="AQ336" i="13"/>
  <c r="AP336" i="13"/>
  <c r="AO336" i="13"/>
  <c r="AR336" i="13" s="1"/>
  <c r="AN336" i="13"/>
  <c r="AM336" i="13"/>
  <c r="AK336" i="13"/>
  <c r="AJ336" i="13"/>
  <c r="AH336" i="13"/>
  <c r="AG336" i="13"/>
  <c r="AI336" i="13" s="1"/>
  <c r="AL336" i="13" s="1"/>
  <c r="AF336" i="13"/>
  <c r="AC336" i="13"/>
  <c r="AA336" i="13"/>
  <c r="Z336" i="13"/>
  <c r="W336" i="13"/>
  <c r="V336" i="13"/>
  <c r="U336" i="13"/>
  <c r="T336" i="13"/>
  <c r="S336" i="13"/>
  <c r="P336" i="13"/>
  <c r="O336" i="13"/>
  <c r="N336" i="13"/>
  <c r="M336" i="13"/>
  <c r="AT335" i="13"/>
  <c r="AS335" i="13"/>
  <c r="AQ335" i="13"/>
  <c r="AP335" i="13"/>
  <c r="AO335" i="13"/>
  <c r="AR335" i="13" s="1"/>
  <c r="AN335" i="13"/>
  <c r="AM335" i="13"/>
  <c r="AK335" i="13"/>
  <c r="AI335" i="13"/>
  <c r="AL335" i="13" s="1"/>
  <c r="AH335" i="13"/>
  <c r="AG335" i="13"/>
  <c r="AF335" i="13"/>
  <c r="AJ335" i="13" s="1"/>
  <c r="AC335" i="13"/>
  <c r="AA335" i="13"/>
  <c r="Z335" i="13"/>
  <c r="W335" i="13"/>
  <c r="V335" i="13"/>
  <c r="U335" i="13"/>
  <c r="S335" i="13"/>
  <c r="P335" i="13"/>
  <c r="O335" i="13"/>
  <c r="N335" i="13"/>
  <c r="M335" i="13"/>
  <c r="AS334" i="13"/>
  <c r="AQ334" i="13"/>
  <c r="AP334" i="13"/>
  <c r="AO334" i="13"/>
  <c r="AR334" i="13" s="1"/>
  <c r="AN334" i="13"/>
  <c r="AM334" i="13"/>
  <c r="AJ334" i="13"/>
  <c r="AH334" i="13"/>
  <c r="AG334" i="13"/>
  <c r="AK334" i="13" s="1"/>
  <c r="AF334" i="13"/>
  <c r="AT334" i="13" s="1"/>
  <c r="AC334" i="13"/>
  <c r="AA334" i="13"/>
  <c r="Z334" i="13"/>
  <c r="V334" i="13"/>
  <c r="S334" i="13"/>
  <c r="U334" i="13" s="1"/>
  <c r="P334" i="13"/>
  <c r="O334" i="13"/>
  <c r="N334" i="13"/>
  <c r="M334" i="13"/>
  <c r="AT333" i="13"/>
  <c r="AS333" i="13"/>
  <c r="AQ333" i="13"/>
  <c r="AP333" i="13"/>
  <c r="AO333" i="13"/>
  <c r="AR333" i="13" s="1"/>
  <c r="AN333" i="13"/>
  <c r="AM333" i="13"/>
  <c r="AK333" i="13"/>
  <c r="AJ333" i="13"/>
  <c r="AI333" i="13"/>
  <c r="AL333" i="13" s="1"/>
  <c r="AH333" i="13"/>
  <c r="AG333" i="13"/>
  <c r="AF333" i="13"/>
  <c r="AC333" i="13"/>
  <c r="AA333" i="13"/>
  <c r="Z333" i="13"/>
  <c r="V333" i="13"/>
  <c r="T333" i="13"/>
  <c r="S333" i="13"/>
  <c r="P333" i="13"/>
  <c r="O333" i="13"/>
  <c r="N333" i="13"/>
  <c r="M333" i="13"/>
  <c r="AT332" i="13"/>
  <c r="AS332" i="13"/>
  <c r="AR332" i="13"/>
  <c r="AQ332" i="13"/>
  <c r="AP332" i="13"/>
  <c r="AO332" i="13"/>
  <c r="AN332" i="13"/>
  <c r="AM332" i="13"/>
  <c r="AK332" i="13"/>
  <c r="AJ332" i="13"/>
  <c r="AH332" i="13"/>
  <c r="AG332" i="13"/>
  <c r="AF332" i="13"/>
  <c r="AI332" i="13" s="1"/>
  <c r="AL332" i="13" s="1"/>
  <c r="AC332" i="13"/>
  <c r="AA332" i="13"/>
  <c r="Z332" i="13"/>
  <c r="V332" i="13"/>
  <c r="T332" i="13"/>
  <c r="S332" i="13"/>
  <c r="W332" i="13" s="1"/>
  <c r="P332" i="13"/>
  <c r="O332" i="13"/>
  <c r="N332" i="13"/>
  <c r="M332" i="13"/>
  <c r="AT331" i="13"/>
  <c r="AS331" i="13"/>
  <c r="AQ331" i="13"/>
  <c r="AP331" i="13"/>
  <c r="AO331" i="13"/>
  <c r="AN331" i="13"/>
  <c r="AM331" i="13"/>
  <c r="AL331" i="13"/>
  <c r="AK331" i="13"/>
  <c r="AI331" i="13"/>
  <c r="AH331" i="13"/>
  <c r="AG331" i="13"/>
  <c r="AF331" i="13"/>
  <c r="AJ331" i="13" s="1"/>
  <c r="AC331" i="13"/>
  <c r="AA331" i="13"/>
  <c r="Z331" i="13"/>
  <c r="V331" i="13"/>
  <c r="S331" i="13"/>
  <c r="P331" i="13"/>
  <c r="O331" i="13"/>
  <c r="N331" i="13"/>
  <c r="M331" i="13"/>
  <c r="AS330" i="13"/>
  <c r="AR330" i="13"/>
  <c r="AQ330" i="13"/>
  <c r="AP330" i="13"/>
  <c r="AO330" i="13"/>
  <c r="AN330" i="13"/>
  <c r="AM330" i="13"/>
  <c r="AI330" i="13"/>
  <c r="AL330" i="13" s="1"/>
  <c r="AH330" i="13"/>
  <c r="AG330" i="13"/>
  <c r="AK330" i="13" s="1"/>
  <c r="AF330" i="13"/>
  <c r="AT330" i="13" s="1"/>
  <c r="AC330" i="13"/>
  <c r="AA330" i="13"/>
  <c r="Z330" i="13"/>
  <c r="W330" i="13"/>
  <c r="V330" i="13"/>
  <c r="T330" i="13"/>
  <c r="S330" i="13"/>
  <c r="U330" i="13" s="1"/>
  <c r="P330" i="13"/>
  <c r="O330" i="13"/>
  <c r="N330" i="13"/>
  <c r="M330" i="13"/>
  <c r="AT329" i="13"/>
  <c r="AS329" i="13"/>
  <c r="AR329" i="13"/>
  <c r="AQ329" i="13"/>
  <c r="AP329" i="13"/>
  <c r="AO329" i="13"/>
  <c r="AN329" i="13"/>
  <c r="AM329" i="13"/>
  <c r="AJ329" i="13"/>
  <c r="AH329" i="13"/>
  <c r="AG329" i="13"/>
  <c r="AK329" i="13" s="1"/>
  <c r="AF329" i="13"/>
  <c r="AD329" i="13"/>
  <c r="AC329" i="13"/>
  <c r="AA329" i="13"/>
  <c r="Z329" i="13"/>
  <c r="V329" i="13"/>
  <c r="S329" i="13"/>
  <c r="W329" i="13" s="1"/>
  <c r="P329" i="13"/>
  <c r="O329" i="13"/>
  <c r="N329" i="13"/>
  <c r="M329" i="13"/>
  <c r="AT328" i="13"/>
  <c r="AS328" i="13"/>
  <c r="AQ328" i="13"/>
  <c r="AR328" i="13" s="1"/>
  <c r="AP328" i="13"/>
  <c r="AO328" i="13"/>
  <c r="AN328" i="13"/>
  <c r="AM328" i="13"/>
  <c r="AK328" i="13"/>
  <c r="AJ328" i="13"/>
  <c r="AI328" i="13"/>
  <c r="AL328" i="13" s="1"/>
  <c r="AH328" i="13"/>
  <c r="AG328" i="13"/>
  <c r="AF328" i="13"/>
  <c r="AC328" i="13"/>
  <c r="AA328" i="13"/>
  <c r="Z328" i="13"/>
  <c r="V328" i="13"/>
  <c r="U328" i="13"/>
  <c r="S328" i="13"/>
  <c r="P328" i="13"/>
  <c r="O328" i="13"/>
  <c r="N328" i="13"/>
  <c r="M328" i="13"/>
  <c r="AT327" i="13"/>
  <c r="AS327" i="13"/>
  <c r="AQ327" i="13"/>
  <c r="AP327" i="13"/>
  <c r="AO327" i="13"/>
  <c r="AN327" i="13"/>
  <c r="AM327" i="13"/>
  <c r="AK327" i="13"/>
  <c r="AH327" i="13"/>
  <c r="AG327" i="13"/>
  <c r="AI327" i="13" s="1"/>
  <c r="AL327" i="13" s="1"/>
  <c r="AF327" i="13"/>
  <c r="AJ327" i="13" s="1"/>
  <c r="AC327" i="13"/>
  <c r="AA327" i="13"/>
  <c r="Z327" i="13"/>
  <c r="W327" i="13"/>
  <c r="V327" i="13"/>
  <c r="U327" i="13"/>
  <c r="S327" i="13"/>
  <c r="P327" i="13"/>
  <c r="O327" i="13"/>
  <c r="N327" i="13"/>
  <c r="M327" i="13"/>
  <c r="AS326" i="13"/>
  <c r="AQ326" i="13"/>
  <c r="AP326" i="13"/>
  <c r="AO326" i="13"/>
  <c r="AR326" i="13" s="1"/>
  <c r="AN326" i="13"/>
  <c r="AM326" i="13"/>
  <c r="AH326" i="13"/>
  <c r="AG326" i="13"/>
  <c r="AK326" i="13" s="1"/>
  <c r="AF326" i="13"/>
  <c r="AT326" i="13" s="1"/>
  <c r="AC326" i="13"/>
  <c r="AA326" i="13"/>
  <c r="Z326" i="13"/>
  <c r="W326" i="13"/>
  <c r="V326" i="13"/>
  <c r="S326" i="13"/>
  <c r="P326" i="13"/>
  <c r="O326" i="13"/>
  <c r="N326" i="13"/>
  <c r="M326" i="13"/>
  <c r="AT325" i="13"/>
  <c r="AS325" i="13"/>
  <c r="AQ325" i="13"/>
  <c r="AP325" i="13"/>
  <c r="AO325" i="13"/>
  <c r="AN325" i="13"/>
  <c r="AM325" i="13"/>
  <c r="AJ325" i="13"/>
  <c r="AI325" i="13"/>
  <c r="AH325" i="13"/>
  <c r="AG325" i="13"/>
  <c r="AK325" i="13" s="1"/>
  <c r="AF325" i="13"/>
  <c r="AC325" i="13"/>
  <c r="AA325" i="13"/>
  <c r="Z325" i="13"/>
  <c r="W325" i="13"/>
  <c r="V325" i="13"/>
  <c r="T325" i="13"/>
  <c r="S325" i="13"/>
  <c r="P325" i="13"/>
  <c r="O325" i="13"/>
  <c r="N325" i="13"/>
  <c r="M325" i="13"/>
  <c r="AT324" i="13"/>
  <c r="AS324" i="13"/>
  <c r="AR324" i="13"/>
  <c r="AQ324" i="13"/>
  <c r="AP324" i="13"/>
  <c r="AO324" i="13"/>
  <c r="AN324" i="13"/>
  <c r="AM324" i="13"/>
  <c r="AJ324" i="13"/>
  <c r="AH324" i="13"/>
  <c r="AG324" i="13"/>
  <c r="AK324" i="13" s="1"/>
  <c r="AF324" i="13"/>
  <c r="AI324" i="13" s="1"/>
  <c r="AL324" i="13" s="1"/>
  <c r="AC324" i="13"/>
  <c r="AA324" i="13"/>
  <c r="Z324" i="13"/>
  <c r="V324" i="13"/>
  <c r="T324" i="13"/>
  <c r="S324" i="13"/>
  <c r="W324" i="13" s="1"/>
  <c r="P324" i="13"/>
  <c r="O324" i="13"/>
  <c r="N324" i="13"/>
  <c r="M324" i="13"/>
  <c r="AS323" i="13"/>
  <c r="AQ323" i="13"/>
  <c r="AP323" i="13"/>
  <c r="AO323" i="13"/>
  <c r="AN323" i="13"/>
  <c r="AM323" i="13"/>
  <c r="AI323" i="13"/>
  <c r="AL323" i="13" s="1"/>
  <c r="AH323" i="13"/>
  <c r="AG323" i="13"/>
  <c r="AK323" i="13" s="1"/>
  <c r="AF323" i="13"/>
  <c r="AJ323" i="13" s="1"/>
  <c r="AC323" i="13"/>
  <c r="AA323" i="13"/>
  <c r="Z323" i="13"/>
  <c r="V323" i="13"/>
  <c r="S323" i="13"/>
  <c r="P323" i="13"/>
  <c r="O323" i="13"/>
  <c r="N323" i="13"/>
  <c r="M323" i="13"/>
  <c r="AS322" i="13"/>
  <c r="AQ322" i="13"/>
  <c r="AP322" i="13"/>
  <c r="AR322" i="13" s="1"/>
  <c r="AO322" i="13"/>
  <c r="AN322" i="13"/>
  <c r="AM322" i="13"/>
  <c r="AH322" i="13"/>
  <c r="AG322" i="13"/>
  <c r="AF322" i="13"/>
  <c r="AT322" i="13" s="1"/>
  <c r="AC322" i="13"/>
  <c r="AA322" i="13"/>
  <c r="Z322" i="13"/>
  <c r="W322" i="13"/>
  <c r="V322" i="13"/>
  <c r="U322" i="13"/>
  <c r="T322" i="13"/>
  <c r="S322" i="13"/>
  <c r="P322" i="13"/>
  <c r="O322" i="13"/>
  <c r="N322" i="13"/>
  <c r="M322" i="13"/>
  <c r="AT321" i="13"/>
  <c r="AS321" i="13"/>
  <c r="AQ321" i="13"/>
  <c r="AP321" i="13"/>
  <c r="AR321" i="13" s="1"/>
  <c r="AO321" i="13"/>
  <c r="AN321" i="13"/>
  <c r="AM321" i="13"/>
  <c r="AJ321" i="13"/>
  <c r="AH321" i="13"/>
  <c r="AG321" i="13"/>
  <c r="AK321" i="13" s="1"/>
  <c r="AF321" i="13"/>
  <c r="AC321" i="13"/>
  <c r="AA321" i="13"/>
  <c r="Z321" i="13"/>
  <c r="V321" i="13"/>
  <c r="S321" i="13"/>
  <c r="W321" i="13" s="1"/>
  <c r="P321" i="13"/>
  <c r="O321" i="13"/>
  <c r="N321" i="13"/>
  <c r="M321" i="13"/>
  <c r="AS320" i="13"/>
  <c r="AQ320" i="13"/>
  <c r="AP320" i="13"/>
  <c r="AO320" i="13"/>
  <c r="AN320" i="13"/>
  <c r="AM320" i="13"/>
  <c r="AK320" i="13"/>
  <c r="AI320" i="13"/>
  <c r="AH320" i="13"/>
  <c r="AG320" i="13"/>
  <c r="AF320" i="13"/>
  <c r="AT320" i="13" s="1"/>
  <c r="AC320" i="13"/>
  <c r="AA320" i="13"/>
  <c r="Z320" i="13"/>
  <c r="V320" i="13"/>
  <c r="S320" i="13"/>
  <c r="P320" i="13"/>
  <c r="O320" i="13"/>
  <c r="N320" i="13"/>
  <c r="M320" i="13"/>
  <c r="AT319" i="13"/>
  <c r="AS319" i="13"/>
  <c r="AQ319" i="13"/>
  <c r="AP319" i="13"/>
  <c r="AO319" i="13"/>
  <c r="AN319" i="13"/>
  <c r="AM319" i="13"/>
  <c r="AK319" i="13"/>
  <c r="AH319" i="13"/>
  <c r="AG319" i="13"/>
  <c r="AF319" i="13"/>
  <c r="AJ319" i="13" s="1"/>
  <c r="AC319" i="13"/>
  <c r="AA319" i="13"/>
  <c r="Z319" i="13"/>
  <c r="W319" i="13"/>
  <c r="V319" i="13"/>
  <c r="U319" i="13"/>
  <c r="S319" i="13"/>
  <c r="P319" i="13"/>
  <c r="O319" i="13"/>
  <c r="N319" i="13"/>
  <c r="M319" i="13"/>
  <c r="AS318" i="13"/>
  <c r="AQ318" i="13"/>
  <c r="AP318" i="13"/>
  <c r="AO318" i="13"/>
  <c r="AR318" i="13" s="1"/>
  <c r="AN318" i="13"/>
  <c r="AM318" i="13"/>
  <c r="AK318" i="13"/>
  <c r="AH318" i="13"/>
  <c r="AG318" i="13"/>
  <c r="AF318" i="13"/>
  <c r="AC318" i="13"/>
  <c r="AA318" i="13"/>
  <c r="Z318" i="13"/>
  <c r="W318" i="13"/>
  <c r="V318" i="13"/>
  <c r="U318" i="13"/>
  <c r="T318" i="13"/>
  <c r="S318" i="13"/>
  <c r="P318" i="13"/>
  <c r="O318" i="13"/>
  <c r="N318" i="13"/>
  <c r="M318" i="13"/>
  <c r="AT317" i="13"/>
  <c r="AS317" i="13"/>
  <c r="AQ317" i="13"/>
  <c r="AP317" i="13"/>
  <c r="AO317" i="13"/>
  <c r="AR317" i="13" s="1"/>
  <c r="AN317" i="13"/>
  <c r="AM317" i="13"/>
  <c r="AJ317" i="13"/>
  <c r="AH317" i="13"/>
  <c r="AG317" i="13"/>
  <c r="AF317" i="13"/>
  <c r="AC317" i="13"/>
  <c r="AA317" i="13"/>
  <c r="Z317" i="13"/>
  <c r="W317" i="13"/>
  <c r="V317" i="13"/>
  <c r="U317" i="13"/>
  <c r="T317" i="13"/>
  <c r="S317" i="13"/>
  <c r="P317" i="13"/>
  <c r="O317" i="13"/>
  <c r="N317" i="13"/>
  <c r="M317" i="13"/>
  <c r="AS316" i="13"/>
  <c r="AR316" i="13"/>
  <c r="AQ316" i="13"/>
  <c r="AP316" i="13"/>
  <c r="AO316" i="13"/>
  <c r="AN316" i="13"/>
  <c r="AM316" i="13"/>
  <c r="AJ316" i="13"/>
  <c r="AH316" i="13"/>
  <c r="AG316" i="13"/>
  <c r="AK316" i="13" s="1"/>
  <c r="AF316" i="13"/>
  <c r="AI316" i="13" s="1"/>
  <c r="AL316" i="13" s="1"/>
  <c r="AD316" i="13"/>
  <c r="AC316" i="13"/>
  <c r="AA316" i="13"/>
  <c r="Z316" i="13"/>
  <c r="W316" i="13"/>
  <c r="V316" i="13"/>
  <c r="T316" i="13"/>
  <c r="S316" i="13"/>
  <c r="U316" i="13" s="1"/>
  <c r="P316" i="13"/>
  <c r="O316" i="13"/>
  <c r="N316" i="13"/>
  <c r="M316" i="13"/>
  <c r="AS315" i="13"/>
  <c r="AQ315" i="13"/>
  <c r="AP315" i="13"/>
  <c r="AO315" i="13"/>
  <c r="AN315" i="13"/>
  <c r="AM315" i="13"/>
  <c r="AH315" i="13"/>
  <c r="AG315" i="13"/>
  <c r="AF315" i="13"/>
  <c r="AJ315" i="13" s="1"/>
  <c r="AC315" i="13"/>
  <c r="AA315" i="13"/>
  <c r="Z315" i="13"/>
  <c r="V315" i="13"/>
  <c r="U315" i="13"/>
  <c r="S315" i="13"/>
  <c r="P315" i="13"/>
  <c r="O315" i="13"/>
  <c r="N315" i="13"/>
  <c r="M315" i="13"/>
  <c r="AS314" i="13"/>
  <c r="AQ314" i="13"/>
  <c r="AP314" i="13"/>
  <c r="AR314" i="13" s="1"/>
  <c r="AO314" i="13"/>
  <c r="AN314" i="13"/>
  <c r="AM314" i="13"/>
  <c r="AJ314" i="13"/>
  <c r="AH314" i="13"/>
  <c r="AG314" i="13"/>
  <c r="AK314" i="13" s="1"/>
  <c r="AF314" i="13"/>
  <c r="AT314" i="13" s="1"/>
  <c r="AC314" i="13"/>
  <c r="AA314" i="13"/>
  <c r="Z314" i="13"/>
  <c r="V314" i="13"/>
  <c r="T314" i="13"/>
  <c r="S314" i="13"/>
  <c r="W314" i="13" s="1"/>
  <c r="P314" i="13"/>
  <c r="O314" i="13"/>
  <c r="N314" i="13"/>
  <c r="M314" i="13"/>
  <c r="AT313" i="13"/>
  <c r="AS313" i="13"/>
  <c r="AQ313" i="13"/>
  <c r="AP313" i="13"/>
  <c r="AR313" i="13" s="1"/>
  <c r="AO313" i="13"/>
  <c r="AN313" i="13"/>
  <c r="AM313" i="13"/>
  <c r="AK313" i="13"/>
  <c r="AJ313" i="13"/>
  <c r="AH313" i="13"/>
  <c r="AG313" i="13"/>
  <c r="AI313" i="13" s="1"/>
  <c r="AL313" i="13" s="1"/>
  <c r="AF313" i="13"/>
  <c r="AC313" i="13"/>
  <c r="AA313" i="13"/>
  <c r="Z313" i="13"/>
  <c r="W313" i="13"/>
  <c r="V313" i="13"/>
  <c r="U313" i="13"/>
  <c r="T313" i="13"/>
  <c r="S313" i="13"/>
  <c r="P313" i="13"/>
  <c r="O313" i="13"/>
  <c r="N313" i="13"/>
  <c r="M313" i="13"/>
  <c r="AT312" i="13"/>
  <c r="AS312" i="13"/>
  <c r="AQ312" i="13"/>
  <c r="AP312" i="13"/>
  <c r="AO312" i="13"/>
  <c r="AR312" i="13" s="1"/>
  <c r="AN312" i="13"/>
  <c r="AM312" i="13"/>
  <c r="AH312" i="13"/>
  <c r="AG312" i="13"/>
  <c r="AF312" i="13"/>
  <c r="AJ312" i="13" s="1"/>
  <c r="AC312" i="13"/>
  <c r="AA312" i="13"/>
  <c r="Z312" i="13"/>
  <c r="V312" i="13"/>
  <c r="S312" i="13"/>
  <c r="P312" i="13"/>
  <c r="O312" i="13"/>
  <c r="N312" i="13"/>
  <c r="M312" i="13"/>
  <c r="AS311" i="13"/>
  <c r="AQ311" i="13"/>
  <c r="AP311" i="13"/>
  <c r="AR311" i="13" s="1"/>
  <c r="AO311" i="13"/>
  <c r="AN311" i="13"/>
  <c r="AM311" i="13"/>
  <c r="AJ311" i="13"/>
  <c r="AH311" i="13"/>
  <c r="AG311" i="13"/>
  <c r="AK311" i="13" s="1"/>
  <c r="AF311" i="13"/>
  <c r="AI311" i="13" s="1"/>
  <c r="AL311" i="13" s="1"/>
  <c r="AC311" i="13"/>
  <c r="AA311" i="13"/>
  <c r="Z311" i="13"/>
  <c r="W311" i="13"/>
  <c r="V311" i="13"/>
  <c r="T311" i="13"/>
  <c r="S311" i="13"/>
  <c r="U311" i="13" s="1"/>
  <c r="P311" i="13"/>
  <c r="O311" i="13"/>
  <c r="N311" i="13"/>
  <c r="M311" i="13"/>
  <c r="AT310" i="13"/>
  <c r="AS310" i="13"/>
  <c r="AR310" i="13"/>
  <c r="AQ310" i="13"/>
  <c r="AP310" i="13"/>
  <c r="AO310" i="13"/>
  <c r="AN310" i="13"/>
  <c r="AM310" i="13"/>
  <c r="AL310" i="13"/>
  <c r="AJ310" i="13"/>
  <c r="AH310" i="13"/>
  <c r="AG310" i="13"/>
  <c r="AK310" i="13" s="1"/>
  <c r="AF310" i="13"/>
  <c r="AI310" i="13" s="1"/>
  <c r="AC310" i="13"/>
  <c r="AA310" i="13"/>
  <c r="Z310" i="13"/>
  <c r="V310" i="13"/>
  <c r="T310" i="13"/>
  <c r="S310" i="13"/>
  <c r="W310" i="13" s="1"/>
  <c r="P310" i="13"/>
  <c r="O310" i="13"/>
  <c r="N310" i="13"/>
  <c r="M310" i="13"/>
  <c r="AT309" i="13"/>
  <c r="AS309" i="13"/>
  <c r="AR309" i="13"/>
  <c r="AQ309" i="13"/>
  <c r="AP309" i="13"/>
  <c r="AO309" i="13"/>
  <c r="AN309" i="13"/>
  <c r="AM309" i="13"/>
  <c r="AK309" i="13"/>
  <c r="AH309" i="13"/>
  <c r="AG309" i="13"/>
  <c r="AF309" i="13"/>
  <c r="AC309" i="13"/>
  <c r="AA309" i="13"/>
  <c r="Z309" i="13"/>
  <c r="V309" i="13"/>
  <c r="T309" i="13"/>
  <c r="S309" i="13"/>
  <c r="W309" i="13" s="1"/>
  <c r="P309" i="13"/>
  <c r="O309" i="13"/>
  <c r="N309" i="13"/>
  <c r="M309" i="13"/>
  <c r="AS308" i="13"/>
  <c r="AQ308" i="13"/>
  <c r="AP308" i="13"/>
  <c r="AR308" i="13" s="1"/>
  <c r="AO308" i="13"/>
  <c r="AN308" i="13"/>
  <c r="AM308" i="13"/>
  <c r="AK308" i="13"/>
  <c r="AH308" i="13"/>
  <c r="AG308" i="13"/>
  <c r="AF308" i="13"/>
  <c r="AC308" i="13"/>
  <c r="AA308" i="13"/>
  <c r="Z308" i="13"/>
  <c r="W308" i="13"/>
  <c r="V308" i="13"/>
  <c r="U308" i="13"/>
  <c r="T308" i="13"/>
  <c r="S308" i="13"/>
  <c r="P308" i="13"/>
  <c r="O308" i="13"/>
  <c r="N308" i="13"/>
  <c r="M308" i="13"/>
  <c r="AS307" i="13"/>
  <c r="AR307" i="13"/>
  <c r="AQ307" i="13"/>
  <c r="AP307" i="13"/>
  <c r="AO307" i="13"/>
  <c r="AN307" i="13"/>
  <c r="AM307" i="13"/>
  <c r="AJ307" i="13"/>
  <c r="AH307" i="13"/>
  <c r="AG307" i="13"/>
  <c r="AK307" i="13" s="1"/>
  <c r="AF307" i="13"/>
  <c r="AI307" i="13" s="1"/>
  <c r="AL307" i="13" s="1"/>
  <c r="AD307" i="13"/>
  <c r="AC307" i="13"/>
  <c r="AA307" i="13"/>
  <c r="Z307" i="13"/>
  <c r="W307" i="13"/>
  <c r="V307" i="13"/>
  <c r="T307" i="13"/>
  <c r="S307" i="13"/>
  <c r="U307" i="13" s="1"/>
  <c r="P307" i="13"/>
  <c r="O307" i="13"/>
  <c r="N307" i="13"/>
  <c r="M307" i="13"/>
  <c r="AT306" i="13"/>
  <c r="AS306" i="13"/>
  <c r="AR306" i="13"/>
  <c r="AQ306" i="13"/>
  <c r="AP306" i="13"/>
  <c r="AO306" i="13"/>
  <c r="AN306" i="13"/>
  <c r="AM306" i="13"/>
  <c r="AL306" i="13"/>
  <c r="AJ306" i="13"/>
  <c r="AH306" i="13"/>
  <c r="AG306" i="13"/>
  <c r="AK306" i="13" s="1"/>
  <c r="AF306" i="13"/>
  <c r="AI306" i="13" s="1"/>
  <c r="AC306" i="13"/>
  <c r="AA306" i="13"/>
  <c r="Z306" i="13"/>
  <c r="V306" i="13"/>
  <c r="T306" i="13"/>
  <c r="S306" i="13"/>
  <c r="W306" i="13" s="1"/>
  <c r="P306" i="13"/>
  <c r="O306" i="13"/>
  <c r="N306" i="13"/>
  <c r="M306" i="13"/>
  <c r="AS305" i="13"/>
  <c r="AQ305" i="13"/>
  <c r="AR305" i="13" s="1"/>
  <c r="AP305" i="13"/>
  <c r="AO305" i="13"/>
  <c r="AN305" i="13"/>
  <c r="AM305" i="13"/>
  <c r="AK305" i="13"/>
  <c r="AH305" i="13"/>
  <c r="AG305" i="13"/>
  <c r="AF305" i="13"/>
  <c r="AD305" i="13"/>
  <c r="AC305" i="13"/>
  <c r="AA305" i="13"/>
  <c r="Z305" i="13"/>
  <c r="V305" i="13"/>
  <c r="S305" i="13"/>
  <c r="W305" i="13" s="1"/>
  <c r="P305" i="13"/>
  <c r="O305" i="13"/>
  <c r="N305" i="13"/>
  <c r="M305" i="13"/>
  <c r="AS304" i="13"/>
  <c r="AQ304" i="13"/>
  <c r="AP304" i="13"/>
  <c r="AR304" i="13" s="1"/>
  <c r="AO304" i="13"/>
  <c r="AN304" i="13"/>
  <c r="AM304" i="13"/>
  <c r="AK304" i="13"/>
  <c r="AH304" i="13"/>
  <c r="AG304" i="13"/>
  <c r="AF304" i="13"/>
  <c r="AC304" i="13"/>
  <c r="AA304" i="13"/>
  <c r="Z304" i="13"/>
  <c r="W304" i="13"/>
  <c r="V304" i="13"/>
  <c r="U304" i="13"/>
  <c r="T304" i="13"/>
  <c r="S304" i="13"/>
  <c r="P304" i="13"/>
  <c r="O304" i="13"/>
  <c r="N304" i="13"/>
  <c r="M304" i="13"/>
  <c r="AS303" i="13"/>
  <c r="AQ303" i="13"/>
  <c r="AP303" i="13"/>
  <c r="AR303" i="13" s="1"/>
  <c r="AO303" i="13"/>
  <c r="AN303" i="13"/>
  <c r="AM303" i="13"/>
  <c r="AJ303" i="13"/>
  <c r="AH303" i="13"/>
  <c r="AG303" i="13"/>
  <c r="AK303" i="13" s="1"/>
  <c r="AF303" i="13"/>
  <c r="AI303" i="13" s="1"/>
  <c r="AL303" i="13" s="1"/>
  <c r="AC303" i="13"/>
  <c r="AA303" i="13"/>
  <c r="Z303" i="13"/>
  <c r="W303" i="13"/>
  <c r="V303" i="13"/>
  <c r="T303" i="13"/>
  <c r="S303" i="13"/>
  <c r="U303" i="13" s="1"/>
  <c r="P303" i="13"/>
  <c r="O303" i="13"/>
  <c r="N303" i="13"/>
  <c r="M303" i="13"/>
  <c r="AT302" i="13"/>
  <c r="AS302" i="13"/>
  <c r="AQ302" i="13"/>
  <c r="AP302" i="13"/>
  <c r="AO302" i="13"/>
  <c r="AR302" i="13" s="1"/>
  <c r="AN302" i="13"/>
  <c r="AM302" i="13"/>
  <c r="AJ302" i="13"/>
  <c r="AH302" i="13"/>
  <c r="AG302" i="13"/>
  <c r="AF302" i="13"/>
  <c r="AC302" i="13"/>
  <c r="AA302" i="13"/>
  <c r="Z302" i="13"/>
  <c r="V302" i="13"/>
  <c r="T302" i="13"/>
  <c r="S302" i="13"/>
  <c r="W302" i="13" s="1"/>
  <c r="P302" i="13"/>
  <c r="O302" i="13"/>
  <c r="N302" i="13"/>
  <c r="M302" i="13"/>
  <c r="AS301" i="13"/>
  <c r="AQ301" i="13"/>
  <c r="AR301" i="13" s="1"/>
  <c r="AP301" i="13"/>
  <c r="AO301" i="13"/>
  <c r="AN301" i="13"/>
  <c r="AM301" i="13"/>
  <c r="AK301" i="13"/>
  <c r="AH301" i="13"/>
  <c r="AG301" i="13"/>
  <c r="AF301" i="13"/>
  <c r="AJ301" i="13" s="1"/>
  <c r="AC301" i="13"/>
  <c r="AA301" i="13"/>
  <c r="Z301" i="13"/>
  <c r="V301" i="13"/>
  <c r="S301" i="13"/>
  <c r="P301" i="13"/>
  <c r="O301" i="13"/>
  <c r="N301" i="13"/>
  <c r="M301" i="13"/>
  <c r="AT300" i="13"/>
  <c r="AS300" i="13"/>
  <c r="AQ300" i="13"/>
  <c r="AP300" i="13"/>
  <c r="AR300" i="13" s="1"/>
  <c r="AO300" i="13"/>
  <c r="AN300" i="13"/>
  <c r="AM300" i="13"/>
  <c r="AK300" i="13"/>
  <c r="AH300" i="13"/>
  <c r="AG300" i="13"/>
  <c r="AF300" i="13"/>
  <c r="AC300" i="13"/>
  <c r="AA300" i="13"/>
  <c r="Z300" i="13"/>
  <c r="W300" i="13"/>
  <c r="V300" i="13"/>
  <c r="U300" i="13"/>
  <c r="T300" i="13"/>
  <c r="S300" i="13"/>
  <c r="P300" i="13"/>
  <c r="O300" i="13"/>
  <c r="N300" i="13"/>
  <c r="M300" i="13"/>
  <c r="AS299" i="13"/>
  <c r="AQ299" i="13"/>
  <c r="AP299" i="13"/>
  <c r="AR299" i="13" s="1"/>
  <c r="AO299" i="13"/>
  <c r="AN299" i="13"/>
  <c r="AM299" i="13"/>
  <c r="AJ299" i="13"/>
  <c r="AH299" i="13"/>
  <c r="AG299" i="13"/>
  <c r="AK299" i="13" s="1"/>
  <c r="AF299" i="13"/>
  <c r="AI299" i="13" s="1"/>
  <c r="AL299" i="13" s="1"/>
  <c r="AC299" i="13"/>
  <c r="AA299" i="13"/>
  <c r="Z299" i="13"/>
  <c r="W299" i="13"/>
  <c r="V299" i="13"/>
  <c r="T299" i="13"/>
  <c r="S299" i="13"/>
  <c r="U299" i="13" s="1"/>
  <c r="P299" i="13"/>
  <c r="O299" i="13"/>
  <c r="N299" i="13"/>
  <c r="M299" i="13"/>
  <c r="AT298" i="13"/>
  <c r="AS298" i="13"/>
  <c r="AR298" i="13"/>
  <c r="AQ298" i="13"/>
  <c r="AP298" i="13"/>
  <c r="AO298" i="13"/>
  <c r="AN298" i="13"/>
  <c r="AM298" i="13"/>
  <c r="AJ298" i="13"/>
  <c r="AH298" i="13"/>
  <c r="AG298" i="13"/>
  <c r="AF298" i="13"/>
  <c r="AC298" i="13"/>
  <c r="AA298" i="13"/>
  <c r="Z298" i="13"/>
  <c r="V298" i="13"/>
  <c r="T298" i="13"/>
  <c r="S298" i="13"/>
  <c r="W298" i="13" s="1"/>
  <c r="P298" i="13"/>
  <c r="O298" i="13"/>
  <c r="N298" i="13"/>
  <c r="M298" i="13"/>
  <c r="AT297" i="13"/>
  <c r="AS297" i="13"/>
  <c r="AQ297" i="13"/>
  <c r="AR297" i="13" s="1"/>
  <c r="AP297" i="13"/>
  <c r="AO297" i="13"/>
  <c r="AN297" i="13"/>
  <c r="AM297" i="13"/>
  <c r="AL297" i="13"/>
  <c r="AK297" i="13"/>
  <c r="AI297" i="13"/>
  <c r="AH297" i="13"/>
  <c r="AG297" i="13"/>
  <c r="AF297" i="13"/>
  <c r="AJ297" i="13" s="1"/>
  <c r="AC297" i="13"/>
  <c r="AA297" i="13"/>
  <c r="Z297" i="13"/>
  <c r="V297" i="13"/>
  <c r="U297" i="13"/>
  <c r="S297" i="13"/>
  <c r="P297" i="13"/>
  <c r="O297" i="13"/>
  <c r="N297" i="13"/>
  <c r="M297" i="13"/>
  <c r="AS296" i="13"/>
  <c r="AQ296" i="13"/>
  <c r="AP296" i="13"/>
  <c r="AR296" i="13" s="1"/>
  <c r="AO296" i="13"/>
  <c r="AN296" i="13"/>
  <c r="AM296" i="13"/>
  <c r="AK296" i="13"/>
  <c r="AH296" i="13"/>
  <c r="AG296" i="13"/>
  <c r="AF296" i="13"/>
  <c r="AC296" i="13"/>
  <c r="AA296" i="13"/>
  <c r="Z296" i="13"/>
  <c r="W296" i="13"/>
  <c r="V296" i="13"/>
  <c r="U296" i="13"/>
  <c r="T296" i="13"/>
  <c r="S296" i="13"/>
  <c r="P296" i="13"/>
  <c r="O296" i="13"/>
  <c r="N296" i="13"/>
  <c r="M296" i="13"/>
  <c r="AS295" i="13"/>
  <c r="AQ295" i="13"/>
  <c r="AP295" i="13"/>
  <c r="AO295" i="13"/>
  <c r="AR295" i="13" s="1"/>
  <c r="AN295" i="13"/>
  <c r="AM295" i="13"/>
  <c r="AJ295" i="13"/>
  <c r="AH295" i="13"/>
  <c r="AG295" i="13"/>
  <c r="AK295" i="13" s="1"/>
  <c r="AF295" i="13"/>
  <c r="AC295" i="13"/>
  <c r="AA295" i="13"/>
  <c r="Z295" i="13"/>
  <c r="W295" i="13"/>
  <c r="V295" i="13"/>
  <c r="T295" i="13"/>
  <c r="S295" i="13"/>
  <c r="U295" i="13" s="1"/>
  <c r="P295" i="13"/>
  <c r="O295" i="13"/>
  <c r="N295" i="13"/>
  <c r="M295" i="13"/>
  <c r="AT294" i="13"/>
  <c r="AS294" i="13"/>
  <c r="AR294" i="13"/>
  <c r="AQ294" i="13"/>
  <c r="AP294" i="13"/>
  <c r="AO294" i="13"/>
  <c r="AN294" i="13"/>
  <c r="AM294" i="13"/>
  <c r="AJ294" i="13"/>
  <c r="AI294" i="13"/>
  <c r="AL294" i="13" s="1"/>
  <c r="AH294" i="13"/>
  <c r="AG294" i="13"/>
  <c r="AK294" i="13" s="1"/>
  <c r="AF294" i="13"/>
  <c r="AC294" i="13"/>
  <c r="AA294" i="13"/>
  <c r="Z294" i="13"/>
  <c r="V294" i="13"/>
  <c r="S294" i="13"/>
  <c r="P294" i="13"/>
  <c r="O294" i="13"/>
  <c r="N294" i="13"/>
  <c r="M294" i="13"/>
  <c r="AS293" i="13"/>
  <c r="AQ293" i="13"/>
  <c r="AR293" i="13" s="1"/>
  <c r="AP293" i="13"/>
  <c r="AO293" i="13"/>
  <c r="AN293" i="13"/>
  <c r="AM293" i="13"/>
  <c r="AK293" i="13"/>
  <c r="AH293" i="13"/>
  <c r="AG293" i="13"/>
  <c r="AF293" i="13"/>
  <c r="AJ293" i="13" s="1"/>
  <c r="AC293" i="13"/>
  <c r="AA293" i="13"/>
  <c r="Z293" i="13"/>
  <c r="V293" i="13"/>
  <c r="S293" i="13"/>
  <c r="P293" i="13"/>
  <c r="O293" i="13"/>
  <c r="N293" i="13"/>
  <c r="M293" i="13"/>
  <c r="AS292" i="13"/>
  <c r="AQ292" i="13"/>
  <c r="AP292" i="13"/>
  <c r="AR292" i="13" s="1"/>
  <c r="AO292" i="13"/>
  <c r="AN292" i="13"/>
  <c r="AM292" i="13"/>
  <c r="AK292" i="13"/>
  <c r="AH292" i="13"/>
  <c r="AG292" i="13"/>
  <c r="AF292" i="13"/>
  <c r="AC292" i="13"/>
  <c r="AA292" i="13"/>
  <c r="Z292" i="13"/>
  <c r="W292" i="13"/>
  <c r="V292" i="13"/>
  <c r="U292" i="13"/>
  <c r="T292" i="13"/>
  <c r="S292" i="13"/>
  <c r="P292" i="13"/>
  <c r="O292" i="13"/>
  <c r="N292" i="13"/>
  <c r="M292" i="13"/>
  <c r="AS291" i="13"/>
  <c r="AQ291" i="13"/>
  <c r="AP291" i="13"/>
  <c r="AO291" i="13"/>
  <c r="AR291" i="13" s="1"/>
  <c r="AN291" i="13"/>
  <c r="AM291" i="13"/>
  <c r="AH291" i="13"/>
  <c r="AG291" i="13"/>
  <c r="AK291" i="13" s="1"/>
  <c r="AF291" i="13"/>
  <c r="AJ291" i="13" s="1"/>
  <c r="AC291" i="13"/>
  <c r="AA291" i="13"/>
  <c r="Z291" i="13"/>
  <c r="W291" i="13"/>
  <c r="V291" i="13"/>
  <c r="T291" i="13"/>
  <c r="S291" i="13"/>
  <c r="U291" i="13" s="1"/>
  <c r="P291" i="13"/>
  <c r="O291" i="13"/>
  <c r="N291" i="13"/>
  <c r="M291" i="13"/>
  <c r="AT290" i="13"/>
  <c r="AS290" i="13"/>
  <c r="AR290" i="13"/>
  <c r="AQ290" i="13"/>
  <c r="AP290" i="13"/>
  <c r="AO290" i="13"/>
  <c r="AN290" i="13"/>
  <c r="AM290" i="13"/>
  <c r="AL290" i="13"/>
  <c r="AJ290" i="13"/>
  <c r="AI290" i="13"/>
  <c r="AH290" i="13"/>
  <c r="AG290" i="13"/>
  <c r="AK290" i="13" s="1"/>
  <c r="AF290" i="13"/>
  <c r="AC290" i="13"/>
  <c r="AA290" i="13"/>
  <c r="Z290" i="13"/>
  <c r="V290" i="13"/>
  <c r="S290" i="13"/>
  <c r="P290" i="13"/>
  <c r="O290" i="13"/>
  <c r="N290" i="13"/>
  <c r="M290" i="13"/>
  <c r="AT289" i="13"/>
  <c r="AS289" i="13"/>
  <c r="AQ289" i="13"/>
  <c r="AR289" i="13" s="1"/>
  <c r="AP289" i="13"/>
  <c r="AO289" i="13"/>
  <c r="AN289" i="13"/>
  <c r="AM289" i="13"/>
  <c r="AK289" i="13"/>
  <c r="AJ289" i="13"/>
  <c r="AI289" i="13"/>
  <c r="AL289" i="13" s="1"/>
  <c r="AH289" i="13"/>
  <c r="AG289" i="13"/>
  <c r="AF289" i="13"/>
  <c r="AC289" i="13"/>
  <c r="AA289" i="13"/>
  <c r="Z289" i="13"/>
  <c r="V289" i="13"/>
  <c r="S289" i="13"/>
  <c r="W289" i="13" s="1"/>
  <c r="P289" i="13"/>
  <c r="O289" i="13"/>
  <c r="N289" i="13"/>
  <c r="M289" i="13"/>
  <c r="AT288" i="13"/>
  <c r="AS288" i="13"/>
  <c r="AQ288" i="13"/>
  <c r="AP288" i="13"/>
  <c r="AR288" i="13" s="1"/>
  <c r="AO288" i="13"/>
  <c r="AN288" i="13"/>
  <c r="AM288" i="13"/>
  <c r="AK288" i="13"/>
  <c r="AH288" i="13"/>
  <c r="AG288" i="13"/>
  <c r="AF288" i="13"/>
  <c r="AC288" i="13"/>
  <c r="AA288" i="13"/>
  <c r="Z288" i="13"/>
  <c r="W288" i="13"/>
  <c r="V288" i="13"/>
  <c r="U288" i="13"/>
  <c r="T288" i="13"/>
  <c r="S288" i="13"/>
  <c r="P288" i="13"/>
  <c r="O288" i="13"/>
  <c r="N288" i="13"/>
  <c r="M288" i="13"/>
  <c r="AS287" i="13"/>
  <c r="AQ287" i="13"/>
  <c r="AP287" i="13"/>
  <c r="AO287" i="13"/>
  <c r="AR287" i="13" s="1"/>
  <c r="AN287" i="13"/>
  <c r="AM287" i="13"/>
  <c r="AH287" i="13"/>
  <c r="AG287" i="13"/>
  <c r="AK287" i="13" s="1"/>
  <c r="AF287" i="13"/>
  <c r="AD287" i="13"/>
  <c r="AC287" i="13"/>
  <c r="AA287" i="13"/>
  <c r="Z287" i="13"/>
  <c r="W287" i="13"/>
  <c r="V287" i="13"/>
  <c r="T287" i="13"/>
  <c r="S287" i="13"/>
  <c r="U287" i="13" s="1"/>
  <c r="P287" i="13"/>
  <c r="O287" i="13"/>
  <c r="N287" i="13"/>
  <c r="M287" i="13"/>
  <c r="AT286" i="13"/>
  <c r="AS286" i="13"/>
  <c r="AQ286" i="13"/>
  <c r="AP286" i="13"/>
  <c r="AO286" i="13"/>
  <c r="AR286" i="13" s="1"/>
  <c r="AN286" i="13"/>
  <c r="AM286" i="13"/>
  <c r="AJ286" i="13"/>
  <c r="AH286" i="13"/>
  <c r="AG286" i="13"/>
  <c r="AK286" i="13" s="1"/>
  <c r="AF286" i="13"/>
  <c r="AC286" i="13"/>
  <c r="AA286" i="13"/>
  <c r="Z286" i="13"/>
  <c r="V286" i="13"/>
  <c r="T286" i="13"/>
  <c r="S286" i="13"/>
  <c r="P286" i="13"/>
  <c r="O286" i="13"/>
  <c r="N286" i="13"/>
  <c r="M286" i="13"/>
  <c r="AT285" i="13"/>
  <c r="AS285" i="13"/>
  <c r="AR285" i="13"/>
  <c r="AQ285" i="13"/>
  <c r="AP285" i="13"/>
  <c r="AO285" i="13"/>
  <c r="AN285" i="13"/>
  <c r="AM285" i="13"/>
  <c r="AK285" i="13"/>
  <c r="AH285" i="13"/>
  <c r="AG285" i="13"/>
  <c r="AF285" i="13"/>
  <c r="AJ285" i="13" s="1"/>
  <c r="AC285" i="13"/>
  <c r="AA285" i="13"/>
  <c r="Z285" i="13"/>
  <c r="V285" i="13"/>
  <c r="S285" i="13"/>
  <c r="P285" i="13"/>
  <c r="O285" i="13"/>
  <c r="N285" i="13"/>
  <c r="M285" i="13"/>
  <c r="AS284" i="13"/>
  <c r="AQ284" i="13"/>
  <c r="AP284" i="13"/>
  <c r="AR284" i="13" s="1"/>
  <c r="AO284" i="13"/>
  <c r="AN284" i="13"/>
  <c r="AM284" i="13"/>
  <c r="AK284" i="13"/>
  <c r="AH284" i="13"/>
  <c r="AG284" i="13"/>
  <c r="AF284" i="13"/>
  <c r="AC284" i="13"/>
  <c r="AA284" i="13"/>
  <c r="Z284" i="13"/>
  <c r="W284" i="13"/>
  <c r="V284" i="13"/>
  <c r="U284" i="13"/>
  <c r="T284" i="13"/>
  <c r="S284" i="13"/>
  <c r="P284" i="13"/>
  <c r="O284" i="13"/>
  <c r="N284" i="13"/>
  <c r="M284" i="13"/>
  <c r="AS283" i="13"/>
  <c r="AR283" i="13"/>
  <c r="AQ283" i="13"/>
  <c r="AP283" i="13"/>
  <c r="AO283" i="13"/>
  <c r="AN283" i="13"/>
  <c r="AM283" i="13"/>
  <c r="AJ283" i="13"/>
  <c r="AH283" i="13"/>
  <c r="AG283" i="13"/>
  <c r="AK283" i="13" s="1"/>
  <c r="AF283" i="13"/>
  <c r="AC283" i="13"/>
  <c r="AA283" i="13"/>
  <c r="Z283" i="13"/>
  <c r="W283" i="13"/>
  <c r="V283" i="13"/>
  <c r="T283" i="13"/>
  <c r="S283" i="13"/>
  <c r="U283" i="13" s="1"/>
  <c r="P283" i="13"/>
  <c r="O283" i="13"/>
  <c r="N283" i="13"/>
  <c r="M283" i="13"/>
  <c r="AT282" i="13"/>
  <c r="AS282" i="13"/>
  <c r="AQ282" i="13"/>
  <c r="AP282" i="13"/>
  <c r="AO282" i="13"/>
  <c r="AR282" i="13" s="1"/>
  <c r="AN282" i="13"/>
  <c r="AM282" i="13"/>
  <c r="AJ282" i="13"/>
  <c r="AH282" i="13"/>
  <c r="AG282" i="13"/>
  <c r="AK282" i="13" s="1"/>
  <c r="AF282" i="13"/>
  <c r="AC282" i="13"/>
  <c r="AA282" i="13"/>
  <c r="Z282" i="13"/>
  <c r="V282" i="13"/>
  <c r="T282" i="13"/>
  <c r="S282" i="13"/>
  <c r="P282" i="13"/>
  <c r="O282" i="13"/>
  <c r="N282" i="13"/>
  <c r="M282" i="13"/>
  <c r="AS281" i="13"/>
  <c r="AQ281" i="13"/>
  <c r="AR281" i="13" s="1"/>
  <c r="AP281" i="13"/>
  <c r="AO281" i="13"/>
  <c r="AN281" i="13"/>
  <c r="AM281" i="13"/>
  <c r="AK281" i="13"/>
  <c r="AH281" i="13"/>
  <c r="AG281" i="13"/>
  <c r="AF281" i="13"/>
  <c r="AC281" i="13"/>
  <c r="AA281" i="13"/>
  <c r="Z281" i="13"/>
  <c r="V281" i="13"/>
  <c r="U281" i="13"/>
  <c r="S281" i="13"/>
  <c r="W281" i="13" s="1"/>
  <c r="P281" i="13"/>
  <c r="O281" i="13"/>
  <c r="N281" i="13"/>
  <c r="M281" i="13"/>
  <c r="AS280" i="13"/>
  <c r="AQ280" i="13"/>
  <c r="AP280" i="13"/>
  <c r="AR280" i="13" s="1"/>
  <c r="AO280" i="13"/>
  <c r="AN280" i="13"/>
  <c r="AM280" i="13"/>
  <c r="AK280" i="13"/>
  <c r="AH280" i="13"/>
  <c r="AG280" i="13"/>
  <c r="AF280" i="13"/>
  <c r="AC280" i="13"/>
  <c r="AA280" i="13"/>
  <c r="Z280" i="13"/>
  <c r="W280" i="13"/>
  <c r="V280" i="13"/>
  <c r="U280" i="13"/>
  <c r="T280" i="13"/>
  <c r="S280" i="13"/>
  <c r="P280" i="13"/>
  <c r="O280" i="13"/>
  <c r="N280" i="13"/>
  <c r="M280" i="13"/>
  <c r="AS279" i="13"/>
  <c r="AQ279" i="13"/>
  <c r="AP279" i="13"/>
  <c r="AO279" i="13"/>
  <c r="AR279" i="13" s="1"/>
  <c r="AN279" i="13"/>
  <c r="AM279" i="13"/>
  <c r="AJ279" i="13"/>
  <c r="AH279" i="13"/>
  <c r="AG279" i="13"/>
  <c r="AK279" i="13" s="1"/>
  <c r="AF279" i="13"/>
  <c r="AC279" i="13"/>
  <c r="AA279" i="13"/>
  <c r="Z279" i="13"/>
  <c r="W279" i="13"/>
  <c r="V279" i="13"/>
  <c r="T279" i="13"/>
  <c r="S279" i="13"/>
  <c r="U279" i="13" s="1"/>
  <c r="P279" i="13"/>
  <c r="O279" i="13"/>
  <c r="N279" i="13"/>
  <c r="M279" i="13"/>
  <c r="AT278" i="13"/>
  <c r="AS278" i="13"/>
  <c r="AQ278" i="13"/>
  <c r="AR278" i="13" s="1"/>
  <c r="AP278" i="13"/>
  <c r="AO278" i="13"/>
  <c r="AN278" i="13"/>
  <c r="AM278" i="13"/>
  <c r="AJ278" i="13"/>
  <c r="AL278" i="13" s="1"/>
  <c r="AI278" i="13"/>
  <c r="AH278" i="13"/>
  <c r="AG278" i="13"/>
  <c r="AK278" i="13" s="1"/>
  <c r="AF278" i="13"/>
  <c r="AC278" i="13"/>
  <c r="AA278" i="13"/>
  <c r="Z278" i="13"/>
  <c r="V278" i="13"/>
  <c r="S278" i="13"/>
  <c r="T278" i="13" s="1"/>
  <c r="P278" i="13"/>
  <c r="O278" i="13"/>
  <c r="N278" i="13"/>
  <c r="M278" i="13"/>
  <c r="AS277" i="13"/>
  <c r="AR277" i="13"/>
  <c r="AQ277" i="13"/>
  <c r="AP277" i="13"/>
  <c r="AO277" i="13"/>
  <c r="AN277" i="13"/>
  <c r="AM277" i="13"/>
  <c r="AK277" i="13"/>
  <c r="AJ277" i="13"/>
  <c r="AH277" i="13"/>
  <c r="AG277" i="13"/>
  <c r="AF277" i="13"/>
  <c r="AI277" i="13" s="1"/>
  <c r="AL277" i="13" s="1"/>
  <c r="AC277" i="13"/>
  <c r="AA277" i="13"/>
  <c r="Z277" i="13"/>
  <c r="V277" i="13"/>
  <c r="U277" i="13"/>
  <c r="S277" i="13"/>
  <c r="W277" i="13" s="1"/>
  <c r="P277" i="13"/>
  <c r="O277" i="13"/>
  <c r="N277" i="13"/>
  <c r="M277" i="13"/>
  <c r="AT276" i="13"/>
  <c r="AS276" i="13"/>
  <c r="AQ276" i="13"/>
  <c r="AP276" i="13"/>
  <c r="AR276" i="13" s="1"/>
  <c r="AO276" i="13"/>
  <c r="AN276" i="13"/>
  <c r="AM276" i="13"/>
  <c r="AK276" i="13"/>
  <c r="AH276" i="13"/>
  <c r="AG276" i="13"/>
  <c r="AF276" i="13"/>
  <c r="AD276" i="13"/>
  <c r="AC276" i="13"/>
  <c r="AA276" i="13"/>
  <c r="Z276" i="13"/>
  <c r="W276" i="13"/>
  <c r="V276" i="13"/>
  <c r="U276" i="13"/>
  <c r="T276" i="13"/>
  <c r="S276" i="13"/>
  <c r="P276" i="13"/>
  <c r="O276" i="13"/>
  <c r="N276" i="13"/>
  <c r="M276" i="13"/>
  <c r="AS275" i="13"/>
  <c r="AQ275" i="13"/>
  <c r="AP275" i="13"/>
  <c r="AR275" i="13" s="1"/>
  <c r="AO275" i="13"/>
  <c r="AN275" i="13"/>
  <c r="AM275" i="13"/>
  <c r="AH275" i="13"/>
  <c r="AG275" i="13"/>
  <c r="AK275" i="13" s="1"/>
  <c r="AF275" i="13"/>
  <c r="AJ275" i="13" s="1"/>
  <c r="AC275" i="13"/>
  <c r="AA275" i="13"/>
  <c r="Z275" i="13"/>
  <c r="W275" i="13"/>
  <c r="V275" i="13"/>
  <c r="T275" i="13"/>
  <c r="S275" i="13"/>
  <c r="U275" i="13" s="1"/>
  <c r="P275" i="13"/>
  <c r="O275" i="13"/>
  <c r="N275" i="13"/>
  <c r="M275" i="13"/>
  <c r="AT274" i="13"/>
  <c r="AS274" i="13"/>
  <c r="AQ274" i="13"/>
  <c r="AP274" i="13"/>
  <c r="AO274" i="13"/>
  <c r="AR274" i="13" s="1"/>
  <c r="AN274" i="13"/>
  <c r="AM274" i="13"/>
  <c r="AJ274" i="13"/>
  <c r="AH274" i="13"/>
  <c r="AG274" i="13"/>
  <c r="AK274" i="13" s="1"/>
  <c r="AF274" i="13"/>
  <c r="AC274" i="13"/>
  <c r="AA274" i="13"/>
  <c r="Z274" i="13"/>
  <c r="V274" i="13"/>
  <c r="T274" i="13"/>
  <c r="S274" i="13"/>
  <c r="P274" i="13"/>
  <c r="O274" i="13"/>
  <c r="N274" i="13"/>
  <c r="M274" i="13"/>
  <c r="AT273" i="13"/>
  <c r="AS273" i="13"/>
  <c r="AR273" i="13"/>
  <c r="AQ273" i="13"/>
  <c r="AP273" i="13"/>
  <c r="AO273" i="13"/>
  <c r="AN273" i="13"/>
  <c r="AM273" i="13"/>
  <c r="AL273" i="13"/>
  <c r="AK273" i="13"/>
  <c r="AJ273" i="13"/>
  <c r="AI273" i="13"/>
  <c r="AH273" i="13"/>
  <c r="AG273" i="13"/>
  <c r="AF273" i="13"/>
  <c r="AC273" i="13"/>
  <c r="AA273" i="13"/>
  <c r="Z273" i="13"/>
  <c r="V273" i="13"/>
  <c r="S273" i="13"/>
  <c r="P273" i="13"/>
  <c r="O273" i="13"/>
  <c r="N273" i="13"/>
  <c r="M273" i="13"/>
  <c r="AS272" i="13"/>
  <c r="AQ272" i="13"/>
  <c r="AP272" i="13"/>
  <c r="AO272" i="13"/>
  <c r="AN272" i="13"/>
  <c r="AM272" i="13"/>
  <c r="AK272" i="13"/>
  <c r="AH272" i="13"/>
  <c r="AG272" i="13"/>
  <c r="AF272" i="13"/>
  <c r="AD272" i="13"/>
  <c r="AC272" i="13"/>
  <c r="AA272" i="13"/>
  <c r="Z272" i="13"/>
  <c r="W272" i="13"/>
  <c r="V272" i="13"/>
  <c r="U272" i="13"/>
  <c r="T272" i="13"/>
  <c r="S272" i="13"/>
  <c r="P272" i="13"/>
  <c r="O272" i="13"/>
  <c r="N272" i="13"/>
  <c r="M272" i="13"/>
  <c r="AS271" i="13"/>
  <c r="AR271" i="13"/>
  <c r="AQ271" i="13"/>
  <c r="AP271" i="13"/>
  <c r="AO271" i="13"/>
  <c r="AN271" i="13"/>
  <c r="AM271" i="13"/>
  <c r="AJ271" i="13"/>
  <c r="AH271" i="13"/>
  <c r="AG271" i="13"/>
  <c r="AK271" i="13" s="1"/>
  <c r="AF271" i="13"/>
  <c r="AC271" i="13"/>
  <c r="AA271" i="13"/>
  <c r="Z271" i="13"/>
  <c r="W271" i="13"/>
  <c r="V271" i="13"/>
  <c r="T271" i="13"/>
  <c r="S271" i="13"/>
  <c r="U271" i="13" s="1"/>
  <c r="P271" i="13"/>
  <c r="O271" i="13"/>
  <c r="N271" i="13"/>
  <c r="M271" i="13"/>
  <c r="AT270" i="13"/>
  <c r="AS270" i="13"/>
  <c r="AQ270" i="13"/>
  <c r="AP270" i="13"/>
  <c r="AO270" i="13"/>
  <c r="AR270" i="13" s="1"/>
  <c r="AN270" i="13"/>
  <c r="AM270" i="13"/>
  <c r="AJ270" i="13"/>
  <c r="AH270" i="13"/>
  <c r="AG270" i="13"/>
  <c r="AK270" i="13" s="1"/>
  <c r="AF270" i="13"/>
  <c r="AC270" i="13"/>
  <c r="AA270" i="13"/>
  <c r="Z270" i="13"/>
  <c r="V270" i="13"/>
  <c r="U270" i="13"/>
  <c r="T270" i="13"/>
  <c r="S270" i="13"/>
  <c r="P270" i="13"/>
  <c r="O270" i="13"/>
  <c r="N270" i="13"/>
  <c r="M270" i="13"/>
  <c r="AS269" i="13"/>
  <c r="AQ269" i="13"/>
  <c r="AR269" i="13" s="1"/>
  <c r="AP269" i="13"/>
  <c r="AO269" i="13"/>
  <c r="AN269" i="13"/>
  <c r="AM269" i="13"/>
  <c r="AK269" i="13"/>
  <c r="AH269" i="13"/>
  <c r="AG269" i="13"/>
  <c r="AF269" i="13"/>
  <c r="AT269" i="13" s="1"/>
  <c r="AC269" i="13"/>
  <c r="AA269" i="13"/>
  <c r="Z269" i="13"/>
  <c r="W269" i="13"/>
  <c r="V269" i="13"/>
  <c r="U269" i="13"/>
  <c r="T269" i="13"/>
  <c r="S269" i="13"/>
  <c r="P269" i="13"/>
  <c r="O269" i="13"/>
  <c r="N269" i="13"/>
  <c r="M269" i="13"/>
  <c r="AT268" i="13"/>
  <c r="AS268" i="13"/>
  <c r="AQ268" i="13"/>
  <c r="AP268" i="13"/>
  <c r="AO268" i="13"/>
  <c r="AR268" i="13" s="1"/>
  <c r="AN268" i="13"/>
  <c r="AM268" i="13"/>
  <c r="AK268" i="13"/>
  <c r="AH268" i="13"/>
  <c r="AG268" i="13"/>
  <c r="AF268" i="13"/>
  <c r="AC268" i="13"/>
  <c r="AA268" i="13"/>
  <c r="Z268" i="13"/>
  <c r="W268" i="13"/>
  <c r="V268" i="13"/>
  <c r="U268" i="13"/>
  <c r="T268" i="13"/>
  <c r="S268" i="13"/>
  <c r="P268" i="13"/>
  <c r="O268" i="13"/>
  <c r="N268" i="13"/>
  <c r="M268" i="13"/>
  <c r="AT267" i="13"/>
  <c r="AS267" i="13"/>
  <c r="AR267" i="13"/>
  <c r="AQ267" i="13"/>
  <c r="AP267" i="13"/>
  <c r="AO267" i="13"/>
  <c r="AN267" i="13"/>
  <c r="AM267" i="13"/>
  <c r="AJ267" i="13"/>
  <c r="AH267" i="13"/>
  <c r="AG267" i="13"/>
  <c r="AK267" i="13" s="1"/>
  <c r="AF267" i="13"/>
  <c r="AI267" i="13" s="1"/>
  <c r="AL267" i="13" s="1"/>
  <c r="AC267" i="13"/>
  <c r="AA267" i="13"/>
  <c r="Z267" i="13"/>
  <c r="V267" i="13"/>
  <c r="S267" i="13"/>
  <c r="P267" i="13"/>
  <c r="O267" i="13"/>
  <c r="N267" i="13"/>
  <c r="M267" i="13"/>
  <c r="AT266" i="13"/>
  <c r="AS266" i="13"/>
  <c r="AQ266" i="13"/>
  <c r="AP266" i="13"/>
  <c r="AO266" i="13"/>
  <c r="AN266" i="13"/>
  <c r="AM266" i="13"/>
  <c r="AK266" i="13"/>
  <c r="AJ266" i="13"/>
  <c r="AI266" i="13"/>
  <c r="AL266" i="13" s="1"/>
  <c r="AH266" i="13"/>
  <c r="AG266" i="13"/>
  <c r="AF266" i="13"/>
  <c r="AC266" i="13"/>
  <c r="AA266" i="13"/>
  <c r="Z266" i="13"/>
  <c r="V266" i="13"/>
  <c r="S266" i="13"/>
  <c r="P266" i="13"/>
  <c r="O266" i="13"/>
  <c r="N266" i="13"/>
  <c r="M266" i="13"/>
  <c r="AT265" i="13"/>
  <c r="AS265" i="13"/>
  <c r="AQ265" i="13"/>
  <c r="AR265" i="13" s="1"/>
  <c r="AP265" i="13"/>
  <c r="AO265" i="13"/>
  <c r="AN265" i="13"/>
  <c r="AM265" i="13"/>
  <c r="AK265" i="13"/>
  <c r="AJ265" i="13"/>
  <c r="AI265" i="13"/>
  <c r="AL265" i="13" s="1"/>
  <c r="AH265" i="13"/>
  <c r="AG265" i="13"/>
  <c r="AF265" i="13"/>
  <c r="AC265" i="13"/>
  <c r="AA265" i="13"/>
  <c r="Z265" i="13"/>
  <c r="V265" i="13"/>
  <c r="U265" i="13"/>
  <c r="T265" i="13"/>
  <c r="S265" i="13"/>
  <c r="P265" i="13"/>
  <c r="O265" i="13"/>
  <c r="N265" i="13"/>
  <c r="M265" i="13"/>
  <c r="AT264" i="13"/>
  <c r="AS264" i="13"/>
  <c r="AR264" i="13"/>
  <c r="AQ264" i="13"/>
  <c r="AP264" i="13"/>
  <c r="AO264" i="13"/>
  <c r="AN264" i="13"/>
  <c r="AM264" i="13"/>
  <c r="AL264" i="13"/>
  <c r="AK264" i="13"/>
  <c r="AJ264" i="13"/>
  <c r="AH264" i="13"/>
  <c r="AG264" i="13"/>
  <c r="AF264" i="13"/>
  <c r="AI264" i="13" s="1"/>
  <c r="AC264" i="13"/>
  <c r="AA264" i="13"/>
  <c r="Z264" i="13"/>
  <c r="W264" i="13"/>
  <c r="V264" i="13"/>
  <c r="U264" i="13"/>
  <c r="T264" i="13"/>
  <c r="S264" i="13"/>
  <c r="P264" i="13"/>
  <c r="O264" i="13"/>
  <c r="N264" i="13"/>
  <c r="M264" i="13"/>
  <c r="AT263" i="13"/>
  <c r="AS263" i="13"/>
  <c r="AR263" i="13"/>
  <c r="AQ263" i="13"/>
  <c r="AP263" i="13"/>
  <c r="AO263" i="13"/>
  <c r="AN263" i="13"/>
  <c r="AM263" i="13"/>
  <c r="AJ263" i="13"/>
  <c r="AI263" i="13"/>
  <c r="AL263" i="13" s="1"/>
  <c r="AH263" i="13"/>
  <c r="AG263" i="13"/>
  <c r="AK263" i="13" s="1"/>
  <c r="AF263" i="13"/>
  <c r="AC263" i="13"/>
  <c r="AA263" i="13"/>
  <c r="Z263" i="13"/>
  <c r="V263" i="13"/>
  <c r="T263" i="13"/>
  <c r="S263" i="13"/>
  <c r="U263" i="13" s="1"/>
  <c r="P263" i="13"/>
  <c r="O263" i="13"/>
  <c r="N263" i="13"/>
  <c r="M263" i="13"/>
  <c r="AT262" i="13"/>
  <c r="AS262" i="13"/>
  <c r="AR262" i="13"/>
  <c r="AQ262" i="13"/>
  <c r="AP262" i="13"/>
  <c r="AO262" i="13"/>
  <c r="AN262" i="13"/>
  <c r="AM262" i="13"/>
  <c r="AK262" i="13"/>
  <c r="AJ262" i="13"/>
  <c r="AL262" i="13" s="1"/>
  <c r="AI262" i="13"/>
  <c r="AH262" i="13"/>
  <c r="AG262" i="13"/>
  <c r="AF262" i="13"/>
  <c r="AC262" i="13"/>
  <c r="AA262" i="13"/>
  <c r="Z262" i="13"/>
  <c r="V262" i="13"/>
  <c r="U262" i="13"/>
  <c r="T262" i="13"/>
  <c r="S262" i="13"/>
  <c r="W262" i="13" s="1"/>
  <c r="P262" i="13"/>
  <c r="O262" i="13"/>
  <c r="N262" i="13"/>
  <c r="M262" i="13"/>
  <c r="AT261" i="13"/>
  <c r="AS261" i="13"/>
  <c r="AR261" i="13"/>
  <c r="AQ261" i="13"/>
  <c r="AP261" i="13"/>
  <c r="AO261" i="13"/>
  <c r="AN261" i="13"/>
  <c r="AM261" i="13"/>
  <c r="AL261" i="13"/>
  <c r="AK261" i="13"/>
  <c r="AJ261" i="13"/>
  <c r="AI261" i="13"/>
  <c r="AH261" i="13"/>
  <c r="AG261" i="13"/>
  <c r="AF261" i="13"/>
  <c r="AC261" i="13"/>
  <c r="AA261" i="13"/>
  <c r="Z261" i="13"/>
  <c r="V261" i="13"/>
  <c r="U261" i="13"/>
  <c r="T261" i="13"/>
  <c r="S261" i="13"/>
  <c r="P261" i="13"/>
  <c r="O261" i="13"/>
  <c r="N261" i="13"/>
  <c r="M261" i="13"/>
  <c r="AT260" i="13"/>
  <c r="AS260" i="13"/>
  <c r="AR260" i="13"/>
  <c r="AQ260" i="13"/>
  <c r="AP260" i="13"/>
  <c r="AO260" i="13"/>
  <c r="AN260" i="13"/>
  <c r="AM260" i="13"/>
  <c r="AK260" i="13"/>
  <c r="AJ260" i="13"/>
  <c r="AH260" i="13"/>
  <c r="AG260" i="13"/>
  <c r="AF260" i="13"/>
  <c r="AC260" i="13"/>
  <c r="AA260" i="13"/>
  <c r="Z260" i="13"/>
  <c r="W260" i="13"/>
  <c r="V260" i="13"/>
  <c r="U260" i="13"/>
  <c r="T260" i="13"/>
  <c r="S260" i="13"/>
  <c r="P260" i="13"/>
  <c r="O260" i="13"/>
  <c r="N260" i="13"/>
  <c r="M260" i="13"/>
  <c r="AT259" i="13"/>
  <c r="AS259" i="13"/>
  <c r="AQ259" i="13"/>
  <c r="AR259" i="13" s="1"/>
  <c r="AP259" i="13"/>
  <c r="AO259" i="13"/>
  <c r="AN259" i="13"/>
  <c r="AM259" i="13"/>
  <c r="AJ259" i="13"/>
  <c r="AL259" i="13" s="1"/>
  <c r="AI259" i="13"/>
  <c r="AH259" i="13"/>
  <c r="AG259" i="13"/>
  <c r="AK259" i="13" s="1"/>
  <c r="AF259" i="13"/>
  <c r="AC259" i="13"/>
  <c r="AA259" i="13"/>
  <c r="Z259" i="13"/>
  <c r="W259" i="13"/>
  <c r="V259" i="13"/>
  <c r="T259" i="13"/>
  <c r="S259" i="13"/>
  <c r="P259" i="13"/>
  <c r="O259" i="13"/>
  <c r="N259" i="13"/>
  <c r="M259" i="13"/>
  <c r="AT258" i="13"/>
  <c r="AS258" i="13"/>
  <c r="AQ258" i="13"/>
  <c r="AR258" i="13" s="1"/>
  <c r="AP258" i="13"/>
  <c r="AO258" i="13"/>
  <c r="AN258" i="13"/>
  <c r="AM258" i="13"/>
  <c r="AK258" i="13"/>
  <c r="AH258" i="13"/>
  <c r="AG258" i="13"/>
  <c r="AF258" i="13"/>
  <c r="AC258" i="13"/>
  <c r="AA258" i="13"/>
  <c r="Z258" i="13"/>
  <c r="V258" i="13"/>
  <c r="U258" i="13"/>
  <c r="T258" i="13"/>
  <c r="S258" i="13"/>
  <c r="P258" i="13"/>
  <c r="O258" i="13"/>
  <c r="N258" i="13"/>
  <c r="M258" i="13"/>
  <c r="AT257" i="13"/>
  <c r="AS257" i="13"/>
  <c r="AQ257" i="13"/>
  <c r="AR257" i="13" s="1"/>
  <c r="AP257" i="13"/>
  <c r="AO257" i="13"/>
  <c r="AN257" i="13"/>
  <c r="AM257" i="13"/>
  <c r="AK257" i="13"/>
  <c r="AH257" i="13"/>
  <c r="AG257" i="13"/>
  <c r="AF257" i="13"/>
  <c r="AC257" i="13"/>
  <c r="AD257" i="13" s="1"/>
  <c r="AA257" i="13"/>
  <c r="Z257" i="13"/>
  <c r="W257" i="13"/>
  <c r="V257" i="13"/>
  <c r="U257" i="13"/>
  <c r="T257" i="13"/>
  <c r="S257" i="13"/>
  <c r="P257" i="13"/>
  <c r="O257" i="13"/>
  <c r="N257" i="13"/>
  <c r="M257" i="13"/>
  <c r="AT256" i="13"/>
  <c r="AS256" i="13"/>
  <c r="AR256" i="13"/>
  <c r="AQ256" i="13"/>
  <c r="AP256" i="13"/>
  <c r="AO256" i="13"/>
  <c r="AN256" i="13"/>
  <c r="AM256" i="13"/>
  <c r="AL256" i="13"/>
  <c r="AK256" i="13"/>
  <c r="AJ256" i="13"/>
  <c r="AH256" i="13"/>
  <c r="AG256" i="13"/>
  <c r="AF256" i="13"/>
  <c r="AI256" i="13" s="1"/>
  <c r="AC256" i="13"/>
  <c r="AA256" i="13"/>
  <c r="Z256" i="13"/>
  <c r="W256" i="13"/>
  <c r="V256" i="13"/>
  <c r="U256" i="13"/>
  <c r="T256" i="13"/>
  <c r="S256" i="13"/>
  <c r="P256" i="13"/>
  <c r="O256" i="13"/>
  <c r="N256" i="13"/>
  <c r="M256" i="13"/>
  <c r="AT255" i="13"/>
  <c r="AS255" i="13"/>
  <c r="AQ255" i="13"/>
  <c r="AP255" i="13"/>
  <c r="AO255" i="13"/>
  <c r="AR255" i="13" s="1"/>
  <c r="AN255" i="13"/>
  <c r="AM255" i="13"/>
  <c r="AH255" i="13"/>
  <c r="AG255" i="13"/>
  <c r="AK255" i="13" s="1"/>
  <c r="AF255" i="13"/>
  <c r="AC255" i="13"/>
  <c r="AA255" i="13"/>
  <c r="Z255" i="13"/>
  <c r="W255" i="13"/>
  <c r="V255" i="13"/>
  <c r="U255" i="13"/>
  <c r="T255" i="13"/>
  <c r="S255" i="13"/>
  <c r="P255" i="13"/>
  <c r="O255" i="13"/>
  <c r="N255" i="13"/>
  <c r="M255" i="13"/>
  <c r="AT254" i="13"/>
  <c r="AS254" i="13"/>
  <c r="AQ254" i="13"/>
  <c r="AP254" i="13"/>
  <c r="AO254" i="13"/>
  <c r="AN254" i="13"/>
  <c r="AM254" i="13"/>
  <c r="AH254" i="13"/>
  <c r="AG254" i="13"/>
  <c r="AK254" i="13" s="1"/>
  <c r="AF254" i="13"/>
  <c r="AC254" i="13"/>
  <c r="AA254" i="13"/>
  <c r="Z254" i="13"/>
  <c r="W254" i="13"/>
  <c r="V254" i="13"/>
  <c r="U254" i="13"/>
  <c r="S254" i="13"/>
  <c r="P254" i="13"/>
  <c r="O254" i="13"/>
  <c r="N254" i="13"/>
  <c r="M254" i="13"/>
  <c r="AS253" i="13"/>
  <c r="AQ253" i="13"/>
  <c r="AP253" i="13"/>
  <c r="AO253" i="13"/>
  <c r="AR253" i="13" s="1"/>
  <c r="AN253" i="13"/>
  <c r="AM253" i="13"/>
  <c r="AH253" i="13"/>
  <c r="AG253" i="13"/>
  <c r="AK253" i="13" s="1"/>
  <c r="AF253" i="13"/>
  <c r="AT253" i="13" s="1"/>
  <c r="AC253" i="13"/>
  <c r="AA253" i="13"/>
  <c r="Z253" i="13"/>
  <c r="W253" i="13"/>
  <c r="V253" i="13"/>
  <c r="T253" i="13"/>
  <c r="S253" i="13"/>
  <c r="U253" i="13" s="1"/>
  <c r="P253" i="13"/>
  <c r="O253" i="13"/>
  <c r="N253" i="13"/>
  <c r="M253" i="13"/>
  <c r="AT252" i="13"/>
  <c r="AS252" i="13"/>
  <c r="AQ252" i="13"/>
  <c r="AP252" i="13"/>
  <c r="AO252" i="13"/>
  <c r="AR252" i="13" s="1"/>
  <c r="AN252" i="13"/>
  <c r="AM252" i="13"/>
  <c r="AJ252" i="13"/>
  <c r="AH252" i="13"/>
  <c r="AG252" i="13"/>
  <c r="AI252" i="13" s="1"/>
  <c r="AF252" i="13"/>
  <c r="AC252" i="13"/>
  <c r="AA252" i="13"/>
  <c r="Z252" i="13"/>
  <c r="V252" i="13"/>
  <c r="U252" i="13"/>
  <c r="S252" i="13"/>
  <c r="P252" i="13"/>
  <c r="O252" i="13"/>
  <c r="N252" i="13"/>
  <c r="M252" i="13"/>
  <c r="AS251" i="13"/>
  <c r="AQ251" i="13"/>
  <c r="AR251" i="13" s="1"/>
  <c r="AP251" i="13"/>
  <c r="AO251" i="13"/>
  <c r="AN251" i="13"/>
  <c r="AM251" i="13"/>
  <c r="AK251" i="13"/>
  <c r="AH251" i="13"/>
  <c r="AG251" i="13"/>
  <c r="AF251" i="13"/>
  <c r="AT251" i="13" s="1"/>
  <c r="AC251" i="13"/>
  <c r="AA251" i="13"/>
  <c r="Z251" i="13"/>
  <c r="W251" i="13"/>
  <c r="V251" i="13"/>
  <c r="U251" i="13"/>
  <c r="T251" i="13"/>
  <c r="S251" i="13"/>
  <c r="P251" i="13"/>
  <c r="O251" i="13"/>
  <c r="N251" i="13"/>
  <c r="M251" i="13"/>
  <c r="AT250" i="13"/>
  <c r="AS250" i="13"/>
  <c r="AQ250" i="13"/>
  <c r="AP250" i="13"/>
  <c r="AO250" i="13"/>
  <c r="AR250" i="13" s="1"/>
  <c r="AN250" i="13"/>
  <c r="AM250" i="13"/>
  <c r="AK250" i="13"/>
  <c r="AH250" i="13"/>
  <c r="AG250" i="13"/>
  <c r="AF250" i="13"/>
  <c r="AC250" i="13"/>
  <c r="AA250" i="13"/>
  <c r="Z250" i="13"/>
  <c r="W250" i="13"/>
  <c r="V250" i="13"/>
  <c r="U250" i="13"/>
  <c r="S250" i="13"/>
  <c r="P250" i="13"/>
  <c r="O250" i="13"/>
  <c r="N250" i="13"/>
  <c r="M250" i="13"/>
  <c r="AS249" i="13"/>
  <c r="AQ249" i="13"/>
  <c r="AP249" i="13"/>
  <c r="AO249" i="13"/>
  <c r="AR249" i="13" s="1"/>
  <c r="AN249" i="13"/>
  <c r="AM249" i="13"/>
  <c r="AH249" i="13"/>
  <c r="AG249" i="13"/>
  <c r="AK249" i="13" s="1"/>
  <c r="AF249" i="13"/>
  <c r="AT249" i="13" s="1"/>
  <c r="AC249" i="13"/>
  <c r="AA249" i="13"/>
  <c r="Z249" i="13"/>
  <c r="W249" i="13"/>
  <c r="V249" i="13"/>
  <c r="T249" i="13"/>
  <c r="S249" i="13"/>
  <c r="U249" i="13" s="1"/>
  <c r="P249" i="13"/>
  <c r="O249" i="13"/>
  <c r="N249" i="13"/>
  <c r="M249" i="13"/>
  <c r="AT248" i="13"/>
  <c r="AS248" i="13"/>
  <c r="AQ248" i="13"/>
  <c r="AP248" i="13"/>
  <c r="AO248" i="13"/>
  <c r="AR248" i="13" s="1"/>
  <c r="AN248" i="13"/>
  <c r="AM248" i="13"/>
  <c r="AJ248" i="13"/>
  <c r="AH248" i="13"/>
  <c r="AG248" i="13"/>
  <c r="AI248" i="13" s="1"/>
  <c r="AL248" i="13" s="1"/>
  <c r="AF248" i="13"/>
  <c r="AC248" i="13"/>
  <c r="AA248" i="13"/>
  <c r="Z248" i="13"/>
  <c r="W248" i="13"/>
  <c r="V248" i="13"/>
  <c r="U248" i="13"/>
  <c r="S248" i="13"/>
  <c r="P248" i="13"/>
  <c r="O248" i="13"/>
  <c r="N248" i="13"/>
  <c r="M248" i="13"/>
  <c r="AS247" i="13"/>
  <c r="AQ247" i="13"/>
  <c r="AP247" i="13"/>
  <c r="AO247" i="13"/>
  <c r="AR247" i="13" s="1"/>
  <c r="AN247" i="13"/>
  <c r="AM247" i="13"/>
  <c r="AH247" i="13"/>
  <c r="AG247" i="13"/>
  <c r="AK247" i="13" s="1"/>
  <c r="AF247" i="13"/>
  <c r="AJ247" i="13" s="1"/>
  <c r="AC247" i="13"/>
  <c r="AA247" i="13"/>
  <c r="Z247" i="13"/>
  <c r="W247" i="13"/>
  <c r="V247" i="13"/>
  <c r="S247" i="13"/>
  <c r="P247" i="13"/>
  <c r="O247" i="13"/>
  <c r="N247" i="13"/>
  <c r="M247" i="13"/>
  <c r="AS246" i="13"/>
  <c r="AQ246" i="13"/>
  <c r="AP246" i="13"/>
  <c r="AO246" i="13"/>
  <c r="AR246" i="13" s="1"/>
  <c r="AN246" i="13"/>
  <c r="AM246" i="13"/>
  <c r="AH246" i="13"/>
  <c r="AG246" i="13"/>
  <c r="AK246" i="13" s="1"/>
  <c r="AF246" i="13"/>
  <c r="AJ246" i="13" s="1"/>
  <c r="AC246" i="13"/>
  <c r="AA246" i="13"/>
  <c r="Z246" i="13"/>
  <c r="W246" i="13"/>
  <c r="V246" i="13"/>
  <c r="U246" i="13"/>
  <c r="S246" i="13"/>
  <c r="P246" i="13"/>
  <c r="O246" i="13"/>
  <c r="N246" i="13"/>
  <c r="M246" i="13"/>
  <c r="AS245" i="13"/>
  <c r="AQ245" i="13"/>
  <c r="AP245" i="13"/>
  <c r="AO245" i="13"/>
  <c r="AR245" i="13" s="1"/>
  <c r="AN245" i="13"/>
  <c r="AM245" i="13"/>
  <c r="AK245" i="13"/>
  <c r="AJ245" i="13"/>
  <c r="AH245" i="13"/>
  <c r="AG245" i="13"/>
  <c r="AF245" i="13"/>
  <c r="AT245" i="13" s="1"/>
  <c r="AC245" i="13"/>
  <c r="AA245" i="13"/>
  <c r="Z245" i="13"/>
  <c r="V245" i="13"/>
  <c r="U245" i="13"/>
  <c r="S245" i="13"/>
  <c r="P245" i="13"/>
  <c r="O245" i="13"/>
  <c r="N245" i="13"/>
  <c r="M245" i="13"/>
  <c r="AT244" i="13"/>
  <c r="AS244" i="13"/>
  <c r="AQ244" i="13"/>
  <c r="AP244" i="13"/>
  <c r="AO244" i="13"/>
  <c r="AR244" i="13" s="1"/>
  <c r="AN244" i="13"/>
  <c r="AM244" i="13"/>
  <c r="AK244" i="13"/>
  <c r="AJ244" i="13"/>
  <c r="AH244" i="13"/>
  <c r="AG244" i="13"/>
  <c r="AI244" i="13" s="1"/>
  <c r="AL244" i="13" s="1"/>
  <c r="AF244" i="13"/>
  <c r="AC244" i="13"/>
  <c r="AA244" i="13"/>
  <c r="Z244" i="13"/>
  <c r="W244" i="13"/>
  <c r="V244" i="13"/>
  <c r="U244" i="13"/>
  <c r="T244" i="13"/>
  <c r="S244" i="13"/>
  <c r="P244" i="13"/>
  <c r="O244" i="13"/>
  <c r="N244" i="13"/>
  <c r="M244" i="13"/>
  <c r="AS243" i="13"/>
  <c r="AQ243" i="13"/>
  <c r="AP243" i="13"/>
  <c r="AO243" i="13"/>
  <c r="AR243" i="13" s="1"/>
  <c r="AN243" i="13"/>
  <c r="AM243" i="13"/>
  <c r="AH243" i="13"/>
  <c r="AG243" i="13"/>
  <c r="AK243" i="13" s="1"/>
  <c r="AF243" i="13"/>
  <c r="AI243" i="13" s="1"/>
  <c r="AL243" i="13" s="1"/>
  <c r="AC243" i="13"/>
  <c r="AA243" i="13"/>
  <c r="Z243" i="13"/>
  <c r="W243" i="13"/>
  <c r="V243" i="13"/>
  <c r="U243" i="13"/>
  <c r="T243" i="13"/>
  <c r="S243" i="13"/>
  <c r="P243" i="13"/>
  <c r="O243" i="13"/>
  <c r="N243" i="13"/>
  <c r="M243" i="13"/>
  <c r="AS242" i="13"/>
  <c r="AQ242" i="13"/>
  <c r="AP242" i="13"/>
  <c r="AO242" i="13"/>
  <c r="AR242" i="13" s="1"/>
  <c r="AN242" i="13"/>
  <c r="AM242" i="13"/>
  <c r="AH242" i="13"/>
  <c r="AG242" i="13"/>
  <c r="AK242" i="13" s="1"/>
  <c r="AF242" i="13"/>
  <c r="AJ242" i="13" s="1"/>
  <c r="AC242" i="13"/>
  <c r="AA242" i="13"/>
  <c r="Z242" i="13"/>
  <c r="V242" i="13"/>
  <c r="S242" i="13"/>
  <c r="P242" i="13"/>
  <c r="O242" i="13"/>
  <c r="N242" i="13"/>
  <c r="M242" i="13"/>
  <c r="AS241" i="13"/>
  <c r="AR241" i="13"/>
  <c r="AQ241" i="13"/>
  <c r="AP241" i="13"/>
  <c r="AO241" i="13"/>
  <c r="AN241" i="13"/>
  <c r="AM241" i="13"/>
  <c r="AK241" i="13"/>
  <c r="AJ241" i="13"/>
  <c r="AI241" i="13"/>
  <c r="AH241" i="13"/>
  <c r="AG241" i="13"/>
  <c r="AF241" i="13"/>
  <c r="AT241" i="13" s="1"/>
  <c r="AC241" i="13"/>
  <c r="AA241" i="13"/>
  <c r="Z241" i="13"/>
  <c r="V241" i="13"/>
  <c r="U241" i="13"/>
  <c r="T241" i="13"/>
  <c r="S241" i="13"/>
  <c r="W241" i="13" s="1"/>
  <c r="P241" i="13"/>
  <c r="O241" i="13"/>
  <c r="N241" i="13"/>
  <c r="M241" i="13"/>
  <c r="AT240" i="13"/>
  <c r="AS240" i="13"/>
  <c r="AR240" i="13"/>
  <c r="AQ240" i="13"/>
  <c r="AP240" i="13"/>
  <c r="AO240" i="13"/>
  <c r="AN240" i="13"/>
  <c r="AM240" i="13"/>
  <c r="AL240" i="13"/>
  <c r="AK240" i="13"/>
  <c r="AJ240" i="13"/>
  <c r="AI240" i="13"/>
  <c r="AH240" i="13"/>
  <c r="AG240" i="13"/>
  <c r="AF240" i="13"/>
  <c r="AC240" i="13"/>
  <c r="AA240" i="13"/>
  <c r="Z240" i="13"/>
  <c r="V240" i="13"/>
  <c r="U240" i="13"/>
  <c r="S240" i="13"/>
  <c r="P240" i="13"/>
  <c r="O240" i="13"/>
  <c r="N240" i="13"/>
  <c r="M240" i="13"/>
  <c r="AS239" i="13"/>
  <c r="AQ239" i="13"/>
  <c r="AP239" i="13"/>
  <c r="AO239" i="13"/>
  <c r="AR239" i="13" s="1"/>
  <c r="AN239" i="13"/>
  <c r="AM239" i="13"/>
  <c r="AK239" i="13"/>
  <c r="AH239" i="13"/>
  <c r="AG239" i="13"/>
  <c r="AF239" i="13"/>
  <c r="AT239" i="13" s="1"/>
  <c r="AC239" i="13"/>
  <c r="AA239" i="13"/>
  <c r="Z239" i="13"/>
  <c r="W239" i="13"/>
  <c r="V239" i="13"/>
  <c r="U239" i="13"/>
  <c r="T239" i="13"/>
  <c r="S239" i="13"/>
  <c r="P239" i="13"/>
  <c r="O239" i="13"/>
  <c r="N239" i="13"/>
  <c r="M239" i="13"/>
  <c r="AT238" i="13"/>
  <c r="AS238" i="13"/>
  <c r="AQ238" i="13"/>
  <c r="AP238" i="13"/>
  <c r="AO238" i="13"/>
  <c r="AR238" i="13" s="1"/>
  <c r="AN238" i="13"/>
  <c r="AM238" i="13"/>
  <c r="AK238" i="13"/>
  <c r="AH238" i="13"/>
  <c r="AG238" i="13"/>
  <c r="AF238" i="13"/>
  <c r="AJ238" i="13" s="1"/>
  <c r="AC238" i="13"/>
  <c r="AA238" i="13"/>
  <c r="Z238" i="13"/>
  <c r="V238" i="13"/>
  <c r="U238" i="13"/>
  <c r="S238" i="13"/>
  <c r="P238" i="13"/>
  <c r="O238" i="13"/>
  <c r="N238" i="13"/>
  <c r="M238" i="13"/>
  <c r="AS237" i="13"/>
  <c r="AQ237" i="13"/>
  <c r="AR237" i="13" s="1"/>
  <c r="AP237" i="13"/>
  <c r="AO237" i="13"/>
  <c r="AN237" i="13"/>
  <c r="AM237" i="13"/>
  <c r="AK237" i="13"/>
  <c r="AJ237" i="13"/>
  <c r="AI237" i="13"/>
  <c r="AH237" i="13"/>
  <c r="AG237" i="13"/>
  <c r="AF237" i="13"/>
  <c r="AT237" i="13" s="1"/>
  <c r="AC237" i="13"/>
  <c r="AA237" i="13"/>
  <c r="Z237" i="13"/>
  <c r="V237" i="13"/>
  <c r="S237" i="13"/>
  <c r="U237" i="13" s="1"/>
  <c r="P237" i="13"/>
  <c r="O237" i="13"/>
  <c r="N237" i="13"/>
  <c r="M237" i="13"/>
  <c r="AT236" i="13"/>
  <c r="AS236" i="13"/>
  <c r="AQ236" i="13"/>
  <c r="AR236" i="13" s="1"/>
  <c r="AP236" i="13"/>
  <c r="AO236" i="13"/>
  <c r="AN236" i="13"/>
  <c r="AM236" i="13"/>
  <c r="AK236" i="13"/>
  <c r="AJ236" i="13"/>
  <c r="AI236" i="13"/>
  <c r="AL236" i="13" s="1"/>
  <c r="AH236" i="13"/>
  <c r="AG236" i="13"/>
  <c r="AF236" i="13"/>
  <c r="AC236" i="13"/>
  <c r="AA236" i="13"/>
  <c r="Z236" i="13"/>
  <c r="V236" i="13"/>
  <c r="U236" i="13"/>
  <c r="T236" i="13"/>
  <c r="S236" i="13"/>
  <c r="P236" i="13"/>
  <c r="O236" i="13"/>
  <c r="N236" i="13"/>
  <c r="M236" i="13"/>
  <c r="AT235" i="13"/>
  <c r="AS235" i="13"/>
  <c r="AR235" i="13"/>
  <c r="AQ235" i="13"/>
  <c r="AP235" i="13"/>
  <c r="AO235" i="13"/>
  <c r="AN235" i="13"/>
  <c r="AM235" i="13"/>
  <c r="AK235" i="13"/>
  <c r="AJ235" i="13"/>
  <c r="AH235" i="13"/>
  <c r="AG235" i="13"/>
  <c r="AF235" i="13"/>
  <c r="AI235" i="13" s="1"/>
  <c r="AL235" i="13" s="1"/>
  <c r="AC235" i="13"/>
  <c r="AA235" i="13"/>
  <c r="Z235" i="13"/>
  <c r="W235" i="13"/>
  <c r="V235" i="13"/>
  <c r="U235" i="13"/>
  <c r="T235" i="13"/>
  <c r="S235" i="13"/>
  <c r="P235" i="13"/>
  <c r="O235" i="13"/>
  <c r="N235" i="13"/>
  <c r="M235" i="13"/>
  <c r="AT234" i="13"/>
  <c r="AS234" i="13"/>
  <c r="AQ234" i="13"/>
  <c r="AP234" i="13"/>
  <c r="AO234" i="13"/>
  <c r="AN234" i="13"/>
  <c r="AM234" i="13"/>
  <c r="AL234" i="13"/>
  <c r="AK234" i="13"/>
  <c r="AI234" i="13"/>
  <c r="AH234" i="13"/>
  <c r="AG234" i="13"/>
  <c r="AF234" i="13"/>
  <c r="AJ234" i="13" s="1"/>
  <c r="AC234" i="13"/>
  <c r="AA234" i="13"/>
  <c r="Z234" i="13"/>
  <c r="V234" i="13"/>
  <c r="S234" i="13"/>
  <c r="P234" i="13"/>
  <c r="O234" i="13"/>
  <c r="N234" i="13"/>
  <c r="M234" i="13"/>
  <c r="AS233" i="13"/>
  <c r="AR233" i="13"/>
  <c r="AQ233" i="13"/>
  <c r="AP233" i="13"/>
  <c r="AO233" i="13"/>
  <c r="AN233" i="13"/>
  <c r="AM233" i="13"/>
  <c r="AJ233" i="13"/>
  <c r="AI233" i="13"/>
  <c r="AH233" i="13"/>
  <c r="AG233" i="13"/>
  <c r="AK233" i="13" s="1"/>
  <c r="AF233" i="13"/>
  <c r="AT233" i="13" s="1"/>
  <c r="AC233" i="13"/>
  <c r="AA233" i="13"/>
  <c r="Z233" i="13"/>
  <c r="V233" i="13"/>
  <c r="S233" i="13"/>
  <c r="U233" i="13" s="1"/>
  <c r="P233" i="13"/>
  <c r="O233" i="13"/>
  <c r="N233" i="13"/>
  <c r="M233" i="13"/>
  <c r="AT232" i="13"/>
  <c r="AS232" i="13"/>
  <c r="AR232" i="13"/>
  <c r="AQ232" i="13"/>
  <c r="AP232" i="13"/>
  <c r="AO232" i="13"/>
  <c r="AN232" i="13"/>
  <c r="AM232" i="13"/>
  <c r="AK232" i="13"/>
  <c r="AJ232" i="13"/>
  <c r="AI232" i="13"/>
  <c r="AL232" i="13" s="1"/>
  <c r="AH232" i="13"/>
  <c r="AG232" i="13"/>
  <c r="AF232" i="13"/>
  <c r="AC232" i="13"/>
  <c r="AA232" i="13"/>
  <c r="Z232" i="13"/>
  <c r="V232" i="13"/>
  <c r="S232" i="13"/>
  <c r="W232" i="13" s="1"/>
  <c r="P232" i="13"/>
  <c r="O232" i="13"/>
  <c r="N232" i="13"/>
  <c r="M232" i="13"/>
  <c r="AT231" i="13"/>
  <c r="AS231" i="13"/>
  <c r="AQ231" i="13"/>
  <c r="AR231" i="13" s="1"/>
  <c r="AP231" i="13"/>
  <c r="AO231" i="13"/>
  <c r="AN231" i="13"/>
  <c r="AM231" i="13"/>
  <c r="AK231" i="13"/>
  <c r="AJ231" i="13"/>
  <c r="AI231" i="13"/>
  <c r="AL231" i="13" s="1"/>
  <c r="AH231" i="13"/>
  <c r="AG231" i="13"/>
  <c r="AF231" i="13"/>
  <c r="AC231" i="13"/>
  <c r="AA231" i="13"/>
  <c r="Z231" i="13"/>
  <c r="V231" i="13"/>
  <c r="U231" i="13"/>
  <c r="S231" i="13"/>
  <c r="P231" i="13"/>
  <c r="O231" i="13"/>
  <c r="N231" i="13"/>
  <c r="M231" i="13"/>
  <c r="AT230" i="13"/>
  <c r="AS230" i="13"/>
  <c r="AQ230" i="13"/>
  <c r="AP230" i="13"/>
  <c r="AO230" i="13"/>
  <c r="AN230" i="13"/>
  <c r="AM230" i="13"/>
  <c r="AK230" i="13"/>
  <c r="AI230" i="13"/>
  <c r="AL230" i="13" s="1"/>
  <c r="AH230" i="13"/>
  <c r="AG230" i="13"/>
  <c r="AF230" i="13"/>
  <c r="AJ230" i="13" s="1"/>
  <c r="AC230" i="13"/>
  <c r="AD230" i="13" s="1"/>
  <c r="AA230" i="13"/>
  <c r="Z230" i="13"/>
  <c r="V230" i="13"/>
  <c r="S230" i="13"/>
  <c r="P230" i="13"/>
  <c r="O230" i="13"/>
  <c r="N230" i="13"/>
  <c r="M230" i="13"/>
  <c r="AS229" i="13"/>
  <c r="AQ229" i="13"/>
  <c r="AP229" i="13"/>
  <c r="AO229" i="13"/>
  <c r="AR229" i="13" s="1"/>
  <c r="AN229" i="13"/>
  <c r="AM229" i="13"/>
  <c r="AH229" i="13"/>
  <c r="AG229" i="13"/>
  <c r="AK229" i="13" s="1"/>
  <c r="AF229" i="13"/>
  <c r="AT229" i="13" s="1"/>
  <c r="AC229" i="13"/>
  <c r="AA229" i="13"/>
  <c r="Z229" i="13"/>
  <c r="W229" i="13"/>
  <c r="V229" i="13"/>
  <c r="S229" i="13"/>
  <c r="P229" i="13"/>
  <c r="O229" i="13"/>
  <c r="N229" i="13"/>
  <c r="M229" i="13"/>
  <c r="AT228" i="13"/>
  <c r="AS228" i="13"/>
  <c r="AQ228" i="13"/>
  <c r="AP228" i="13"/>
  <c r="AO228" i="13"/>
  <c r="AR228" i="13" s="1"/>
  <c r="AN228" i="13"/>
  <c r="AM228" i="13"/>
  <c r="AJ228" i="13"/>
  <c r="AI228" i="13"/>
  <c r="AL228" i="13" s="1"/>
  <c r="AH228" i="13"/>
  <c r="AG228" i="13"/>
  <c r="AK228" i="13" s="1"/>
  <c r="AF228" i="13"/>
  <c r="AC228" i="13"/>
  <c r="AA228" i="13"/>
  <c r="Z228" i="13"/>
  <c r="V228" i="13"/>
  <c r="S228" i="13"/>
  <c r="W228" i="13" s="1"/>
  <c r="P228" i="13"/>
  <c r="O228" i="13"/>
  <c r="N228" i="13"/>
  <c r="M228" i="13"/>
  <c r="AT227" i="13"/>
  <c r="AS227" i="13"/>
  <c r="AR227" i="13"/>
  <c r="AQ227" i="13"/>
  <c r="AP227" i="13"/>
  <c r="AO227" i="13"/>
  <c r="AN227" i="13"/>
  <c r="AM227" i="13"/>
  <c r="AK227" i="13"/>
  <c r="AJ227" i="13"/>
  <c r="AI227" i="13"/>
  <c r="AL227" i="13" s="1"/>
  <c r="AH227" i="13"/>
  <c r="AG227" i="13"/>
  <c r="AF227" i="13"/>
  <c r="AC227" i="13"/>
  <c r="AA227" i="13"/>
  <c r="Z227" i="13"/>
  <c r="V227" i="13"/>
  <c r="U227" i="13"/>
  <c r="T227" i="13"/>
  <c r="S227" i="13"/>
  <c r="W227" i="13" s="1"/>
  <c r="P227" i="13"/>
  <c r="O227" i="13"/>
  <c r="N227" i="13"/>
  <c r="M227" i="13"/>
  <c r="AT226" i="13"/>
  <c r="AS226" i="13"/>
  <c r="AQ226" i="13"/>
  <c r="AP226" i="13"/>
  <c r="AO226" i="13"/>
  <c r="AN226" i="13"/>
  <c r="AM226" i="13"/>
  <c r="AI226" i="13"/>
  <c r="AL226" i="13" s="1"/>
  <c r="AH226" i="13"/>
  <c r="AG226" i="13"/>
  <c r="AK226" i="13" s="1"/>
  <c r="AF226" i="13"/>
  <c r="AJ226" i="13" s="1"/>
  <c r="AC226" i="13"/>
  <c r="AD226" i="13" s="1"/>
  <c r="AA226" i="13"/>
  <c r="Z226" i="13"/>
  <c r="V226" i="13"/>
  <c r="S226" i="13"/>
  <c r="W226" i="13" s="1"/>
  <c r="P226" i="13"/>
  <c r="O226" i="13"/>
  <c r="N226" i="13"/>
  <c r="M226" i="13"/>
  <c r="AS225" i="13"/>
  <c r="AQ225" i="13"/>
  <c r="AP225" i="13"/>
  <c r="AO225" i="13"/>
  <c r="AR225" i="13" s="1"/>
  <c r="AN225" i="13"/>
  <c r="AM225" i="13"/>
  <c r="AH225" i="13"/>
  <c r="AG225" i="13"/>
  <c r="AK225" i="13" s="1"/>
  <c r="AF225" i="13"/>
  <c r="AT225" i="13" s="1"/>
  <c r="AC225" i="13"/>
  <c r="AA225" i="13"/>
  <c r="Z225" i="13"/>
  <c r="W225" i="13"/>
  <c r="V225" i="13"/>
  <c r="U225" i="13"/>
  <c r="T225" i="13"/>
  <c r="S225" i="13"/>
  <c r="P225" i="13"/>
  <c r="O225" i="13"/>
  <c r="N225" i="13"/>
  <c r="M225" i="13"/>
  <c r="AT224" i="13"/>
  <c r="AS224" i="13"/>
  <c r="AQ224" i="13"/>
  <c r="AP224" i="13"/>
  <c r="AO224" i="13"/>
  <c r="AR224" i="13" s="1"/>
  <c r="AN224" i="13"/>
  <c r="AM224" i="13"/>
  <c r="AJ224" i="13"/>
  <c r="AI224" i="13"/>
  <c r="AL224" i="13" s="1"/>
  <c r="AH224" i="13"/>
  <c r="AG224" i="13"/>
  <c r="AK224" i="13" s="1"/>
  <c r="AF224" i="13"/>
  <c r="AC224" i="13"/>
  <c r="AA224" i="13"/>
  <c r="Z224" i="13"/>
  <c r="W224" i="13"/>
  <c r="V224" i="13"/>
  <c r="S224" i="13"/>
  <c r="U224" i="13" s="1"/>
  <c r="P224" i="13"/>
  <c r="O224" i="13"/>
  <c r="N224" i="13"/>
  <c r="M224" i="13"/>
  <c r="AS223" i="13"/>
  <c r="AQ223" i="13"/>
  <c r="AR223" i="13" s="1"/>
  <c r="AP223" i="13"/>
  <c r="AO223" i="13"/>
  <c r="AN223" i="13"/>
  <c r="AM223" i="13"/>
  <c r="AJ223" i="13"/>
  <c r="AI223" i="13"/>
  <c r="AL223" i="13" s="1"/>
  <c r="AH223" i="13"/>
  <c r="AG223" i="13"/>
  <c r="AK223" i="13" s="1"/>
  <c r="AF223" i="13"/>
  <c r="AT223" i="13" s="1"/>
  <c r="AC223" i="13"/>
  <c r="AA223" i="13"/>
  <c r="Z223" i="13"/>
  <c r="V223" i="13"/>
  <c r="S223" i="13"/>
  <c r="P223" i="13"/>
  <c r="O223" i="13"/>
  <c r="N223" i="13"/>
  <c r="M223" i="13"/>
  <c r="AS222" i="13"/>
  <c r="AQ222" i="13"/>
  <c r="AP222" i="13"/>
  <c r="AO222" i="13"/>
  <c r="AN222" i="13"/>
  <c r="AM222" i="13"/>
  <c r="AI222" i="13"/>
  <c r="AL222" i="13" s="1"/>
  <c r="AH222" i="13"/>
  <c r="AG222" i="13"/>
  <c r="AK222" i="13" s="1"/>
  <c r="AF222" i="13"/>
  <c r="AJ222" i="13" s="1"/>
  <c r="AC222" i="13"/>
  <c r="AA222" i="13"/>
  <c r="Z222" i="13"/>
  <c r="W222" i="13"/>
  <c r="V222" i="13"/>
  <c r="U222" i="13"/>
  <c r="S222" i="13"/>
  <c r="P222" i="13"/>
  <c r="O222" i="13"/>
  <c r="N222" i="13"/>
  <c r="M222" i="13"/>
  <c r="AS221" i="13"/>
  <c r="AQ221" i="13"/>
  <c r="AP221" i="13"/>
  <c r="AO221" i="13"/>
  <c r="AR221" i="13" s="1"/>
  <c r="AN221" i="13"/>
  <c r="AM221" i="13"/>
  <c r="AH221" i="13"/>
  <c r="AG221" i="13"/>
  <c r="AK221" i="13" s="1"/>
  <c r="AF221" i="13"/>
  <c r="AC221" i="13"/>
  <c r="AD221" i="13" s="1"/>
  <c r="AA221" i="13"/>
  <c r="Z221" i="13"/>
  <c r="W221" i="13"/>
  <c r="V221" i="13"/>
  <c r="U221" i="13"/>
  <c r="T221" i="13"/>
  <c r="S221" i="13"/>
  <c r="P221" i="13"/>
  <c r="O221" i="13"/>
  <c r="N221" i="13"/>
  <c r="M221" i="13"/>
  <c r="AT220" i="13"/>
  <c r="AS220" i="13"/>
  <c r="AQ220" i="13"/>
  <c r="AP220" i="13"/>
  <c r="AO220" i="13"/>
  <c r="AR220" i="13" s="1"/>
  <c r="AN220" i="13"/>
  <c r="AM220" i="13"/>
  <c r="AJ220" i="13"/>
  <c r="AH220" i="13"/>
  <c r="AG220" i="13"/>
  <c r="AF220" i="13"/>
  <c r="AC220" i="13"/>
  <c r="AA220" i="13"/>
  <c r="Z220" i="13"/>
  <c r="W220" i="13"/>
  <c r="V220" i="13"/>
  <c r="U220" i="13"/>
  <c r="T220" i="13"/>
  <c r="S220" i="13"/>
  <c r="P220" i="13"/>
  <c r="O220" i="13"/>
  <c r="N220" i="13"/>
  <c r="M220" i="13"/>
  <c r="AS219" i="13"/>
  <c r="AQ219" i="13"/>
  <c r="AP219" i="13"/>
  <c r="AO219" i="13"/>
  <c r="AR219" i="13" s="1"/>
  <c r="AN219" i="13"/>
  <c r="AM219" i="13"/>
  <c r="AH219" i="13"/>
  <c r="AG219" i="13"/>
  <c r="AK219" i="13" s="1"/>
  <c r="AF219" i="13"/>
  <c r="AJ219" i="13" s="1"/>
  <c r="AC219" i="13"/>
  <c r="AA219" i="13"/>
  <c r="Z219" i="13"/>
  <c r="V219" i="13"/>
  <c r="S219" i="13"/>
  <c r="U219" i="13" s="1"/>
  <c r="P219" i="13"/>
  <c r="O219" i="13"/>
  <c r="N219" i="13"/>
  <c r="M219" i="13"/>
  <c r="AS218" i="13"/>
  <c r="AQ218" i="13"/>
  <c r="AP218" i="13"/>
  <c r="AO218" i="13"/>
  <c r="AN218" i="13"/>
  <c r="AM218" i="13"/>
  <c r="AH218" i="13"/>
  <c r="AG218" i="13"/>
  <c r="AK218" i="13" s="1"/>
  <c r="AF218" i="13"/>
  <c r="AJ218" i="13" s="1"/>
  <c r="AC218" i="13"/>
  <c r="AA218" i="13"/>
  <c r="Z218" i="13"/>
  <c r="W218" i="13"/>
  <c r="V218" i="13"/>
  <c r="U218" i="13"/>
  <c r="S218" i="13"/>
  <c r="P218" i="13"/>
  <c r="O218" i="13"/>
  <c r="N218" i="13"/>
  <c r="M218" i="13"/>
  <c r="AT217" i="13"/>
  <c r="AS217" i="13"/>
  <c r="AQ217" i="13"/>
  <c r="AP217" i="13"/>
  <c r="AO217" i="13"/>
  <c r="AR217" i="13" s="1"/>
  <c r="AN217" i="13"/>
  <c r="AM217" i="13"/>
  <c r="AH217" i="13"/>
  <c r="AG217" i="13"/>
  <c r="AK217" i="13" s="1"/>
  <c r="AF217" i="13"/>
  <c r="AC217" i="13"/>
  <c r="AA217" i="13"/>
  <c r="Z217" i="13"/>
  <c r="W217" i="13"/>
  <c r="V217" i="13"/>
  <c r="U217" i="13"/>
  <c r="T217" i="13"/>
  <c r="S217" i="13"/>
  <c r="P217" i="13"/>
  <c r="O217" i="13"/>
  <c r="N217" i="13"/>
  <c r="M217" i="13"/>
  <c r="AT216" i="13"/>
  <c r="AS216" i="13"/>
  <c r="AQ216" i="13"/>
  <c r="AP216" i="13"/>
  <c r="AO216" i="13"/>
  <c r="AR216" i="13" s="1"/>
  <c r="AN216" i="13"/>
  <c r="AM216" i="13"/>
  <c r="AJ216" i="13"/>
  <c r="AH216" i="13"/>
  <c r="AG216" i="13"/>
  <c r="AF216" i="13"/>
  <c r="AC216" i="13"/>
  <c r="AA216" i="13"/>
  <c r="Z216" i="13"/>
  <c r="W216" i="13"/>
  <c r="V216" i="13"/>
  <c r="U216" i="13"/>
  <c r="T216" i="13"/>
  <c r="S216" i="13"/>
  <c r="P216" i="13"/>
  <c r="O216" i="13"/>
  <c r="N216" i="13"/>
  <c r="M216" i="13"/>
  <c r="AS215" i="13"/>
  <c r="AQ215" i="13"/>
  <c r="AP215" i="13"/>
  <c r="AO215" i="13"/>
  <c r="AR215" i="13" s="1"/>
  <c r="AN215" i="13"/>
  <c r="AM215" i="13"/>
  <c r="AH215" i="13"/>
  <c r="AG215" i="13"/>
  <c r="AK215" i="13" s="1"/>
  <c r="AF215" i="13"/>
  <c r="AJ215" i="13" s="1"/>
  <c r="AC215" i="13"/>
  <c r="AA215" i="13"/>
  <c r="Z215" i="13"/>
  <c r="V215" i="13"/>
  <c r="S215" i="13"/>
  <c r="U215" i="13" s="1"/>
  <c r="P215" i="13"/>
  <c r="O215" i="13"/>
  <c r="N215" i="13"/>
  <c r="M215" i="13"/>
  <c r="AS214" i="13"/>
  <c r="AQ214" i="13"/>
  <c r="AP214" i="13"/>
  <c r="AO214" i="13"/>
  <c r="AN214" i="13"/>
  <c r="AM214" i="13"/>
  <c r="AH214" i="13"/>
  <c r="AG214" i="13"/>
  <c r="AK214" i="13" s="1"/>
  <c r="AF214" i="13"/>
  <c r="AJ214" i="13" s="1"/>
  <c r="AC214" i="13"/>
  <c r="AA214" i="13"/>
  <c r="Z214" i="13"/>
  <c r="W214" i="13"/>
  <c r="V214" i="13"/>
  <c r="U214" i="13"/>
  <c r="S214" i="13"/>
  <c r="P214" i="13"/>
  <c r="O214" i="13"/>
  <c r="N214" i="13"/>
  <c r="M214" i="13"/>
  <c r="AS213" i="13"/>
  <c r="AQ213" i="13"/>
  <c r="AP213" i="13"/>
  <c r="AO213" i="13"/>
  <c r="AR213" i="13" s="1"/>
  <c r="AN213" i="13"/>
  <c r="AM213" i="13"/>
  <c r="AK213" i="13"/>
  <c r="AH213" i="13"/>
  <c r="AG213" i="13"/>
  <c r="AF213" i="13"/>
  <c r="AT213" i="13" s="1"/>
  <c r="AC213" i="13"/>
  <c r="AA213" i="13"/>
  <c r="Z213" i="13"/>
  <c r="W213" i="13"/>
  <c r="V213" i="13"/>
  <c r="U213" i="13"/>
  <c r="T213" i="13"/>
  <c r="S213" i="13"/>
  <c r="P213" i="13"/>
  <c r="O213" i="13"/>
  <c r="N213" i="13"/>
  <c r="M213" i="13"/>
  <c r="AT212" i="13"/>
  <c r="AS212" i="13"/>
  <c r="AQ212" i="13"/>
  <c r="AP212" i="13"/>
  <c r="AO212" i="13"/>
  <c r="AR212" i="13" s="1"/>
  <c r="AN212" i="13"/>
  <c r="AM212" i="13"/>
  <c r="AJ212" i="13"/>
  <c r="AH212" i="13"/>
  <c r="AG212" i="13"/>
  <c r="AI212" i="13" s="1"/>
  <c r="AF212" i="13"/>
  <c r="AC212" i="13"/>
  <c r="AA212" i="13"/>
  <c r="Z212" i="13"/>
  <c r="W212" i="13"/>
  <c r="V212" i="13"/>
  <c r="U212" i="13"/>
  <c r="T212" i="13"/>
  <c r="S212" i="13"/>
  <c r="P212" i="13"/>
  <c r="O212" i="13"/>
  <c r="N212" i="13"/>
  <c r="M212" i="13"/>
  <c r="AS211" i="13"/>
  <c r="AQ211" i="13"/>
  <c r="AP211" i="13"/>
  <c r="AO211" i="13"/>
  <c r="AR211" i="13" s="1"/>
  <c r="AN211" i="13"/>
  <c r="AM211" i="13"/>
  <c r="AH211" i="13"/>
  <c r="AG211" i="13"/>
  <c r="AK211" i="13" s="1"/>
  <c r="AF211" i="13"/>
  <c r="AJ211" i="13" s="1"/>
  <c r="AC211" i="13"/>
  <c r="AA211" i="13"/>
  <c r="Z211" i="13"/>
  <c r="W211" i="13"/>
  <c r="V211" i="13"/>
  <c r="S211" i="13"/>
  <c r="P211" i="13"/>
  <c r="O211" i="13"/>
  <c r="N211" i="13"/>
  <c r="M211" i="13"/>
  <c r="AS210" i="13"/>
  <c r="AQ210" i="13"/>
  <c r="AP210" i="13"/>
  <c r="AO210" i="13"/>
  <c r="AR210" i="13" s="1"/>
  <c r="AN210" i="13"/>
  <c r="AM210" i="13"/>
  <c r="AH210" i="13"/>
  <c r="AG210" i="13"/>
  <c r="AK210" i="13" s="1"/>
  <c r="AF210" i="13"/>
  <c r="AC210" i="13"/>
  <c r="AA210" i="13"/>
  <c r="Z210" i="13"/>
  <c r="W210" i="13"/>
  <c r="V210" i="13"/>
  <c r="U210" i="13"/>
  <c r="S210" i="13"/>
  <c r="P210" i="13"/>
  <c r="O210" i="13"/>
  <c r="N210" i="13"/>
  <c r="M210" i="13"/>
  <c r="AS209" i="13"/>
  <c r="AQ209" i="13"/>
  <c r="AP209" i="13"/>
  <c r="AO209" i="13"/>
  <c r="AR209" i="13" s="1"/>
  <c r="AN209" i="13"/>
  <c r="AM209" i="13"/>
  <c r="AK209" i="13"/>
  <c r="AJ209" i="13"/>
  <c r="AH209" i="13"/>
  <c r="AG209" i="13"/>
  <c r="AF209" i="13"/>
  <c r="AT209" i="13" s="1"/>
  <c r="AC209" i="13"/>
  <c r="AA209" i="13"/>
  <c r="Z209" i="13"/>
  <c r="V209" i="13"/>
  <c r="U209" i="13"/>
  <c r="S209" i="13"/>
  <c r="P209" i="13"/>
  <c r="O209" i="13"/>
  <c r="N209" i="13"/>
  <c r="M209" i="13"/>
  <c r="AT208" i="13"/>
  <c r="AS208" i="13"/>
  <c r="AQ208" i="13"/>
  <c r="AP208" i="13"/>
  <c r="AO208" i="13"/>
  <c r="AR208" i="13" s="1"/>
  <c r="AN208" i="13"/>
  <c r="AM208" i="13"/>
  <c r="AK208" i="13"/>
  <c r="AJ208" i="13"/>
  <c r="AH208" i="13"/>
  <c r="AG208" i="13"/>
  <c r="AI208" i="13" s="1"/>
  <c r="AL208" i="13" s="1"/>
  <c r="AF208" i="13"/>
  <c r="AC208" i="13"/>
  <c r="AA208" i="13"/>
  <c r="Z208" i="13"/>
  <c r="W208" i="13"/>
  <c r="V208" i="13"/>
  <c r="U208" i="13"/>
  <c r="T208" i="13"/>
  <c r="S208" i="13"/>
  <c r="P208" i="13"/>
  <c r="O208" i="13"/>
  <c r="N208" i="13"/>
  <c r="M208" i="13"/>
  <c r="AS207" i="13"/>
  <c r="AQ207" i="13"/>
  <c r="AP207" i="13"/>
  <c r="AO207" i="13"/>
  <c r="AR207" i="13" s="1"/>
  <c r="AN207" i="13"/>
  <c r="AM207" i="13"/>
  <c r="AH207" i="13"/>
  <c r="AG207" i="13"/>
  <c r="AK207" i="13" s="1"/>
  <c r="AF207" i="13"/>
  <c r="AT207" i="13" s="1"/>
  <c r="AC207" i="13"/>
  <c r="AA207" i="13"/>
  <c r="Z207" i="13"/>
  <c r="W207" i="13"/>
  <c r="V207" i="13"/>
  <c r="U207" i="13"/>
  <c r="T207" i="13"/>
  <c r="S207" i="13"/>
  <c r="P207" i="13"/>
  <c r="O207" i="13"/>
  <c r="N207" i="13"/>
  <c r="M207" i="13"/>
  <c r="AS206" i="13"/>
  <c r="AQ206" i="13"/>
  <c r="AP206" i="13"/>
  <c r="AO206" i="13"/>
  <c r="AR206" i="13" s="1"/>
  <c r="AN206" i="13"/>
  <c r="AM206" i="13"/>
  <c r="AH206" i="13"/>
  <c r="AG206" i="13"/>
  <c r="AK206" i="13" s="1"/>
  <c r="AF206" i="13"/>
  <c r="AJ206" i="13" s="1"/>
  <c r="AC206" i="13"/>
  <c r="AA206" i="13"/>
  <c r="Z206" i="13"/>
  <c r="W206" i="13"/>
  <c r="V206" i="13"/>
  <c r="U206" i="13"/>
  <c r="T206" i="13"/>
  <c r="S206" i="13"/>
  <c r="P206" i="13"/>
  <c r="O206" i="13"/>
  <c r="N206" i="13"/>
  <c r="M206" i="13"/>
  <c r="AS205" i="13"/>
  <c r="AQ205" i="13"/>
  <c r="AP205" i="13"/>
  <c r="AO205" i="13"/>
  <c r="AR205" i="13" s="1"/>
  <c r="AN205" i="13"/>
  <c r="AM205" i="13"/>
  <c r="AH205" i="13"/>
  <c r="AG205" i="13"/>
  <c r="AK205" i="13" s="1"/>
  <c r="AF205" i="13"/>
  <c r="AJ205" i="13" s="1"/>
  <c r="AC205" i="13"/>
  <c r="AA205" i="13"/>
  <c r="Z205" i="13"/>
  <c r="W205" i="13"/>
  <c r="V205" i="13"/>
  <c r="S205" i="13"/>
  <c r="P205" i="13"/>
  <c r="O205" i="13"/>
  <c r="N205" i="13"/>
  <c r="M205" i="13"/>
  <c r="AS204" i="13"/>
  <c r="AQ204" i="13"/>
  <c r="AP204" i="13"/>
  <c r="AO204" i="13"/>
  <c r="AR204" i="13" s="1"/>
  <c r="AN204" i="13"/>
  <c r="AM204" i="13"/>
  <c r="AJ204" i="13"/>
  <c r="AI204" i="13"/>
  <c r="AL204" i="13" s="1"/>
  <c r="AH204" i="13"/>
  <c r="AG204" i="13"/>
  <c r="AK204" i="13" s="1"/>
  <c r="AF204" i="13"/>
  <c r="AT204" i="13" s="1"/>
  <c r="AC204" i="13"/>
  <c r="AD204" i="13" s="1"/>
  <c r="AA204" i="13"/>
  <c r="Z204" i="13"/>
  <c r="V204" i="13"/>
  <c r="S204" i="13"/>
  <c r="P204" i="13"/>
  <c r="O204" i="13"/>
  <c r="N204" i="13"/>
  <c r="M204" i="13"/>
  <c r="AT203" i="13"/>
  <c r="AS203" i="13"/>
  <c r="AQ203" i="13"/>
  <c r="AR203" i="13" s="1"/>
  <c r="AP203" i="13"/>
  <c r="AO203" i="13"/>
  <c r="AN203" i="13"/>
  <c r="AM203" i="13"/>
  <c r="AK203" i="13"/>
  <c r="AJ203" i="13"/>
  <c r="AI203" i="13"/>
  <c r="AL203" i="13" s="1"/>
  <c r="AH203" i="13"/>
  <c r="AG203" i="13"/>
  <c r="AF203" i="13"/>
  <c r="AC203" i="13"/>
  <c r="AA203" i="13"/>
  <c r="Z203" i="13"/>
  <c r="V203" i="13"/>
  <c r="U203" i="13"/>
  <c r="S203" i="13"/>
  <c r="P203" i="13"/>
  <c r="O203" i="13"/>
  <c r="N203" i="13"/>
  <c r="M203" i="13"/>
  <c r="AS202" i="13"/>
  <c r="AQ202" i="13"/>
  <c r="AP202" i="13"/>
  <c r="AO202" i="13"/>
  <c r="AR202" i="13" s="1"/>
  <c r="AN202" i="13"/>
  <c r="AM202" i="13"/>
  <c r="AK202" i="13"/>
  <c r="AH202" i="13"/>
  <c r="AG202" i="13"/>
  <c r="AF202" i="13"/>
  <c r="AT202" i="13" s="1"/>
  <c r="AC202" i="13"/>
  <c r="AA202" i="13"/>
  <c r="Z202" i="13"/>
  <c r="W202" i="13"/>
  <c r="V202" i="13"/>
  <c r="U202" i="13"/>
  <c r="T202" i="13"/>
  <c r="S202" i="13"/>
  <c r="P202" i="13"/>
  <c r="O202" i="13"/>
  <c r="N202" i="13"/>
  <c r="M202" i="13"/>
  <c r="AS201" i="13"/>
  <c r="AQ201" i="13"/>
  <c r="AP201" i="13"/>
  <c r="AO201" i="13"/>
  <c r="AR201" i="13" s="1"/>
  <c r="AN201" i="13"/>
  <c r="AM201" i="13"/>
  <c r="AH201" i="13"/>
  <c r="AG201" i="13"/>
  <c r="AK201" i="13" s="1"/>
  <c r="AF201" i="13"/>
  <c r="AJ201" i="13" s="1"/>
  <c r="AC201" i="13"/>
  <c r="AA201" i="13"/>
  <c r="Z201" i="13"/>
  <c r="W201" i="13"/>
  <c r="V201" i="13"/>
  <c r="S201" i="13"/>
  <c r="P201" i="13"/>
  <c r="O201" i="13"/>
  <c r="N201" i="13"/>
  <c r="M201" i="13"/>
  <c r="AS200" i="13"/>
  <c r="AQ200" i="13"/>
  <c r="AP200" i="13"/>
  <c r="AO200" i="13"/>
  <c r="AN200" i="13"/>
  <c r="AM200" i="13"/>
  <c r="AJ200" i="13"/>
  <c r="AH200" i="13"/>
  <c r="AG200" i="13"/>
  <c r="AK200" i="13" s="1"/>
  <c r="AF200" i="13"/>
  <c r="AT200" i="13" s="1"/>
  <c r="AC200" i="13"/>
  <c r="AA200" i="13"/>
  <c r="Z200" i="13"/>
  <c r="V200" i="13"/>
  <c r="S200" i="13"/>
  <c r="P200" i="13"/>
  <c r="O200" i="13"/>
  <c r="N200" i="13"/>
  <c r="M200" i="13"/>
  <c r="AT199" i="13"/>
  <c r="AS199" i="13"/>
  <c r="AQ199" i="13"/>
  <c r="AR199" i="13" s="1"/>
  <c r="AP199" i="13"/>
  <c r="AO199" i="13"/>
  <c r="AN199" i="13"/>
  <c r="AM199" i="13"/>
  <c r="AL199" i="13"/>
  <c r="AK199" i="13"/>
  <c r="AJ199" i="13"/>
  <c r="AI199" i="13"/>
  <c r="AH199" i="13"/>
  <c r="AG199" i="13"/>
  <c r="AF199" i="13"/>
  <c r="AC199" i="13"/>
  <c r="AA199" i="13"/>
  <c r="Z199" i="13"/>
  <c r="V199" i="13"/>
  <c r="U199" i="13"/>
  <c r="S199" i="13"/>
  <c r="P199" i="13"/>
  <c r="O199" i="13"/>
  <c r="N199" i="13"/>
  <c r="M199" i="13"/>
  <c r="AS198" i="13"/>
  <c r="AQ198" i="13"/>
  <c r="AP198" i="13"/>
  <c r="AO198" i="13"/>
  <c r="AR198" i="13" s="1"/>
  <c r="AN198" i="13"/>
  <c r="AM198" i="13"/>
  <c r="AK198" i="13"/>
  <c r="AH198" i="13"/>
  <c r="AG198" i="13"/>
  <c r="AF198" i="13"/>
  <c r="AC198" i="13"/>
  <c r="AA198" i="13"/>
  <c r="Z198" i="13"/>
  <c r="W198" i="13"/>
  <c r="V198" i="13"/>
  <c r="U198" i="13"/>
  <c r="S198" i="13"/>
  <c r="P198" i="13"/>
  <c r="O198" i="13"/>
  <c r="N198" i="13"/>
  <c r="M198" i="13"/>
  <c r="AS197" i="13"/>
  <c r="AQ197" i="13"/>
  <c r="AP197" i="13"/>
  <c r="AO197" i="13"/>
  <c r="AR197" i="13" s="1"/>
  <c r="AN197" i="13"/>
  <c r="AM197" i="13"/>
  <c r="AH197" i="13"/>
  <c r="AG197" i="13"/>
  <c r="AK197" i="13" s="1"/>
  <c r="AF197" i="13"/>
  <c r="AJ197" i="13" s="1"/>
  <c r="AC197" i="13"/>
  <c r="AA197" i="13"/>
  <c r="Z197" i="13"/>
  <c r="W197" i="13"/>
  <c r="V197" i="13"/>
  <c r="S197" i="13"/>
  <c r="P197" i="13"/>
  <c r="O197" i="13"/>
  <c r="N197" i="13"/>
  <c r="M197" i="13"/>
  <c r="AS196" i="13"/>
  <c r="AQ196" i="13"/>
  <c r="AP196" i="13"/>
  <c r="AO196" i="13"/>
  <c r="AR196" i="13" s="1"/>
  <c r="AN196" i="13"/>
  <c r="AM196" i="13"/>
  <c r="AJ196" i="13"/>
  <c r="AI196" i="13"/>
  <c r="AL196" i="13" s="1"/>
  <c r="AH196" i="13"/>
  <c r="AG196" i="13"/>
  <c r="AK196" i="13" s="1"/>
  <c r="AF196" i="13"/>
  <c r="AT196" i="13" s="1"/>
  <c r="AC196" i="13"/>
  <c r="AD196" i="13" s="1"/>
  <c r="AA196" i="13"/>
  <c r="Z196" i="13"/>
  <c r="V196" i="13"/>
  <c r="T196" i="13"/>
  <c r="S196" i="13"/>
  <c r="P196" i="13"/>
  <c r="O196" i="13"/>
  <c r="N196" i="13"/>
  <c r="M196" i="13"/>
  <c r="AT195" i="13"/>
  <c r="AS195" i="13"/>
  <c r="AQ195" i="13"/>
  <c r="AR195" i="13" s="1"/>
  <c r="AP195" i="13"/>
  <c r="AO195" i="13"/>
  <c r="AN195" i="13"/>
  <c r="AM195" i="13"/>
  <c r="AL195" i="13"/>
  <c r="AK195" i="13"/>
  <c r="AJ195" i="13"/>
  <c r="AI195" i="13"/>
  <c r="AH195" i="13"/>
  <c r="AG195" i="13"/>
  <c r="AF195" i="13"/>
  <c r="AC195" i="13"/>
  <c r="AA195" i="13"/>
  <c r="Z195" i="13"/>
  <c r="V195" i="13"/>
  <c r="U195" i="13"/>
  <c r="T195" i="13"/>
  <c r="S195" i="13"/>
  <c r="P195" i="13"/>
  <c r="O195" i="13"/>
  <c r="N195" i="13"/>
  <c r="M195" i="13"/>
  <c r="AT194" i="13"/>
  <c r="AS194" i="13"/>
  <c r="AQ194" i="13"/>
  <c r="AP194" i="13"/>
  <c r="AO194" i="13"/>
  <c r="AR194" i="13" s="1"/>
  <c r="AN194" i="13"/>
  <c r="AM194" i="13"/>
  <c r="AK194" i="13"/>
  <c r="AH194" i="13"/>
  <c r="AG194" i="13"/>
  <c r="AF194" i="13"/>
  <c r="AC194" i="13"/>
  <c r="AA194" i="13"/>
  <c r="Z194" i="13"/>
  <c r="W194" i="13"/>
  <c r="V194" i="13"/>
  <c r="U194" i="13"/>
  <c r="S194" i="13"/>
  <c r="P194" i="13"/>
  <c r="O194" i="13"/>
  <c r="N194" i="13"/>
  <c r="M194" i="13"/>
  <c r="AS193" i="13"/>
  <c r="AQ193" i="13"/>
  <c r="AP193" i="13"/>
  <c r="AO193" i="13"/>
  <c r="AN193" i="13"/>
  <c r="AM193" i="13"/>
  <c r="AH193" i="13"/>
  <c r="AG193" i="13"/>
  <c r="AK193" i="13" s="1"/>
  <c r="AF193" i="13"/>
  <c r="AC193" i="13"/>
  <c r="AD193" i="13" s="1"/>
  <c r="AA193" i="13"/>
  <c r="Z193" i="13"/>
  <c r="W193" i="13"/>
  <c r="V193" i="13"/>
  <c r="S193" i="13"/>
  <c r="P193" i="13"/>
  <c r="O193" i="13"/>
  <c r="N193" i="13"/>
  <c r="M193" i="13"/>
  <c r="AS192" i="13"/>
  <c r="AQ192" i="13"/>
  <c r="AP192" i="13"/>
  <c r="AO192" i="13"/>
  <c r="AR192" i="13" s="1"/>
  <c r="AN192" i="13"/>
  <c r="AM192" i="13"/>
  <c r="AJ192" i="13"/>
  <c r="AH192" i="13"/>
  <c r="AG192" i="13"/>
  <c r="AK192" i="13" s="1"/>
  <c r="AF192" i="13"/>
  <c r="AT192" i="13" s="1"/>
  <c r="AC192" i="13"/>
  <c r="AA192" i="13"/>
  <c r="Z192" i="13"/>
  <c r="V192" i="13"/>
  <c r="T192" i="13"/>
  <c r="S192" i="13"/>
  <c r="P192" i="13"/>
  <c r="O192" i="13"/>
  <c r="N192" i="13"/>
  <c r="M192" i="13"/>
  <c r="AT191" i="13"/>
  <c r="AS191" i="13"/>
  <c r="AR191" i="13"/>
  <c r="AQ191" i="13"/>
  <c r="AP191" i="13"/>
  <c r="AO191" i="13"/>
  <c r="AN191" i="13"/>
  <c r="AM191" i="13"/>
  <c r="AL191" i="13"/>
  <c r="AK191" i="13"/>
  <c r="AJ191" i="13"/>
  <c r="AI191" i="13"/>
  <c r="AH191" i="13"/>
  <c r="AG191" i="13"/>
  <c r="AF191" i="13"/>
  <c r="AC191" i="13"/>
  <c r="AA191" i="13"/>
  <c r="Z191" i="13"/>
  <c r="V191" i="13"/>
  <c r="U191" i="13"/>
  <c r="T191" i="13"/>
  <c r="S191" i="13"/>
  <c r="P191" i="13"/>
  <c r="O191" i="13"/>
  <c r="N191" i="13"/>
  <c r="M191" i="13"/>
  <c r="AT190" i="13"/>
  <c r="AS190" i="13"/>
  <c r="AQ190" i="13"/>
  <c r="AP190" i="13"/>
  <c r="AO190" i="13"/>
  <c r="AR190" i="13" s="1"/>
  <c r="AN190" i="13"/>
  <c r="AM190" i="13"/>
  <c r="AK190" i="13"/>
  <c r="AH190" i="13"/>
  <c r="AG190" i="13"/>
  <c r="AF190" i="13"/>
  <c r="AC190" i="13"/>
  <c r="AA190" i="13"/>
  <c r="Z190" i="13"/>
  <c r="W190" i="13"/>
  <c r="V190" i="13"/>
  <c r="U190" i="13"/>
  <c r="S190" i="13"/>
  <c r="P190" i="13"/>
  <c r="O190" i="13"/>
  <c r="N190" i="13"/>
  <c r="M190" i="13"/>
  <c r="AS189" i="13"/>
  <c r="AQ189" i="13"/>
  <c r="AP189" i="13"/>
  <c r="AO189" i="13"/>
  <c r="AN189" i="13"/>
  <c r="AM189" i="13"/>
  <c r="AH189" i="13"/>
  <c r="AG189" i="13"/>
  <c r="AK189" i="13" s="1"/>
  <c r="AF189" i="13"/>
  <c r="AC189" i="13"/>
  <c r="AA189" i="13"/>
  <c r="Z189" i="13"/>
  <c r="W189" i="13"/>
  <c r="V189" i="13"/>
  <c r="S189" i="13"/>
  <c r="P189" i="13"/>
  <c r="O189" i="13"/>
  <c r="N189" i="13"/>
  <c r="M189" i="13"/>
  <c r="AS188" i="13"/>
  <c r="AQ188" i="13"/>
  <c r="AP188" i="13"/>
  <c r="AO188" i="13"/>
  <c r="AR188" i="13" s="1"/>
  <c r="AN188" i="13"/>
  <c r="AM188" i="13"/>
  <c r="AJ188" i="13"/>
  <c r="AH188" i="13"/>
  <c r="AG188" i="13"/>
  <c r="AK188" i="13" s="1"/>
  <c r="AF188" i="13"/>
  <c r="AT188" i="13" s="1"/>
  <c r="AC188" i="13"/>
  <c r="AA188" i="13"/>
  <c r="Z188" i="13"/>
  <c r="V188" i="13"/>
  <c r="T188" i="13"/>
  <c r="S188" i="13"/>
  <c r="P188" i="13"/>
  <c r="O188" i="13"/>
  <c r="N188" i="13"/>
  <c r="M188" i="13"/>
  <c r="AT187" i="13"/>
  <c r="AS187" i="13"/>
  <c r="AR187" i="13"/>
  <c r="AQ187" i="13"/>
  <c r="AP187" i="13"/>
  <c r="AO187" i="13"/>
  <c r="AN187" i="13"/>
  <c r="AM187" i="13"/>
  <c r="AL187" i="13"/>
  <c r="AK187" i="13"/>
  <c r="AJ187" i="13"/>
  <c r="AI187" i="13"/>
  <c r="AH187" i="13"/>
  <c r="AG187" i="13"/>
  <c r="AF187" i="13"/>
  <c r="AC187" i="13"/>
  <c r="AD187" i="13" s="1"/>
  <c r="AA187" i="13"/>
  <c r="Z187" i="13"/>
  <c r="V187" i="13"/>
  <c r="U187" i="13"/>
  <c r="S187" i="13"/>
  <c r="P187" i="13"/>
  <c r="O187" i="13"/>
  <c r="N187" i="13"/>
  <c r="M187" i="13"/>
  <c r="AT186" i="13"/>
  <c r="AS186" i="13"/>
  <c r="AQ186" i="13"/>
  <c r="AP186" i="13"/>
  <c r="AO186" i="13"/>
  <c r="AR186" i="13" s="1"/>
  <c r="AN186" i="13"/>
  <c r="AM186" i="13"/>
  <c r="AK186" i="13"/>
  <c r="AH186" i="13"/>
  <c r="AG186" i="13"/>
  <c r="AF186" i="13"/>
  <c r="AC186" i="13"/>
  <c r="AA186" i="13"/>
  <c r="Z186" i="13"/>
  <c r="W186" i="13"/>
  <c r="V186" i="13"/>
  <c r="U186" i="13"/>
  <c r="S186" i="13"/>
  <c r="P186" i="13"/>
  <c r="O186" i="13"/>
  <c r="N186" i="13"/>
  <c r="M186" i="13"/>
  <c r="AS185" i="13"/>
  <c r="AQ185" i="13"/>
  <c r="AP185" i="13"/>
  <c r="AO185" i="13"/>
  <c r="AN185" i="13"/>
  <c r="AM185" i="13"/>
  <c r="AH185" i="13"/>
  <c r="AG185" i="13"/>
  <c r="AK185" i="13" s="1"/>
  <c r="AF185" i="13"/>
  <c r="AC185" i="13"/>
  <c r="AD185" i="13" s="1"/>
  <c r="AA185" i="13"/>
  <c r="Z185" i="13"/>
  <c r="W185" i="13"/>
  <c r="V185" i="13"/>
  <c r="S185" i="13"/>
  <c r="P185" i="13"/>
  <c r="O185" i="13"/>
  <c r="N185" i="13"/>
  <c r="M185" i="13"/>
  <c r="AS184" i="13"/>
  <c r="AQ184" i="13"/>
  <c r="AP184" i="13"/>
  <c r="AO184" i="13"/>
  <c r="AR184" i="13" s="1"/>
  <c r="AN184" i="13"/>
  <c r="AM184" i="13"/>
  <c r="AJ184" i="13"/>
  <c r="AH184" i="13"/>
  <c r="AG184" i="13"/>
  <c r="AK184" i="13" s="1"/>
  <c r="AF184" i="13"/>
  <c r="AT184" i="13" s="1"/>
  <c r="AC184" i="13"/>
  <c r="AA184" i="13"/>
  <c r="Z184" i="13"/>
  <c r="V184" i="13"/>
  <c r="T184" i="13"/>
  <c r="S184" i="13"/>
  <c r="P184" i="13"/>
  <c r="O184" i="13"/>
  <c r="N184" i="13"/>
  <c r="M184" i="13"/>
  <c r="AT183" i="13"/>
  <c r="AS183" i="13"/>
  <c r="AR183" i="13"/>
  <c r="AQ183" i="13"/>
  <c r="AP183" i="13"/>
  <c r="AO183" i="13"/>
  <c r="AN183" i="13"/>
  <c r="AM183" i="13"/>
  <c r="AL183" i="13"/>
  <c r="AK183" i="13"/>
  <c r="AJ183" i="13"/>
  <c r="AI183" i="13"/>
  <c r="AH183" i="13"/>
  <c r="AG183" i="13"/>
  <c r="AF183" i="13"/>
  <c r="AC183" i="13"/>
  <c r="AA183" i="13"/>
  <c r="Z183" i="13"/>
  <c r="V183" i="13"/>
  <c r="T183" i="13"/>
  <c r="S183" i="13"/>
  <c r="P183" i="13"/>
  <c r="O183" i="13"/>
  <c r="N183" i="13"/>
  <c r="M183" i="13"/>
  <c r="AS182" i="13"/>
  <c r="AQ182" i="13"/>
  <c r="AP182" i="13"/>
  <c r="AO182" i="13"/>
  <c r="AR182" i="13" s="1"/>
  <c r="AN182" i="13"/>
  <c r="AM182" i="13"/>
  <c r="AH182" i="13"/>
  <c r="AG182" i="13"/>
  <c r="AK182" i="13" s="1"/>
  <c r="AF182" i="13"/>
  <c r="AC182" i="13"/>
  <c r="AA182" i="13"/>
  <c r="Z182" i="13"/>
  <c r="W182" i="13"/>
  <c r="V182" i="13"/>
  <c r="U182" i="13"/>
  <c r="S182" i="13"/>
  <c r="P182" i="13"/>
  <c r="O182" i="13"/>
  <c r="N182" i="13"/>
  <c r="M182" i="13"/>
  <c r="AS181" i="13"/>
  <c r="AQ181" i="13"/>
  <c r="AP181" i="13"/>
  <c r="AO181" i="13"/>
  <c r="AN181" i="13"/>
  <c r="AM181" i="13"/>
  <c r="AI181" i="13"/>
  <c r="AH181" i="13"/>
  <c r="AG181" i="13"/>
  <c r="AK181" i="13" s="1"/>
  <c r="AF181" i="13"/>
  <c r="AC181" i="13"/>
  <c r="AA181" i="13"/>
  <c r="Z181" i="13"/>
  <c r="V181" i="13"/>
  <c r="S181" i="13"/>
  <c r="P181" i="13"/>
  <c r="O181" i="13"/>
  <c r="N181" i="13"/>
  <c r="M181" i="13"/>
  <c r="AS180" i="13"/>
  <c r="AR180" i="13"/>
  <c r="AQ180" i="13"/>
  <c r="AP180" i="13"/>
  <c r="AO180" i="13"/>
  <c r="AN180" i="13"/>
  <c r="AM180" i="13"/>
  <c r="AK180" i="13"/>
  <c r="AJ180" i="13"/>
  <c r="AI180" i="13"/>
  <c r="AL180" i="13" s="1"/>
  <c r="AH180" i="13"/>
  <c r="AG180" i="13"/>
  <c r="AF180" i="13"/>
  <c r="AT180" i="13" s="1"/>
  <c r="AC180" i="13"/>
  <c r="AA180" i="13"/>
  <c r="Z180" i="13"/>
  <c r="V180" i="13"/>
  <c r="S180" i="13"/>
  <c r="P180" i="13"/>
  <c r="O180" i="13"/>
  <c r="N180" i="13"/>
  <c r="M180" i="13"/>
  <c r="AT179" i="13"/>
  <c r="AS179" i="13"/>
  <c r="AR179" i="13"/>
  <c r="AQ179" i="13"/>
  <c r="AP179" i="13"/>
  <c r="AO179" i="13"/>
  <c r="AN179" i="13"/>
  <c r="AM179" i="13"/>
  <c r="AK179" i="13"/>
  <c r="AJ179" i="13"/>
  <c r="AI179" i="13"/>
  <c r="AL179" i="13" s="1"/>
  <c r="AH179" i="13"/>
  <c r="AG179" i="13"/>
  <c r="AF179" i="13"/>
  <c r="AC179" i="13"/>
  <c r="AA179" i="13"/>
  <c r="Z179" i="13"/>
  <c r="V179" i="13"/>
  <c r="S179" i="13"/>
  <c r="P179" i="13"/>
  <c r="O179" i="13"/>
  <c r="N179" i="13"/>
  <c r="M179" i="13"/>
  <c r="AS178" i="13"/>
  <c r="AQ178" i="13"/>
  <c r="AP178" i="13"/>
  <c r="AO178" i="13"/>
  <c r="AR178" i="13" s="1"/>
  <c r="AN178" i="13"/>
  <c r="AM178" i="13"/>
  <c r="AK178" i="13"/>
  <c r="AH178" i="13"/>
  <c r="AG178" i="13"/>
  <c r="AF178" i="13"/>
  <c r="AC178" i="13"/>
  <c r="AA178" i="13"/>
  <c r="Z178" i="13"/>
  <c r="W178" i="13"/>
  <c r="V178" i="13"/>
  <c r="U178" i="13"/>
  <c r="S178" i="13"/>
  <c r="P178" i="13"/>
  <c r="O178" i="13"/>
  <c r="N178" i="13"/>
  <c r="M178" i="13"/>
  <c r="AS177" i="13"/>
  <c r="AQ177" i="13"/>
  <c r="AP177" i="13"/>
  <c r="AO177" i="13"/>
  <c r="AR177" i="13" s="1"/>
  <c r="AN177" i="13"/>
  <c r="AM177" i="13"/>
  <c r="AH177" i="13"/>
  <c r="AG177" i="13"/>
  <c r="AK177" i="13" s="1"/>
  <c r="AF177" i="13"/>
  <c r="AC177" i="13"/>
  <c r="AA177" i="13"/>
  <c r="Z177" i="13"/>
  <c r="W177" i="13"/>
  <c r="V177" i="13"/>
  <c r="S177" i="13"/>
  <c r="P177" i="13"/>
  <c r="O177" i="13"/>
  <c r="N177" i="13"/>
  <c r="M177" i="13"/>
  <c r="AS176" i="13"/>
  <c r="AQ176" i="13"/>
  <c r="AP176" i="13"/>
  <c r="AR176" i="13" s="1"/>
  <c r="AO176" i="13"/>
  <c r="AN176" i="13"/>
  <c r="AM176" i="13"/>
  <c r="AK176" i="13"/>
  <c r="AJ176" i="13"/>
  <c r="AH176" i="13"/>
  <c r="AG176" i="13"/>
  <c r="AI176" i="13" s="1"/>
  <c r="AL176" i="13" s="1"/>
  <c r="AF176" i="13"/>
  <c r="AT176" i="13" s="1"/>
  <c r="AC176" i="13"/>
  <c r="AA176" i="13"/>
  <c r="Z176" i="13"/>
  <c r="V176" i="13"/>
  <c r="U176" i="13"/>
  <c r="S176" i="13"/>
  <c r="P176" i="13"/>
  <c r="O176" i="13"/>
  <c r="N176" i="13"/>
  <c r="M176" i="13"/>
  <c r="AT175" i="13"/>
  <c r="AS175" i="13"/>
  <c r="AR175" i="13"/>
  <c r="AQ175" i="13"/>
  <c r="AP175" i="13"/>
  <c r="AO175" i="13"/>
  <c r="AN175" i="13"/>
  <c r="AM175" i="13"/>
  <c r="AK175" i="13"/>
  <c r="AJ175" i="13"/>
  <c r="AI175" i="13"/>
  <c r="AL175" i="13" s="1"/>
  <c r="AH175" i="13"/>
  <c r="AG175" i="13"/>
  <c r="AF175" i="13"/>
  <c r="AC175" i="13"/>
  <c r="AA175" i="13"/>
  <c r="Z175" i="13"/>
  <c r="V175" i="13"/>
  <c r="S175" i="13"/>
  <c r="W175" i="13" s="1"/>
  <c r="P175" i="13"/>
  <c r="O175" i="13"/>
  <c r="N175" i="13"/>
  <c r="M175" i="13"/>
  <c r="AT174" i="13"/>
  <c r="AS174" i="13"/>
  <c r="AQ174" i="13"/>
  <c r="AP174" i="13"/>
  <c r="AO174" i="13"/>
  <c r="AR174" i="13" s="1"/>
  <c r="AN174" i="13"/>
  <c r="AM174" i="13"/>
  <c r="AK174" i="13"/>
  <c r="AH174" i="13"/>
  <c r="AG174" i="13"/>
  <c r="AF174" i="13"/>
  <c r="AD174" i="13"/>
  <c r="AC174" i="13"/>
  <c r="AA174" i="13"/>
  <c r="Z174" i="13"/>
  <c r="W174" i="13"/>
  <c r="V174" i="13"/>
  <c r="U174" i="13"/>
  <c r="S174" i="13"/>
  <c r="P174" i="13"/>
  <c r="O174" i="13"/>
  <c r="N174" i="13"/>
  <c r="M174" i="13"/>
  <c r="AS173" i="13"/>
  <c r="AQ173" i="13"/>
  <c r="AP173" i="13"/>
  <c r="AO173" i="13"/>
  <c r="AN173" i="13"/>
  <c r="AM173" i="13"/>
  <c r="AH173" i="13"/>
  <c r="AG173" i="13"/>
  <c r="AK173" i="13" s="1"/>
  <c r="AF173" i="13"/>
  <c r="AC173" i="13"/>
  <c r="AD173" i="13" s="1"/>
  <c r="AA173" i="13"/>
  <c r="Z173" i="13"/>
  <c r="W173" i="13"/>
  <c r="V173" i="13"/>
  <c r="S173" i="13"/>
  <c r="P173" i="13"/>
  <c r="O173" i="13"/>
  <c r="N173" i="13"/>
  <c r="M173" i="13"/>
  <c r="AS172" i="13"/>
  <c r="AQ172" i="13"/>
  <c r="AP172" i="13"/>
  <c r="AR172" i="13" s="1"/>
  <c r="AO172" i="13"/>
  <c r="AN172" i="13"/>
  <c r="AM172" i="13"/>
  <c r="AK172" i="13"/>
  <c r="AJ172" i="13"/>
  <c r="AH172" i="13"/>
  <c r="AG172" i="13"/>
  <c r="AI172" i="13" s="1"/>
  <c r="AL172" i="13" s="1"/>
  <c r="AF172" i="13"/>
  <c r="AT172" i="13" s="1"/>
  <c r="AC172" i="13"/>
  <c r="AA172" i="13"/>
  <c r="Z172" i="13"/>
  <c r="V172" i="13"/>
  <c r="U172" i="13"/>
  <c r="T172" i="13"/>
  <c r="S172" i="13"/>
  <c r="P172" i="13"/>
  <c r="O172" i="13"/>
  <c r="N172" i="13"/>
  <c r="M172" i="13"/>
  <c r="AT171" i="13"/>
  <c r="AS171" i="13"/>
  <c r="AQ171" i="13"/>
  <c r="AR171" i="13" s="1"/>
  <c r="AP171" i="13"/>
  <c r="AO171" i="13"/>
  <c r="AN171" i="13"/>
  <c r="AM171" i="13"/>
  <c r="AK171" i="13"/>
  <c r="AJ171" i="13"/>
  <c r="AI171" i="13"/>
  <c r="AL171" i="13" s="1"/>
  <c r="AH171" i="13"/>
  <c r="AG171" i="13"/>
  <c r="AF171" i="13"/>
  <c r="AC171" i="13"/>
  <c r="AA171" i="13"/>
  <c r="Z171" i="13"/>
  <c r="W171" i="13"/>
  <c r="V171" i="13"/>
  <c r="U171" i="13"/>
  <c r="T171" i="13"/>
  <c r="S171" i="13"/>
  <c r="P171" i="13"/>
  <c r="O171" i="13"/>
  <c r="N171" i="13"/>
  <c r="M171" i="13"/>
  <c r="AS170" i="13"/>
  <c r="AQ170" i="13"/>
  <c r="AP170" i="13"/>
  <c r="AO170" i="13"/>
  <c r="AN170" i="13"/>
  <c r="AM170" i="13"/>
  <c r="AI170" i="13"/>
  <c r="AL170" i="13" s="1"/>
  <c r="AH170" i="13"/>
  <c r="AG170" i="13"/>
  <c r="AK170" i="13" s="1"/>
  <c r="AF170" i="13"/>
  <c r="AJ170" i="13" s="1"/>
  <c r="AC170" i="13"/>
  <c r="AA170" i="13"/>
  <c r="Z170" i="13"/>
  <c r="V170" i="13"/>
  <c r="U170" i="13"/>
  <c r="S170" i="13"/>
  <c r="P170" i="13"/>
  <c r="O170" i="13"/>
  <c r="N170" i="13"/>
  <c r="M170" i="13"/>
  <c r="AS169" i="13"/>
  <c r="AQ169" i="13"/>
  <c r="AP169" i="13"/>
  <c r="AO169" i="13"/>
  <c r="AN169" i="13"/>
  <c r="AM169" i="13"/>
  <c r="AH169" i="13"/>
  <c r="AG169" i="13"/>
  <c r="AK169" i="13" s="1"/>
  <c r="AF169" i="13"/>
  <c r="AC169" i="13"/>
  <c r="AA169" i="13"/>
  <c r="Z169" i="13"/>
  <c r="V169" i="13"/>
  <c r="S169" i="13"/>
  <c r="W169" i="13" s="1"/>
  <c r="P169" i="13"/>
  <c r="O169" i="13"/>
  <c r="N169" i="13"/>
  <c r="M169" i="13"/>
  <c r="AS168" i="13"/>
  <c r="AR168" i="13"/>
  <c r="AQ168" i="13"/>
  <c r="AP168" i="13"/>
  <c r="AO168" i="13"/>
  <c r="AN168" i="13"/>
  <c r="AM168" i="13"/>
  <c r="AK168" i="13"/>
  <c r="AJ168" i="13"/>
  <c r="AI168" i="13"/>
  <c r="AL168" i="13" s="1"/>
  <c r="AH168" i="13"/>
  <c r="AG168" i="13"/>
  <c r="AF168" i="13"/>
  <c r="AT168" i="13" s="1"/>
  <c r="AC168" i="13"/>
  <c r="AA168" i="13"/>
  <c r="Z168" i="13"/>
  <c r="V168" i="13"/>
  <c r="U168" i="13"/>
  <c r="T168" i="13"/>
  <c r="S168" i="13"/>
  <c r="P168" i="13"/>
  <c r="O168" i="13"/>
  <c r="N168" i="13"/>
  <c r="M168" i="13"/>
  <c r="AT167" i="13"/>
  <c r="AS167" i="13"/>
  <c r="AQ167" i="13"/>
  <c r="AP167" i="13"/>
  <c r="AO167" i="13"/>
  <c r="AR167" i="13" s="1"/>
  <c r="AN167" i="13"/>
  <c r="AM167" i="13"/>
  <c r="AK167" i="13"/>
  <c r="AJ167" i="13"/>
  <c r="AI167" i="13"/>
  <c r="AL167" i="13" s="1"/>
  <c r="AH167" i="13"/>
  <c r="AG167" i="13"/>
  <c r="AF167" i="13"/>
  <c r="AD167" i="13"/>
  <c r="AC167" i="13"/>
  <c r="AA167" i="13"/>
  <c r="Z167" i="13"/>
  <c r="W167" i="13"/>
  <c r="V167" i="13"/>
  <c r="U167" i="13"/>
  <c r="T167" i="13"/>
  <c r="S167" i="13"/>
  <c r="P167" i="13"/>
  <c r="O167" i="13"/>
  <c r="N167" i="13"/>
  <c r="M167" i="13"/>
  <c r="AT166" i="13"/>
  <c r="AS166" i="13"/>
  <c r="AQ166" i="13"/>
  <c r="AP166" i="13"/>
  <c r="AO166" i="13"/>
  <c r="AR166" i="13" s="1"/>
  <c r="AN166" i="13"/>
  <c r="AM166" i="13"/>
  <c r="AH166" i="13"/>
  <c r="AG166" i="13"/>
  <c r="AK166" i="13" s="1"/>
  <c r="AF166" i="13"/>
  <c r="AJ166" i="13" s="1"/>
  <c r="AC166" i="13"/>
  <c r="AA166" i="13"/>
  <c r="Z166" i="13"/>
  <c r="V166" i="13"/>
  <c r="S166" i="13"/>
  <c r="P166" i="13"/>
  <c r="O166" i="13"/>
  <c r="N166" i="13"/>
  <c r="M166" i="13"/>
  <c r="AS165" i="13"/>
  <c r="AQ165" i="13"/>
  <c r="AP165" i="13"/>
  <c r="AO165" i="13"/>
  <c r="AN165" i="13"/>
  <c r="AM165" i="13"/>
  <c r="AK165" i="13"/>
  <c r="AH165" i="13"/>
  <c r="AG165" i="13"/>
  <c r="AF165" i="13"/>
  <c r="AC165" i="13"/>
  <c r="AA165" i="13"/>
  <c r="Z165" i="13"/>
  <c r="V165" i="13"/>
  <c r="U165" i="13"/>
  <c r="S165" i="13"/>
  <c r="P165" i="13"/>
  <c r="O165" i="13"/>
  <c r="N165" i="13"/>
  <c r="M165" i="13"/>
  <c r="AS164" i="13"/>
  <c r="AQ164" i="13"/>
  <c r="AP164" i="13"/>
  <c r="AR164" i="13" s="1"/>
  <c r="AO164" i="13"/>
  <c r="AN164" i="13"/>
  <c r="AM164" i="13"/>
  <c r="AJ164" i="13"/>
  <c r="AH164" i="13"/>
  <c r="AG164" i="13"/>
  <c r="AK164" i="13" s="1"/>
  <c r="AF164" i="13"/>
  <c r="AT164" i="13" s="1"/>
  <c r="AC164" i="13"/>
  <c r="AD164" i="13" s="1"/>
  <c r="AA164" i="13"/>
  <c r="Z164" i="13"/>
  <c r="W164" i="13"/>
  <c r="V164" i="13"/>
  <c r="S164" i="13"/>
  <c r="P164" i="13"/>
  <c r="O164" i="13"/>
  <c r="N164" i="13"/>
  <c r="M164" i="13"/>
  <c r="AT163" i="13"/>
  <c r="AS163" i="13"/>
  <c r="AQ163" i="13"/>
  <c r="AP163" i="13"/>
  <c r="AO163" i="13"/>
  <c r="AR163" i="13" s="1"/>
  <c r="AN163" i="13"/>
  <c r="AM163" i="13"/>
  <c r="AJ163" i="13"/>
  <c r="AH163" i="13"/>
  <c r="AG163" i="13"/>
  <c r="AK163" i="13" s="1"/>
  <c r="AF163" i="13"/>
  <c r="AC163" i="13"/>
  <c r="AA163" i="13"/>
  <c r="Z163" i="13"/>
  <c r="V163" i="13"/>
  <c r="T163" i="13"/>
  <c r="S163" i="13"/>
  <c r="P163" i="13"/>
  <c r="O163" i="13"/>
  <c r="N163" i="13"/>
  <c r="M163" i="13"/>
  <c r="AT162" i="13"/>
  <c r="AS162" i="13"/>
  <c r="AQ162" i="13"/>
  <c r="AP162" i="13"/>
  <c r="AO162" i="13"/>
  <c r="AN162" i="13"/>
  <c r="AM162" i="13"/>
  <c r="AI162" i="13"/>
  <c r="AL162" i="13" s="1"/>
  <c r="AH162" i="13"/>
  <c r="I27" i="20" s="1"/>
  <c r="AG162" i="13"/>
  <c r="AK162" i="13" s="1"/>
  <c r="AF162" i="13"/>
  <c r="AJ162" i="13" s="1"/>
  <c r="AE162" i="13"/>
  <c r="AC162" i="13"/>
  <c r="AA162" i="13"/>
  <c r="Z162" i="13"/>
  <c r="V162" i="13"/>
  <c r="U162" i="13"/>
  <c r="S162" i="13"/>
  <c r="W162" i="13" s="1"/>
  <c r="Q162" i="13"/>
  <c r="P162" i="13"/>
  <c r="O162" i="13"/>
  <c r="N162" i="13"/>
  <c r="M162" i="13"/>
  <c r="AS161" i="13"/>
  <c r="AQ161" i="13"/>
  <c r="AP161" i="13"/>
  <c r="AO161" i="13"/>
  <c r="AR161" i="13" s="1"/>
  <c r="AN161" i="13"/>
  <c r="AM161" i="13"/>
  <c r="AK161" i="13"/>
  <c r="AH161" i="13"/>
  <c r="AG161" i="13"/>
  <c r="AF161" i="13"/>
  <c r="AI161" i="13" s="1"/>
  <c r="AC161" i="13"/>
  <c r="AA161" i="13"/>
  <c r="Z161" i="13"/>
  <c r="V161" i="13"/>
  <c r="S161" i="13"/>
  <c r="P161" i="13"/>
  <c r="O161" i="13"/>
  <c r="N161" i="13"/>
  <c r="M161" i="13"/>
  <c r="AS160" i="13"/>
  <c r="AR160" i="13"/>
  <c r="AQ160" i="13"/>
  <c r="AP160" i="13"/>
  <c r="AO160" i="13"/>
  <c r="AN160" i="13"/>
  <c r="AM160" i="13"/>
  <c r="AJ160" i="13"/>
  <c r="AI160" i="13"/>
  <c r="AL160" i="13" s="1"/>
  <c r="AH160" i="13"/>
  <c r="AG160" i="13"/>
  <c r="AK160" i="13" s="1"/>
  <c r="AF160" i="13"/>
  <c r="AT160" i="13" s="1"/>
  <c r="AC160" i="13"/>
  <c r="AA160" i="13"/>
  <c r="Z160" i="13"/>
  <c r="W160" i="13"/>
  <c r="V160" i="13"/>
  <c r="U160" i="13"/>
  <c r="T160" i="13"/>
  <c r="S160" i="13"/>
  <c r="P160" i="13"/>
  <c r="O160" i="13"/>
  <c r="N160" i="13"/>
  <c r="M160" i="13"/>
  <c r="AT159" i="13"/>
  <c r="AS159" i="13"/>
  <c r="AQ159" i="13"/>
  <c r="AP159" i="13"/>
  <c r="AO159" i="13"/>
  <c r="AR159" i="13" s="1"/>
  <c r="AN159" i="13"/>
  <c r="AM159" i="13"/>
  <c r="AJ159" i="13"/>
  <c r="AI159" i="13"/>
  <c r="AL159" i="13" s="1"/>
  <c r="AH159" i="13"/>
  <c r="AG159" i="13"/>
  <c r="AK159" i="13" s="1"/>
  <c r="AF159" i="13"/>
  <c r="AC159" i="13"/>
  <c r="AA159" i="13"/>
  <c r="Z159" i="13"/>
  <c r="V159" i="13"/>
  <c r="S159" i="13"/>
  <c r="W159" i="13" s="1"/>
  <c r="P159" i="13"/>
  <c r="O159" i="13"/>
  <c r="N159" i="13"/>
  <c r="M159" i="13"/>
  <c r="AS158" i="13"/>
  <c r="AQ158" i="13"/>
  <c r="AP158" i="13"/>
  <c r="AO158" i="13"/>
  <c r="AR158" i="13" s="1"/>
  <c r="AN158" i="13"/>
  <c r="AM158" i="13"/>
  <c r="AH158" i="13"/>
  <c r="AG158" i="13"/>
  <c r="AK158" i="13" s="1"/>
  <c r="AF158" i="13"/>
  <c r="AJ158" i="13" s="1"/>
  <c r="AC158" i="13"/>
  <c r="AA158" i="13"/>
  <c r="Z158" i="13"/>
  <c r="V158" i="13"/>
  <c r="S158" i="13"/>
  <c r="W158" i="13" s="1"/>
  <c r="P158" i="13"/>
  <c r="O158" i="13"/>
  <c r="N158" i="13"/>
  <c r="M158" i="13"/>
  <c r="AT157" i="13"/>
  <c r="AS157" i="13"/>
  <c r="AQ157" i="13"/>
  <c r="AP157" i="13"/>
  <c r="AO157" i="13"/>
  <c r="AN157" i="13"/>
  <c r="AM157" i="13"/>
  <c r="AH157" i="13"/>
  <c r="AG157" i="13"/>
  <c r="AK157" i="13" s="1"/>
  <c r="AF157" i="13"/>
  <c r="AJ157" i="13" s="1"/>
  <c r="AC157" i="13"/>
  <c r="AA157" i="13"/>
  <c r="Z157" i="13"/>
  <c r="W157" i="13"/>
  <c r="V157" i="13"/>
  <c r="S157" i="13"/>
  <c r="P157" i="13"/>
  <c r="O157" i="13"/>
  <c r="N157" i="13"/>
  <c r="M157" i="13"/>
  <c r="AS156" i="13"/>
  <c r="AQ156" i="13"/>
  <c r="AP156" i="13"/>
  <c r="AO156" i="13"/>
  <c r="AR156" i="13" s="1"/>
  <c r="AN156" i="13"/>
  <c r="AM156" i="13"/>
  <c r="AJ156" i="13"/>
  <c r="AH156" i="13"/>
  <c r="AG156" i="13"/>
  <c r="AK156" i="13" s="1"/>
  <c r="AF156" i="13"/>
  <c r="AT156" i="13" s="1"/>
  <c r="AC156" i="13"/>
  <c r="AA156" i="13"/>
  <c r="Z156" i="13"/>
  <c r="W156" i="13"/>
  <c r="V156" i="13"/>
  <c r="T156" i="13"/>
  <c r="S156" i="13"/>
  <c r="U156" i="13" s="1"/>
  <c r="P156" i="13"/>
  <c r="O156" i="13"/>
  <c r="N156" i="13"/>
  <c r="M156" i="13"/>
  <c r="AT155" i="13"/>
  <c r="AS155" i="13"/>
  <c r="AQ155" i="13"/>
  <c r="AP155" i="13"/>
  <c r="AO155" i="13"/>
  <c r="AR155" i="13" s="1"/>
  <c r="AN155" i="13"/>
  <c r="AM155" i="13"/>
  <c r="AJ155" i="13"/>
  <c r="AH155" i="13"/>
  <c r="AG155" i="13"/>
  <c r="AK155" i="13" s="1"/>
  <c r="AF155" i="13"/>
  <c r="AD155" i="13"/>
  <c r="AC155" i="13"/>
  <c r="AA155" i="13"/>
  <c r="Z155" i="13"/>
  <c r="W155" i="13"/>
  <c r="V155" i="13"/>
  <c r="U155" i="13"/>
  <c r="T155" i="13"/>
  <c r="S155" i="13"/>
  <c r="P155" i="13"/>
  <c r="O155" i="13"/>
  <c r="N155" i="13"/>
  <c r="M155" i="13"/>
  <c r="AT154" i="13"/>
  <c r="AS154" i="13"/>
  <c r="AQ154" i="13"/>
  <c r="AP154" i="13"/>
  <c r="AO154" i="13"/>
  <c r="AR154" i="13" s="1"/>
  <c r="AN154" i="13"/>
  <c r="AM154" i="13"/>
  <c r="AK154" i="13"/>
  <c r="AH154" i="13"/>
  <c r="AG154" i="13"/>
  <c r="AF154" i="13"/>
  <c r="AJ154" i="13" s="1"/>
  <c r="AC154" i="13"/>
  <c r="AA154" i="13"/>
  <c r="Z154" i="13"/>
  <c r="W154" i="13"/>
  <c r="V154" i="13"/>
  <c r="U154" i="13"/>
  <c r="S154" i="13"/>
  <c r="P154" i="13"/>
  <c r="O154" i="13"/>
  <c r="N154" i="13"/>
  <c r="M154" i="13"/>
  <c r="AS153" i="13"/>
  <c r="AQ153" i="13"/>
  <c r="AP153" i="13"/>
  <c r="AO153" i="13"/>
  <c r="AR153" i="13" s="1"/>
  <c r="AN153" i="13"/>
  <c r="AM153" i="13"/>
  <c r="AI153" i="13"/>
  <c r="AH153" i="13"/>
  <c r="AG153" i="13"/>
  <c r="AK153" i="13" s="1"/>
  <c r="AF153" i="13"/>
  <c r="AC153" i="13"/>
  <c r="AD153" i="13" s="1"/>
  <c r="AA153" i="13"/>
  <c r="Z153" i="13"/>
  <c r="W153" i="13"/>
  <c r="V153" i="13"/>
  <c r="U153" i="13"/>
  <c r="S153" i="13"/>
  <c r="P153" i="13"/>
  <c r="O153" i="13"/>
  <c r="N153" i="13"/>
  <c r="M153" i="13"/>
  <c r="AS152" i="13"/>
  <c r="AQ152" i="13"/>
  <c r="AP152" i="13"/>
  <c r="AO152" i="13"/>
  <c r="AR152" i="13" s="1"/>
  <c r="AN152" i="13"/>
  <c r="AM152" i="13"/>
  <c r="AJ152" i="13"/>
  <c r="AH152" i="13"/>
  <c r="AG152" i="13"/>
  <c r="AI152" i="13" s="1"/>
  <c r="AF152" i="13"/>
  <c r="AT152" i="13" s="1"/>
  <c r="AC152" i="13"/>
  <c r="AA152" i="13"/>
  <c r="Z152" i="13"/>
  <c r="W152" i="13"/>
  <c r="V152" i="13"/>
  <c r="U152" i="13"/>
  <c r="T152" i="13"/>
  <c r="S152" i="13"/>
  <c r="P152" i="13"/>
  <c r="O152" i="13"/>
  <c r="N152" i="13"/>
  <c r="M152" i="13"/>
  <c r="AT151" i="13"/>
  <c r="AS151" i="13"/>
  <c r="AR151" i="13"/>
  <c r="AQ151" i="13"/>
  <c r="AP151" i="13"/>
  <c r="AO151" i="13"/>
  <c r="AN151" i="13"/>
  <c r="AM151" i="13"/>
  <c r="AJ151" i="13"/>
  <c r="AH151" i="13"/>
  <c r="AG151" i="13"/>
  <c r="AI151" i="13" s="1"/>
  <c r="AF151" i="13"/>
  <c r="AC151" i="13"/>
  <c r="AA151" i="13"/>
  <c r="Z151" i="13"/>
  <c r="V151" i="13"/>
  <c r="S151" i="13"/>
  <c r="W151" i="13" s="1"/>
  <c r="P151" i="13"/>
  <c r="O151" i="13"/>
  <c r="N151" i="13"/>
  <c r="M151" i="13"/>
  <c r="AT150" i="13"/>
  <c r="AS150" i="13"/>
  <c r="AQ150" i="13"/>
  <c r="AP150" i="13"/>
  <c r="AO150" i="13"/>
  <c r="AN150" i="13"/>
  <c r="AM150" i="13"/>
  <c r="AK150" i="13"/>
  <c r="AH150" i="13"/>
  <c r="AG150" i="13"/>
  <c r="AI150" i="13" s="1"/>
  <c r="AL150" i="13" s="1"/>
  <c r="AF150" i="13"/>
  <c r="AJ150" i="13" s="1"/>
  <c r="AC150" i="13"/>
  <c r="AA150" i="13"/>
  <c r="Z150" i="13"/>
  <c r="V150" i="13"/>
  <c r="U150" i="13"/>
  <c r="S150" i="13"/>
  <c r="P150" i="13"/>
  <c r="O150" i="13"/>
  <c r="N150" i="13"/>
  <c r="M150" i="13"/>
  <c r="AS149" i="13"/>
  <c r="AQ149" i="13"/>
  <c r="AP149" i="13"/>
  <c r="AO149" i="13"/>
  <c r="AN149" i="13"/>
  <c r="AM149" i="13"/>
  <c r="AH149" i="13"/>
  <c r="AG149" i="13"/>
  <c r="AK149" i="13" s="1"/>
  <c r="AF149" i="13"/>
  <c r="AC149" i="13"/>
  <c r="AA149" i="13"/>
  <c r="Z149" i="13"/>
  <c r="W149" i="13"/>
  <c r="V149" i="13"/>
  <c r="U149" i="13"/>
  <c r="S149" i="13"/>
  <c r="P149" i="13"/>
  <c r="O149" i="13"/>
  <c r="N149" i="13"/>
  <c r="M149" i="13"/>
  <c r="AS148" i="13"/>
  <c r="AQ148" i="13"/>
  <c r="AP148" i="13"/>
  <c r="AR148" i="13" s="1"/>
  <c r="AO148" i="13"/>
  <c r="AN148" i="13"/>
  <c r="AM148" i="13"/>
  <c r="AK148" i="13"/>
  <c r="AJ148" i="13"/>
  <c r="AH148" i="13"/>
  <c r="AG148" i="13"/>
  <c r="AI148" i="13" s="1"/>
  <c r="AL148" i="13" s="1"/>
  <c r="AF148" i="13"/>
  <c r="AT148" i="13" s="1"/>
  <c r="AC148" i="13"/>
  <c r="AA148" i="13"/>
  <c r="Z148" i="13"/>
  <c r="V148" i="13"/>
  <c r="T148" i="13"/>
  <c r="S148" i="13"/>
  <c r="P148" i="13"/>
  <c r="O148" i="13"/>
  <c r="N148" i="13"/>
  <c r="M148" i="13"/>
  <c r="AT147" i="13"/>
  <c r="AS147" i="13"/>
  <c r="AR147" i="13"/>
  <c r="AQ147" i="13"/>
  <c r="AP147" i="13"/>
  <c r="AO147" i="13"/>
  <c r="AN147" i="13"/>
  <c r="AM147" i="13"/>
  <c r="AK147" i="13"/>
  <c r="AJ147" i="13"/>
  <c r="AH147" i="13"/>
  <c r="AG147" i="13"/>
  <c r="AI147" i="13" s="1"/>
  <c r="AL147" i="13" s="1"/>
  <c r="AF147" i="13"/>
  <c r="AD147" i="13"/>
  <c r="AC147" i="13"/>
  <c r="AA147" i="13"/>
  <c r="Z147" i="13"/>
  <c r="V147" i="13"/>
  <c r="U147" i="13"/>
  <c r="T147" i="13"/>
  <c r="S147" i="13"/>
  <c r="P147" i="13"/>
  <c r="O147" i="13"/>
  <c r="N147" i="13"/>
  <c r="M147" i="13"/>
  <c r="AT146" i="13"/>
  <c r="AS146" i="13"/>
  <c r="AQ146" i="13"/>
  <c r="AP146" i="13"/>
  <c r="AO146" i="13"/>
  <c r="AR146" i="13" s="1"/>
  <c r="AN146" i="13"/>
  <c r="AM146" i="13"/>
  <c r="AK146" i="13"/>
  <c r="AH146" i="13"/>
  <c r="AG146" i="13"/>
  <c r="AF146" i="13"/>
  <c r="AJ146" i="13" s="1"/>
  <c r="AC146" i="13"/>
  <c r="AA146" i="13"/>
  <c r="Z146" i="13"/>
  <c r="W146" i="13"/>
  <c r="V146" i="13"/>
  <c r="S146" i="13"/>
  <c r="P146" i="13"/>
  <c r="O146" i="13"/>
  <c r="N146" i="13"/>
  <c r="M146" i="13"/>
  <c r="AS145" i="13"/>
  <c r="AQ145" i="13"/>
  <c r="AP145" i="13"/>
  <c r="AO145" i="13"/>
  <c r="AR145" i="13" s="1"/>
  <c r="AN145" i="13"/>
  <c r="AM145" i="13"/>
  <c r="AI145" i="13"/>
  <c r="AH145" i="13"/>
  <c r="AG145" i="13"/>
  <c r="AK145" i="13" s="1"/>
  <c r="AF145" i="13"/>
  <c r="AC145" i="13"/>
  <c r="AD145" i="13" s="1"/>
  <c r="AA145" i="13"/>
  <c r="Z145" i="13"/>
  <c r="V145" i="13"/>
  <c r="U145" i="13"/>
  <c r="S145" i="13"/>
  <c r="P145" i="13"/>
  <c r="O145" i="13"/>
  <c r="N145" i="13"/>
  <c r="M145" i="13"/>
  <c r="AS144" i="13"/>
  <c r="AQ144" i="13"/>
  <c r="AP144" i="13"/>
  <c r="AO144" i="13"/>
  <c r="AR144" i="13" s="1"/>
  <c r="AN144" i="13"/>
  <c r="AM144" i="13"/>
  <c r="AK144" i="13"/>
  <c r="AJ144" i="13"/>
  <c r="AI144" i="13"/>
  <c r="AL144" i="13" s="1"/>
  <c r="AH144" i="13"/>
  <c r="AG144" i="13"/>
  <c r="AF144" i="13"/>
  <c r="AT144" i="13" s="1"/>
  <c r="AC144" i="13"/>
  <c r="AD144" i="13" s="1"/>
  <c r="AA144" i="13"/>
  <c r="Z144" i="13"/>
  <c r="V144" i="13"/>
  <c r="S144" i="13"/>
  <c r="W144" i="13" s="1"/>
  <c r="P144" i="13"/>
  <c r="O144" i="13"/>
  <c r="N144" i="13"/>
  <c r="M144" i="13"/>
  <c r="AT143" i="13"/>
  <c r="AS143" i="13"/>
  <c r="AR143" i="13"/>
  <c r="AQ143" i="13"/>
  <c r="AP143" i="13"/>
  <c r="AO143" i="13"/>
  <c r="AN143" i="13"/>
  <c r="AM143" i="13"/>
  <c r="AK143" i="13"/>
  <c r="AJ143" i="13"/>
  <c r="AI143" i="13"/>
  <c r="AL143" i="13" s="1"/>
  <c r="AH143" i="13"/>
  <c r="AG143" i="13"/>
  <c r="AF143" i="13"/>
  <c r="AC143" i="13"/>
  <c r="AD143" i="13" s="1"/>
  <c r="AA143" i="13"/>
  <c r="Z143" i="13"/>
  <c r="V143" i="13"/>
  <c r="S143" i="13"/>
  <c r="P143" i="13"/>
  <c r="O143" i="13"/>
  <c r="N143" i="13"/>
  <c r="M143" i="13"/>
  <c r="AS142" i="13"/>
  <c r="AQ142" i="13"/>
  <c r="AP142" i="13"/>
  <c r="AO142" i="13"/>
  <c r="AN142" i="13"/>
  <c r="AM142" i="13"/>
  <c r="AH142" i="13"/>
  <c r="AG142" i="13"/>
  <c r="AK142" i="13" s="1"/>
  <c r="AF142" i="13"/>
  <c r="AJ142" i="13" s="1"/>
  <c r="AC142" i="13"/>
  <c r="AA142" i="13"/>
  <c r="Z142" i="13"/>
  <c r="W142" i="13"/>
  <c r="V142" i="13"/>
  <c r="U142" i="13"/>
  <c r="S142" i="13"/>
  <c r="P142" i="13"/>
  <c r="O142" i="13"/>
  <c r="N142" i="13"/>
  <c r="M142" i="13"/>
  <c r="AS141" i="13"/>
  <c r="AQ141" i="13"/>
  <c r="AP141" i="13"/>
  <c r="AO141" i="13"/>
  <c r="AN141" i="13"/>
  <c r="AM141" i="13"/>
  <c r="AH141" i="13"/>
  <c r="AG141" i="13"/>
  <c r="AK141" i="13" s="1"/>
  <c r="AF141" i="13"/>
  <c r="AC141" i="13"/>
  <c r="AA141" i="13"/>
  <c r="Z141" i="13"/>
  <c r="W141" i="13"/>
  <c r="V141" i="13"/>
  <c r="S141" i="13"/>
  <c r="P141" i="13"/>
  <c r="O141" i="13"/>
  <c r="N141" i="13"/>
  <c r="M141" i="13"/>
  <c r="AS140" i="13"/>
  <c r="AQ140" i="13"/>
  <c r="AP140" i="13"/>
  <c r="AO140" i="13"/>
  <c r="AR140" i="13" s="1"/>
  <c r="AN140" i="13"/>
  <c r="AM140" i="13"/>
  <c r="AJ140" i="13"/>
  <c r="AH140" i="13"/>
  <c r="AG140" i="13"/>
  <c r="AK140" i="13" s="1"/>
  <c r="AF140" i="13"/>
  <c r="AT140" i="13" s="1"/>
  <c r="AC140" i="13"/>
  <c r="AA140" i="13"/>
  <c r="Z140" i="13"/>
  <c r="W140" i="13"/>
  <c r="V140" i="13"/>
  <c r="T140" i="13"/>
  <c r="S140" i="13"/>
  <c r="U140" i="13" s="1"/>
  <c r="P140" i="13"/>
  <c r="O140" i="13"/>
  <c r="N140" i="13"/>
  <c r="M140" i="13"/>
  <c r="AT139" i="13"/>
  <c r="AS139" i="13"/>
  <c r="AQ139" i="13"/>
  <c r="AP139" i="13"/>
  <c r="AO139" i="13"/>
  <c r="AR139" i="13" s="1"/>
  <c r="AN139" i="13"/>
  <c r="AM139" i="13"/>
  <c r="AJ139" i="13"/>
  <c r="AH139" i="13"/>
  <c r="AG139" i="13"/>
  <c r="AK139" i="13" s="1"/>
  <c r="AF139" i="13"/>
  <c r="AC139" i="13"/>
  <c r="AA139" i="13"/>
  <c r="Z139" i="13"/>
  <c r="W139" i="13"/>
  <c r="V139" i="13"/>
  <c r="U139" i="13"/>
  <c r="T139" i="13"/>
  <c r="S139" i="13"/>
  <c r="P139" i="13"/>
  <c r="O139" i="13"/>
  <c r="N139" i="13"/>
  <c r="M139" i="13"/>
  <c r="AT138" i="13"/>
  <c r="AS138" i="13"/>
  <c r="AQ138" i="13"/>
  <c r="AP138" i="13"/>
  <c r="AO138" i="13"/>
  <c r="AR138" i="13" s="1"/>
  <c r="AN138" i="13"/>
  <c r="AM138" i="13"/>
  <c r="AK138" i="13"/>
  <c r="AH138" i="13"/>
  <c r="AG138" i="13"/>
  <c r="AF138" i="13"/>
  <c r="AJ138" i="13" s="1"/>
  <c r="AD138" i="13"/>
  <c r="AC138" i="13"/>
  <c r="AA138" i="13"/>
  <c r="Z138" i="13"/>
  <c r="W138" i="13"/>
  <c r="V138" i="13"/>
  <c r="U138" i="13"/>
  <c r="S138" i="13"/>
  <c r="Q138" i="13"/>
  <c r="P138" i="13"/>
  <c r="O138" i="13"/>
  <c r="N138" i="13"/>
  <c r="M138" i="13"/>
  <c r="Q185" i="13" s="1"/>
  <c r="AE185" i="13" s="1"/>
  <c r="AS137" i="13"/>
  <c r="AQ137" i="13"/>
  <c r="AP137" i="13"/>
  <c r="AO137" i="13"/>
  <c r="AR137" i="13" s="1"/>
  <c r="AN137" i="13"/>
  <c r="AM137" i="13"/>
  <c r="AI137" i="13"/>
  <c r="AL137" i="13" s="1"/>
  <c r="AH137" i="13"/>
  <c r="AG137" i="13"/>
  <c r="AK137" i="13" s="1"/>
  <c r="AF137" i="13"/>
  <c r="AC137" i="13"/>
  <c r="AA137" i="13"/>
  <c r="Z137" i="13"/>
  <c r="W137" i="13"/>
  <c r="V137" i="13"/>
  <c r="U137" i="13"/>
  <c r="S137" i="13"/>
  <c r="P137" i="13"/>
  <c r="O137" i="13"/>
  <c r="N137" i="13"/>
  <c r="M137" i="13"/>
  <c r="AS136" i="13"/>
  <c r="AQ136" i="13"/>
  <c r="AP136" i="13"/>
  <c r="AO136" i="13"/>
  <c r="AR136" i="13" s="1"/>
  <c r="AN136" i="13"/>
  <c r="AM136" i="13"/>
  <c r="AJ136" i="13"/>
  <c r="AH136" i="13"/>
  <c r="AG136" i="13"/>
  <c r="AI136" i="13" s="1"/>
  <c r="AF136" i="13"/>
  <c r="AT136" i="13" s="1"/>
  <c r="AC136" i="13"/>
  <c r="AD136" i="13" s="1"/>
  <c r="AA136" i="13"/>
  <c r="Z136" i="13"/>
  <c r="W136" i="13"/>
  <c r="V136" i="13"/>
  <c r="U136" i="13"/>
  <c r="T136" i="13"/>
  <c r="S136" i="13"/>
  <c r="P136" i="13"/>
  <c r="O136" i="13"/>
  <c r="N136" i="13"/>
  <c r="M136" i="13"/>
  <c r="AT135" i="13"/>
  <c r="AS135" i="13"/>
  <c r="AR135" i="13"/>
  <c r="AQ135" i="13"/>
  <c r="AP135" i="13"/>
  <c r="AO135" i="13"/>
  <c r="AN135" i="13"/>
  <c r="AM135" i="13"/>
  <c r="AJ135" i="13"/>
  <c r="AH135" i="13"/>
  <c r="AG135" i="13"/>
  <c r="AI135" i="13" s="1"/>
  <c r="AF135" i="13"/>
  <c r="AC135" i="13"/>
  <c r="AA135" i="13"/>
  <c r="Z135" i="13"/>
  <c r="V135" i="13"/>
  <c r="S135" i="13"/>
  <c r="W135" i="13" s="1"/>
  <c r="P135" i="13"/>
  <c r="O135" i="13"/>
  <c r="N135" i="13"/>
  <c r="M135" i="13"/>
  <c r="AT134" i="13"/>
  <c r="AS134" i="13"/>
  <c r="AQ134" i="13"/>
  <c r="AP134" i="13"/>
  <c r="AO134" i="13"/>
  <c r="AN134" i="13"/>
  <c r="AM134" i="13"/>
  <c r="AK134" i="13"/>
  <c r="AH134" i="13"/>
  <c r="AG134" i="13"/>
  <c r="AF134" i="13"/>
  <c r="AJ134" i="13" s="1"/>
  <c r="AC134" i="13"/>
  <c r="AA134" i="13"/>
  <c r="Z134" i="13"/>
  <c r="V134" i="13"/>
  <c r="U134" i="13"/>
  <c r="S134" i="13"/>
  <c r="P134" i="13"/>
  <c r="O134" i="13"/>
  <c r="N134" i="13"/>
  <c r="M134" i="13"/>
  <c r="AS133" i="13"/>
  <c r="AQ133" i="13"/>
  <c r="AP133" i="13"/>
  <c r="AO133" i="13"/>
  <c r="AN133" i="13"/>
  <c r="AM133" i="13"/>
  <c r="AH133" i="13"/>
  <c r="AG133" i="13"/>
  <c r="AK133" i="13" s="1"/>
  <c r="AF133" i="13"/>
  <c r="AC133" i="13"/>
  <c r="AA133" i="13"/>
  <c r="Z133" i="13"/>
  <c r="W133" i="13"/>
  <c r="V133" i="13"/>
  <c r="U133" i="13"/>
  <c r="S133" i="13"/>
  <c r="P133" i="13"/>
  <c r="O133" i="13"/>
  <c r="N133" i="13"/>
  <c r="M133" i="13"/>
  <c r="AS132" i="13"/>
  <c r="AQ132" i="13"/>
  <c r="AP132" i="13"/>
  <c r="AO132" i="13"/>
  <c r="AR132" i="13" s="1"/>
  <c r="AN132" i="13"/>
  <c r="AM132" i="13"/>
  <c r="AK132" i="13"/>
  <c r="AJ132" i="13"/>
  <c r="AH132" i="13"/>
  <c r="AG132" i="13"/>
  <c r="AI132" i="13" s="1"/>
  <c r="AL132" i="13" s="1"/>
  <c r="AF132" i="13"/>
  <c r="AT132" i="13" s="1"/>
  <c r="AC132" i="13"/>
  <c r="AA132" i="13"/>
  <c r="Z132" i="13"/>
  <c r="V132" i="13"/>
  <c r="T132" i="13"/>
  <c r="S132" i="13"/>
  <c r="P132" i="13"/>
  <c r="O132" i="13"/>
  <c r="N132" i="13"/>
  <c r="M132" i="13"/>
  <c r="AT131" i="13"/>
  <c r="AS131" i="13"/>
  <c r="AR131" i="13"/>
  <c r="AQ131" i="13"/>
  <c r="AP131" i="13"/>
  <c r="AO131" i="13"/>
  <c r="AN131" i="13"/>
  <c r="AM131" i="13"/>
  <c r="AK131" i="13"/>
  <c r="AJ131" i="13"/>
  <c r="AH131" i="13"/>
  <c r="AG131" i="13"/>
  <c r="AI131" i="13" s="1"/>
  <c r="AL131" i="13" s="1"/>
  <c r="AF131" i="13"/>
  <c r="AD131" i="13"/>
  <c r="AC131" i="13"/>
  <c r="AA131" i="13"/>
  <c r="Z131" i="13"/>
  <c r="V131" i="13"/>
  <c r="U131" i="13"/>
  <c r="S131" i="13"/>
  <c r="P131" i="13"/>
  <c r="O131" i="13"/>
  <c r="N131" i="13"/>
  <c r="M131" i="13"/>
  <c r="Q204" i="13" s="1"/>
  <c r="AS130" i="13"/>
  <c r="AQ130" i="13"/>
  <c r="AP130" i="13"/>
  <c r="AO130" i="13"/>
  <c r="AR130" i="13" s="1"/>
  <c r="AN130" i="13"/>
  <c r="AM130" i="13"/>
  <c r="AK130" i="13"/>
  <c r="AH130" i="13"/>
  <c r="AG130" i="13"/>
  <c r="AF130" i="13"/>
  <c r="AJ130" i="13" s="1"/>
  <c r="AC130" i="13"/>
  <c r="AD130" i="13" s="1"/>
  <c r="AA130" i="13"/>
  <c r="Z130" i="13"/>
  <c r="W130" i="13"/>
  <c r="V130" i="13"/>
  <c r="S130" i="13"/>
  <c r="P130" i="13"/>
  <c r="O130" i="13"/>
  <c r="N130" i="13"/>
  <c r="M130" i="13"/>
  <c r="AS129" i="13"/>
  <c r="AQ129" i="13"/>
  <c r="AP129" i="13"/>
  <c r="AO129" i="13"/>
  <c r="AR129" i="13" s="1"/>
  <c r="AN129" i="13"/>
  <c r="AM129" i="13"/>
  <c r="AI129" i="13"/>
  <c r="AH129" i="13"/>
  <c r="AG129" i="13"/>
  <c r="AK129" i="13" s="1"/>
  <c r="AF129" i="13"/>
  <c r="AC129" i="13"/>
  <c r="AD129" i="13" s="1"/>
  <c r="AA129" i="13"/>
  <c r="Z129" i="13"/>
  <c r="V129" i="13"/>
  <c r="U129" i="13"/>
  <c r="S129" i="13"/>
  <c r="P129" i="13"/>
  <c r="O129" i="13"/>
  <c r="N129" i="13"/>
  <c r="M129" i="13"/>
  <c r="AS128" i="13"/>
  <c r="AQ128" i="13"/>
  <c r="AP128" i="13"/>
  <c r="AO128" i="13"/>
  <c r="AR128" i="13" s="1"/>
  <c r="AN128" i="13"/>
  <c r="AM128" i="13"/>
  <c r="AK128" i="13"/>
  <c r="AJ128" i="13"/>
  <c r="AI128" i="13"/>
  <c r="AH128" i="13"/>
  <c r="AG128" i="13"/>
  <c r="AF128" i="13"/>
  <c r="AT128" i="13" s="1"/>
  <c r="AC128" i="13"/>
  <c r="AA128" i="13"/>
  <c r="Z128" i="13"/>
  <c r="V128" i="13"/>
  <c r="S128" i="13"/>
  <c r="W128" i="13" s="1"/>
  <c r="P128" i="13"/>
  <c r="O128" i="13"/>
  <c r="N128" i="13"/>
  <c r="M128" i="13"/>
  <c r="AT127" i="13"/>
  <c r="AS127" i="13"/>
  <c r="AR127" i="13"/>
  <c r="AQ127" i="13"/>
  <c r="AP127" i="13"/>
  <c r="AO127" i="13"/>
  <c r="AN127" i="13"/>
  <c r="AM127" i="13"/>
  <c r="AK127" i="13"/>
  <c r="AJ127" i="13"/>
  <c r="AI127" i="13"/>
  <c r="AL127" i="13" s="1"/>
  <c r="AH127" i="13"/>
  <c r="AG127" i="13"/>
  <c r="AF127" i="13"/>
  <c r="AC127" i="13"/>
  <c r="AA127" i="13"/>
  <c r="Z127" i="13"/>
  <c r="W127" i="13"/>
  <c r="V127" i="13"/>
  <c r="S127" i="13"/>
  <c r="P127" i="13"/>
  <c r="O127" i="13"/>
  <c r="N127" i="13"/>
  <c r="M127" i="13"/>
  <c r="AS126" i="13"/>
  <c r="AQ126" i="13"/>
  <c r="AP126" i="13"/>
  <c r="AO126" i="13"/>
  <c r="AN126" i="13"/>
  <c r="AM126" i="13"/>
  <c r="AH126" i="13"/>
  <c r="AG126" i="13"/>
  <c r="AK126" i="13" s="1"/>
  <c r="AF126" i="13"/>
  <c r="AJ126" i="13" s="1"/>
  <c r="AC126" i="13"/>
  <c r="AA126" i="13"/>
  <c r="Z126" i="13"/>
  <c r="W126" i="13"/>
  <c r="V126" i="13"/>
  <c r="U126" i="13"/>
  <c r="S126" i="13"/>
  <c r="P126" i="13"/>
  <c r="O126" i="13"/>
  <c r="N126" i="13"/>
  <c r="M126" i="13"/>
  <c r="AT125" i="13"/>
  <c r="AS125" i="13"/>
  <c r="AQ125" i="13"/>
  <c r="AP125" i="13"/>
  <c r="AO125" i="13"/>
  <c r="AR125" i="13" s="1"/>
  <c r="AN125" i="13"/>
  <c r="AM125" i="13"/>
  <c r="AK125" i="13"/>
  <c r="AH125" i="13"/>
  <c r="AG125" i="13"/>
  <c r="AF125" i="13"/>
  <c r="AJ125" i="13" s="1"/>
  <c r="AC125" i="13"/>
  <c r="AA125" i="13"/>
  <c r="Z125" i="13"/>
  <c r="V125" i="13"/>
  <c r="S125" i="13"/>
  <c r="P125" i="13"/>
  <c r="O125" i="13"/>
  <c r="N125" i="13"/>
  <c r="M125" i="13"/>
  <c r="AS124" i="13"/>
  <c r="AR124" i="13"/>
  <c r="AQ124" i="13"/>
  <c r="AP124" i="13"/>
  <c r="AO124" i="13"/>
  <c r="AN124" i="13"/>
  <c r="AM124" i="13"/>
  <c r="AJ124" i="13"/>
  <c r="AI124" i="13"/>
  <c r="AL124" i="13" s="1"/>
  <c r="AH124" i="13"/>
  <c r="AG124" i="13"/>
  <c r="AK124" i="13" s="1"/>
  <c r="AF124" i="13"/>
  <c r="AT124" i="13" s="1"/>
  <c r="AC124" i="13"/>
  <c r="AA124" i="13"/>
  <c r="Z124" i="13"/>
  <c r="W124" i="13"/>
  <c r="V124" i="13"/>
  <c r="U124" i="13"/>
  <c r="T124" i="13"/>
  <c r="S124" i="13"/>
  <c r="P124" i="13"/>
  <c r="O124" i="13"/>
  <c r="N124" i="13"/>
  <c r="M124" i="13"/>
  <c r="AT123" i="13"/>
  <c r="AS123" i="13"/>
  <c r="AQ123" i="13"/>
  <c r="AP123" i="13"/>
  <c r="AO123" i="13"/>
  <c r="AR123" i="13" s="1"/>
  <c r="AN123" i="13"/>
  <c r="AM123" i="13"/>
  <c r="AJ123" i="13"/>
  <c r="AI123" i="13"/>
  <c r="AL123" i="13" s="1"/>
  <c r="AH123" i="13"/>
  <c r="AG123" i="13"/>
  <c r="AK123" i="13" s="1"/>
  <c r="AF123" i="13"/>
  <c r="AD123" i="13"/>
  <c r="AC123" i="13"/>
  <c r="AA123" i="13"/>
  <c r="Z123" i="13"/>
  <c r="V123" i="13"/>
  <c r="S123" i="13"/>
  <c r="W123" i="13" s="1"/>
  <c r="P123" i="13"/>
  <c r="O123" i="13"/>
  <c r="N123" i="13"/>
  <c r="M123" i="13"/>
  <c r="AS122" i="13"/>
  <c r="AQ122" i="13"/>
  <c r="AP122" i="13"/>
  <c r="AO122" i="13"/>
  <c r="AR122" i="13" s="1"/>
  <c r="AN122" i="13"/>
  <c r="AM122" i="13"/>
  <c r="AH122" i="13"/>
  <c r="AG122" i="13"/>
  <c r="AK122" i="13" s="1"/>
  <c r="AF122" i="13"/>
  <c r="AJ122" i="13" s="1"/>
  <c r="AC122" i="13"/>
  <c r="AD122" i="13" s="1"/>
  <c r="AA122" i="13"/>
  <c r="Z122" i="13"/>
  <c r="V122" i="13"/>
  <c r="S122" i="13"/>
  <c r="P122" i="13"/>
  <c r="O122" i="13"/>
  <c r="N122" i="13"/>
  <c r="M122" i="13"/>
  <c r="AS121" i="13"/>
  <c r="AQ121" i="13"/>
  <c r="AP121" i="13"/>
  <c r="AO121" i="13"/>
  <c r="AN121" i="13"/>
  <c r="AM121" i="13"/>
  <c r="AK121" i="13"/>
  <c r="AH121" i="13"/>
  <c r="AG121" i="13"/>
  <c r="AF121" i="13"/>
  <c r="AI121" i="13" s="1"/>
  <c r="AC121" i="13"/>
  <c r="AA121" i="13"/>
  <c r="Z121" i="13"/>
  <c r="V121" i="13"/>
  <c r="U121" i="13"/>
  <c r="S121" i="13"/>
  <c r="W121" i="13" s="1"/>
  <c r="P121" i="13"/>
  <c r="O121" i="13"/>
  <c r="N121" i="13"/>
  <c r="M121" i="13"/>
  <c r="AS120" i="13"/>
  <c r="AQ120" i="13"/>
  <c r="AP120" i="13"/>
  <c r="AO120" i="13"/>
  <c r="AR120" i="13" s="1"/>
  <c r="AN120" i="13"/>
  <c r="AM120" i="13"/>
  <c r="AK120" i="13"/>
  <c r="AJ120" i="13"/>
  <c r="AH120" i="13"/>
  <c r="AG120" i="13"/>
  <c r="AI120" i="13" s="1"/>
  <c r="AL120" i="13" s="1"/>
  <c r="AF120" i="13"/>
  <c r="AT120" i="13" s="1"/>
  <c r="AC120" i="13"/>
  <c r="AA120" i="13"/>
  <c r="Z120" i="13"/>
  <c r="V120" i="13"/>
  <c r="S120" i="13"/>
  <c r="W120" i="13" s="1"/>
  <c r="P120" i="13"/>
  <c r="O120" i="13"/>
  <c r="N120" i="13"/>
  <c r="M120" i="13"/>
  <c r="AT119" i="13"/>
  <c r="AS119" i="13"/>
  <c r="AQ119" i="13"/>
  <c r="AP119" i="13"/>
  <c r="AO119" i="13"/>
  <c r="AR119" i="13" s="1"/>
  <c r="AN119" i="13"/>
  <c r="AM119" i="13"/>
  <c r="AK119" i="13"/>
  <c r="AJ119" i="13"/>
  <c r="AH119" i="13"/>
  <c r="AG119" i="13"/>
  <c r="AI119" i="13" s="1"/>
  <c r="AL119" i="13" s="1"/>
  <c r="AF119" i="13"/>
  <c r="AC119" i="13"/>
  <c r="AA119" i="13"/>
  <c r="Z119" i="13"/>
  <c r="W119" i="13"/>
  <c r="V119" i="13"/>
  <c r="T119" i="13"/>
  <c r="S119" i="13"/>
  <c r="U119" i="13" s="1"/>
  <c r="P119" i="13"/>
  <c r="O119" i="13"/>
  <c r="N119" i="13"/>
  <c r="M119" i="13"/>
  <c r="AS118" i="13"/>
  <c r="AQ118" i="13"/>
  <c r="AP118" i="13"/>
  <c r="AO118" i="13"/>
  <c r="AR118" i="13" s="1"/>
  <c r="AN118" i="13"/>
  <c r="AM118" i="13"/>
  <c r="AI118" i="13"/>
  <c r="AL118" i="13" s="1"/>
  <c r="AH118" i="13"/>
  <c r="AG118" i="13"/>
  <c r="AK118" i="13" s="1"/>
  <c r="AF118" i="13"/>
  <c r="AJ118" i="13" s="1"/>
  <c r="AC118" i="13"/>
  <c r="AA118" i="13"/>
  <c r="Z118" i="13"/>
  <c r="V118" i="13"/>
  <c r="U118" i="13"/>
  <c r="S118" i="13"/>
  <c r="P118" i="13"/>
  <c r="O118" i="13"/>
  <c r="N118" i="13"/>
  <c r="M118" i="13"/>
  <c r="AS117" i="13"/>
  <c r="AQ117" i="13"/>
  <c r="AP117" i="13"/>
  <c r="AO117" i="13"/>
  <c r="AN117" i="13"/>
  <c r="AM117" i="13"/>
  <c r="AH117" i="13"/>
  <c r="AG117" i="13"/>
  <c r="AK117" i="13" s="1"/>
  <c r="AF117" i="13"/>
  <c r="AC117" i="13"/>
  <c r="AA117" i="13"/>
  <c r="Z117" i="13"/>
  <c r="V117" i="13"/>
  <c r="S117" i="13"/>
  <c r="P117" i="13"/>
  <c r="O117" i="13"/>
  <c r="N117" i="13"/>
  <c r="M117" i="13"/>
  <c r="AS116" i="13"/>
  <c r="AR116" i="13"/>
  <c r="AQ116" i="13"/>
  <c r="AP116" i="13"/>
  <c r="AO116" i="13"/>
  <c r="AN116" i="13"/>
  <c r="AM116" i="13"/>
  <c r="AK116" i="13"/>
  <c r="AJ116" i="13"/>
  <c r="AI116" i="13"/>
  <c r="AL116" i="13" s="1"/>
  <c r="AH116" i="13"/>
  <c r="AG116" i="13"/>
  <c r="AF116" i="13"/>
  <c r="AT116" i="13" s="1"/>
  <c r="AC116" i="13"/>
  <c r="AA116" i="13"/>
  <c r="Z116" i="13"/>
  <c r="V116" i="13"/>
  <c r="U116" i="13"/>
  <c r="T116" i="13"/>
  <c r="S116" i="13"/>
  <c r="P116" i="13"/>
  <c r="O116" i="13"/>
  <c r="N116" i="13"/>
  <c r="M116" i="13"/>
  <c r="AT115" i="13"/>
  <c r="AS115" i="13"/>
  <c r="AQ115" i="13"/>
  <c r="AP115" i="13"/>
  <c r="AO115" i="13"/>
  <c r="AR115" i="13" s="1"/>
  <c r="AN115" i="13"/>
  <c r="AM115" i="13"/>
  <c r="AK115" i="13"/>
  <c r="AJ115" i="13"/>
  <c r="AI115" i="13"/>
  <c r="AL115" i="13" s="1"/>
  <c r="AH115" i="13"/>
  <c r="AG115" i="13"/>
  <c r="AF115" i="13"/>
  <c r="AC115" i="13"/>
  <c r="AA115" i="13"/>
  <c r="Z115" i="13"/>
  <c r="W115" i="13"/>
  <c r="V115" i="13"/>
  <c r="U115" i="13"/>
  <c r="T115" i="13"/>
  <c r="S115" i="13"/>
  <c r="P115" i="13"/>
  <c r="O115" i="13"/>
  <c r="N115" i="13"/>
  <c r="M115" i="13"/>
  <c r="AT114" i="13"/>
  <c r="AS114" i="13"/>
  <c r="AQ114" i="13"/>
  <c r="AP114" i="13"/>
  <c r="AO114" i="13"/>
  <c r="AR114" i="13" s="1"/>
  <c r="AN114" i="13"/>
  <c r="AM114" i="13"/>
  <c r="AH114" i="13"/>
  <c r="AG114" i="13"/>
  <c r="AF114" i="13"/>
  <c r="AJ114" i="13" s="1"/>
  <c r="AC114" i="13"/>
  <c r="AD114" i="13" s="1"/>
  <c r="AA114" i="13"/>
  <c r="Z114" i="13"/>
  <c r="V114" i="13"/>
  <c r="S114" i="13"/>
  <c r="P114" i="13"/>
  <c r="O114" i="13"/>
  <c r="N114" i="13"/>
  <c r="M114" i="13"/>
  <c r="AS113" i="13"/>
  <c r="AQ113" i="13"/>
  <c r="AP113" i="13"/>
  <c r="AO113" i="13"/>
  <c r="AN113" i="13"/>
  <c r="AM113" i="13"/>
  <c r="AK113" i="13"/>
  <c r="AH113" i="13"/>
  <c r="AG113" i="13"/>
  <c r="AF113" i="13"/>
  <c r="AC113" i="13"/>
  <c r="AA113" i="13"/>
  <c r="Z113" i="13"/>
  <c r="V113" i="13"/>
  <c r="U113" i="13"/>
  <c r="S113" i="13"/>
  <c r="Q113" i="13"/>
  <c r="P113" i="13"/>
  <c r="O113" i="13"/>
  <c r="N113" i="13"/>
  <c r="M113" i="13"/>
  <c r="AS112" i="13"/>
  <c r="AQ112" i="13"/>
  <c r="AP112" i="13"/>
  <c r="AR112" i="13" s="1"/>
  <c r="AO112" i="13"/>
  <c r="AN112" i="13"/>
  <c r="AM112" i="13"/>
  <c r="AJ112" i="13"/>
  <c r="AH112" i="13"/>
  <c r="AG112" i="13"/>
  <c r="AF112" i="13"/>
  <c r="AT112" i="13" s="1"/>
  <c r="AC112" i="13"/>
  <c r="AA112" i="13"/>
  <c r="Z112" i="13"/>
  <c r="W112" i="13"/>
  <c r="V112" i="13"/>
  <c r="S112" i="13"/>
  <c r="P112" i="13"/>
  <c r="O112" i="13"/>
  <c r="N112" i="13"/>
  <c r="M112" i="13"/>
  <c r="AT111" i="13"/>
  <c r="AS111" i="13"/>
  <c r="AQ111" i="13"/>
  <c r="AP111" i="13"/>
  <c r="AO111" i="13"/>
  <c r="AR111" i="13" s="1"/>
  <c r="AN111" i="13"/>
  <c r="AM111" i="13"/>
  <c r="AJ111" i="13"/>
  <c r="AH111" i="13"/>
  <c r="AG111" i="13"/>
  <c r="AF111" i="13"/>
  <c r="AC111" i="13"/>
  <c r="AA111" i="13"/>
  <c r="Z111" i="13"/>
  <c r="V111" i="13"/>
  <c r="T111" i="13"/>
  <c r="S111" i="13"/>
  <c r="P111" i="13"/>
  <c r="O111" i="13"/>
  <c r="N111" i="13"/>
  <c r="M111" i="13"/>
  <c r="AT110" i="13"/>
  <c r="AS110" i="13"/>
  <c r="AQ110" i="13"/>
  <c r="AP110" i="13"/>
  <c r="AO110" i="13"/>
  <c r="AN110" i="13"/>
  <c r="AM110" i="13"/>
  <c r="AI110" i="13"/>
  <c r="AL110" i="13" s="1"/>
  <c r="AH110" i="13"/>
  <c r="AG110" i="13"/>
  <c r="AK110" i="13" s="1"/>
  <c r="AF110" i="13"/>
  <c r="AJ110" i="13" s="1"/>
  <c r="AD110" i="13"/>
  <c r="AC110" i="13"/>
  <c r="AA110" i="13"/>
  <c r="Z110" i="13"/>
  <c r="V110" i="13"/>
  <c r="U110" i="13"/>
  <c r="S110" i="13"/>
  <c r="W110" i="13" s="1"/>
  <c r="P110" i="13"/>
  <c r="O110" i="13"/>
  <c r="N110" i="13"/>
  <c r="M110" i="13"/>
  <c r="AS109" i="13"/>
  <c r="AQ109" i="13"/>
  <c r="AP109" i="13"/>
  <c r="AO109" i="13"/>
  <c r="AR109" i="13" s="1"/>
  <c r="AN109" i="13"/>
  <c r="AM109" i="13"/>
  <c r="AK109" i="13"/>
  <c r="AH109" i="13"/>
  <c r="AG109" i="13"/>
  <c r="AF109" i="13"/>
  <c r="AI109" i="13" s="1"/>
  <c r="AL109" i="13" s="1"/>
  <c r="AC109" i="13"/>
  <c r="AD109" i="13" s="1"/>
  <c r="AA109" i="13"/>
  <c r="Z109" i="13"/>
  <c r="V109" i="13"/>
  <c r="S109" i="13"/>
  <c r="P109" i="13"/>
  <c r="O109" i="13"/>
  <c r="N109" i="13"/>
  <c r="M109" i="13"/>
  <c r="AS108" i="13"/>
  <c r="AR108" i="13"/>
  <c r="AQ108" i="13"/>
  <c r="AP108" i="13"/>
  <c r="AO108" i="13"/>
  <c r="AN108" i="13"/>
  <c r="AM108" i="13"/>
  <c r="AJ108" i="13"/>
  <c r="AI108" i="13"/>
  <c r="AL108" i="13" s="1"/>
  <c r="AH108" i="13"/>
  <c r="AG108" i="13"/>
  <c r="AK108" i="13" s="1"/>
  <c r="AF108" i="13"/>
  <c r="AT108" i="13" s="1"/>
  <c r="AC108" i="13"/>
  <c r="AA108" i="13"/>
  <c r="Z108" i="13"/>
  <c r="W108" i="13"/>
  <c r="V108" i="13"/>
  <c r="U108" i="13"/>
  <c r="T108" i="13"/>
  <c r="S108" i="13"/>
  <c r="P108" i="13"/>
  <c r="O108" i="13"/>
  <c r="N108" i="13"/>
  <c r="M108" i="13"/>
  <c r="AT107" i="13"/>
  <c r="AS107" i="13"/>
  <c r="AQ107" i="13"/>
  <c r="AP107" i="13"/>
  <c r="AO107" i="13"/>
  <c r="AN107" i="13"/>
  <c r="AM107" i="13"/>
  <c r="AJ107" i="13"/>
  <c r="AI107" i="13"/>
  <c r="AL107" i="13" s="1"/>
  <c r="AH107" i="13"/>
  <c r="AG107" i="13"/>
  <c r="AK107" i="13" s="1"/>
  <c r="AF107" i="13"/>
  <c r="AC107" i="13"/>
  <c r="AA107" i="13"/>
  <c r="Z107" i="13"/>
  <c r="V107" i="13"/>
  <c r="S107" i="13"/>
  <c r="W107" i="13" s="1"/>
  <c r="P107" i="13"/>
  <c r="O107" i="13"/>
  <c r="N107" i="13"/>
  <c r="M107" i="13"/>
  <c r="AS106" i="13"/>
  <c r="AQ106" i="13"/>
  <c r="AP106" i="13"/>
  <c r="AO106" i="13"/>
  <c r="AR106" i="13" s="1"/>
  <c r="AN106" i="13"/>
  <c r="AM106" i="13"/>
  <c r="AH106" i="13"/>
  <c r="AG106" i="13"/>
  <c r="AK106" i="13" s="1"/>
  <c r="AF106" i="13"/>
  <c r="AJ106" i="13" s="1"/>
  <c r="AC106" i="13"/>
  <c r="AA106" i="13"/>
  <c r="Z106" i="13"/>
  <c r="V106" i="13"/>
  <c r="S106" i="13"/>
  <c r="P106" i="13"/>
  <c r="O106" i="13"/>
  <c r="N106" i="13"/>
  <c r="M106" i="13"/>
  <c r="AS105" i="13"/>
  <c r="AQ105" i="13"/>
  <c r="AP105" i="13"/>
  <c r="AO105" i="13"/>
  <c r="AN105" i="13"/>
  <c r="AM105" i="13"/>
  <c r="AK105" i="13"/>
  <c r="AH105" i="13"/>
  <c r="AG105" i="13"/>
  <c r="AF105" i="13"/>
  <c r="AC105" i="13"/>
  <c r="AD105" i="13" s="1"/>
  <c r="AA105" i="13"/>
  <c r="Z105" i="13"/>
  <c r="V105" i="13"/>
  <c r="U105" i="13"/>
  <c r="S105" i="13"/>
  <c r="W105" i="13" s="1"/>
  <c r="P105" i="13"/>
  <c r="O105" i="13"/>
  <c r="N105" i="13"/>
  <c r="M105" i="13"/>
  <c r="AS104" i="13"/>
  <c r="AQ104" i="13"/>
  <c r="AP104" i="13"/>
  <c r="AO104" i="13"/>
  <c r="AN104" i="13"/>
  <c r="AM104" i="13"/>
  <c r="AK104" i="13"/>
  <c r="AJ104" i="13"/>
  <c r="AH104" i="13"/>
  <c r="AG104" i="13"/>
  <c r="AI104" i="13" s="1"/>
  <c r="AL104" i="13" s="1"/>
  <c r="AF104" i="13"/>
  <c r="AT104" i="13" s="1"/>
  <c r="AC104" i="13"/>
  <c r="AB104" i="13"/>
  <c r="AA104" i="13"/>
  <c r="Z104" i="13"/>
  <c r="V104" i="13"/>
  <c r="S104" i="13"/>
  <c r="P104" i="13"/>
  <c r="O104" i="13"/>
  <c r="N104" i="13"/>
  <c r="M104" i="13"/>
  <c r="AT103" i="13"/>
  <c r="AS103" i="13"/>
  <c r="AQ103" i="13"/>
  <c r="AP103" i="13"/>
  <c r="AO103" i="13"/>
  <c r="AR103" i="13" s="1"/>
  <c r="AN103" i="13"/>
  <c r="AM103" i="13"/>
  <c r="AK103" i="13"/>
  <c r="AJ103" i="13"/>
  <c r="AH103" i="13"/>
  <c r="AG103" i="13"/>
  <c r="AI103" i="13" s="1"/>
  <c r="AL103" i="13" s="1"/>
  <c r="AF103" i="13"/>
  <c r="AC103" i="13"/>
  <c r="AD103" i="13" s="1"/>
  <c r="AA103" i="13"/>
  <c r="Z103" i="13"/>
  <c r="W103" i="13"/>
  <c r="V103" i="13"/>
  <c r="T103" i="13"/>
  <c r="S103" i="13"/>
  <c r="U103" i="13" s="1"/>
  <c r="P103" i="13"/>
  <c r="O103" i="13"/>
  <c r="N103" i="13"/>
  <c r="M103" i="13"/>
  <c r="AS102" i="13"/>
  <c r="AQ102" i="13"/>
  <c r="AP102" i="13"/>
  <c r="AO102" i="13"/>
  <c r="AR102" i="13" s="1"/>
  <c r="AN102" i="13"/>
  <c r="AM102" i="13"/>
  <c r="AI102" i="13"/>
  <c r="AH102" i="13"/>
  <c r="AG102" i="13"/>
  <c r="AK102" i="13" s="1"/>
  <c r="AF102" i="13"/>
  <c r="AJ102" i="13" s="1"/>
  <c r="AD102" i="13"/>
  <c r="AC102" i="13"/>
  <c r="AA102" i="13"/>
  <c r="Z102" i="13"/>
  <c r="V102" i="13"/>
  <c r="U102" i="13"/>
  <c r="S102" i="13"/>
  <c r="P102" i="13"/>
  <c r="O102" i="13"/>
  <c r="N102" i="13"/>
  <c r="M102" i="13"/>
  <c r="AS101" i="13"/>
  <c r="AQ101" i="13"/>
  <c r="AP101" i="13"/>
  <c r="AO101" i="13"/>
  <c r="AN101" i="13"/>
  <c r="AM101" i="13"/>
  <c r="AH101" i="13"/>
  <c r="AG101" i="13"/>
  <c r="AK101" i="13" s="1"/>
  <c r="AF101" i="13"/>
  <c r="AC101" i="13"/>
  <c r="AD101" i="13" s="1"/>
  <c r="AA101" i="13"/>
  <c r="Z101" i="13"/>
  <c r="V101" i="13"/>
  <c r="S101" i="13"/>
  <c r="P101" i="13"/>
  <c r="O101" i="13"/>
  <c r="N101" i="13"/>
  <c r="M101" i="13"/>
  <c r="AS100" i="13"/>
  <c r="AR100" i="13"/>
  <c r="AQ100" i="13"/>
  <c r="AP100" i="13"/>
  <c r="AO100" i="13"/>
  <c r="AN100" i="13"/>
  <c r="AM100" i="13"/>
  <c r="AK100" i="13"/>
  <c r="AJ100" i="13"/>
  <c r="AI100" i="13"/>
  <c r="AL100" i="13" s="1"/>
  <c r="AH100" i="13"/>
  <c r="AG100" i="13"/>
  <c r="AF100" i="13"/>
  <c r="AT100" i="13" s="1"/>
  <c r="AC100" i="13"/>
  <c r="AD100" i="13" s="1"/>
  <c r="AA100" i="13"/>
  <c r="Z100" i="13"/>
  <c r="V100" i="13"/>
  <c r="U100" i="13"/>
  <c r="T100" i="13"/>
  <c r="S100" i="13"/>
  <c r="Q100" i="13"/>
  <c r="AE100" i="13" s="1"/>
  <c r="P100" i="13"/>
  <c r="O100" i="13"/>
  <c r="N100" i="13"/>
  <c r="M100" i="13"/>
  <c r="AT99" i="13"/>
  <c r="AS99" i="13"/>
  <c r="AQ99" i="13"/>
  <c r="AR99" i="13" s="1"/>
  <c r="AP99" i="13"/>
  <c r="AO99" i="13"/>
  <c r="AN99" i="13"/>
  <c r="AM99" i="13"/>
  <c r="AK99" i="13"/>
  <c r="AJ99" i="13"/>
  <c r="AI99" i="13"/>
  <c r="AL99" i="13" s="1"/>
  <c r="AH99" i="13"/>
  <c r="AG99" i="13"/>
  <c r="AF99" i="13"/>
  <c r="AC99" i="13"/>
  <c r="AA99" i="13"/>
  <c r="Z99" i="13"/>
  <c r="W99" i="13"/>
  <c r="V99" i="13"/>
  <c r="U99" i="13"/>
  <c r="T99" i="13"/>
  <c r="S99" i="13"/>
  <c r="P99" i="13"/>
  <c r="O99" i="13"/>
  <c r="N99" i="13"/>
  <c r="M99" i="13"/>
  <c r="AT98" i="13"/>
  <c r="AS98" i="13"/>
  <c r="AQ98" i="13"/>
  <c r="AP98" i="13"/>
  <c r="AO98" i="13"/>
  <c r="AR98" i="13" s="1"/>
  <c r="AN98" i="13"/>
  <c r="AM98" i="13"/>
  <c r="AH98" i="13"/>
  <c r="AG98" i="13"/>
  <c r="AF98" i="13"/>
  <c r="AJ98" i="13" s="1"/>
  <c r="AC98" i="13"/>
  <c r="AA98" i="13"/>
  <c r="Z98" i="13"/>
  <c r="V98" i="13"/>
  <c r="S98" i="13"/>
  <c r="P98" i="13"/>
  <c r="O98" i="13"/>
  <c r="N98" i="13"/>
  <c r="M98" i="13"/>
  <c r="AT97" i="13"/>
  <c r="AS97" i="13"/>
  <c r="AQ97" i="13"/>
  <c r="AP97" i="13"/>
  <c r="AO97" i="13"/>
  <c r="AN97" i="13"/>
  <c r="AM97" i="13"/>
  <c r="AH97" i="13"/>
  <c r="AG97" i="13"/>
  <c r="AK97" i="13" s="1"/>
  <c r="AF97" i="13"/>
  <c r="AC97" i="13"/>
  <c r="AA97" i="13"/>
  <c r="Z97" i="13"/>
  <c r="W97" i="13"/>
  <c r="V97" i="13"/>
  <c r="U97" i="13"/>
  <c r="S97" i="13"/>
  <c r="P97" i="13"/>
  <c r="O97" i="13"/>
  <c r="N97" i="13"/>
  <c r="M97" i="13"/>
  <c r="AS96" i="13"/>
  <c r="AQ96" i="13"/>
  <c r="AP96" i="13"/>
  <c r="AR96" i="13" s="1"/>
  <c r="AO96" i="13"/>
  <c r="AN96" i="13"/>
  <c r="AM96" i="13"/>
  <c r="AK96" i="13"/>
  <c r="AJ96" i="13"/>
  <c r="AH96" i="13"/>
  <c r="AG96" i="13"/>
  <c r="AI96" i="13" s="1"/>
  <c r="AF96" i="13"/>
  <c r="AT96" i="13" s="1"/>
  <c r="AC96" i="13"/>
  <c r="AD96" i="13" s="1"/>
  <c r="AA96" i="13"/>
  <c r="Z96" i="13"/>
  <c r="V96" i="13"/>
  <c r="S96" i="13"/>
  <c r="P96" i="13"/>
  <c r="O96" i="13"/>
  <c r="N96" i="13"/>
  <c r="M96" i="13"/>
  <c r="AT95" i="13"/>
  <c r="AS95" i="13"/>
  <c r="AR95" i="13"/>
  <c r="AQ95" i="13"/>
  <c r="AP95" i="13"/>
  <c r="AO95" i="13"/>
  <c r="AN95" i="13"/>
  <c r="AM95" i="13"/>
  <c r="AL95" i="13"/>
  <c r="AK95" i="13"/>
  <c r="AJ95" i="13"/>
  <c r="AH95" i="13"/>
  <c r="AG95" i="13"/>
  <c r="AI95" i="13" s="1"/>
  <c r="AF95" i="13"/>
  <c r="AC95" i="13"/>
  <c r="AA95" i="13"/>
  <c r="Z95" i="13"/>
  <c r="V95" i="13"/>
  <c r="U95" i="13"/>
  <c r="T95" i="13"/>
  <c r="S95" i="13"/>
  <c r="P95" i="13"/>
  <c r="O95" i="13"/>
  <c r="N95" i="13"/>
  <c r="M95" i="13"/>
  <c r="AT94" i="13"/>
  <c r="AS94" i="13"/>
  <c r="AQ94" i="13"/>
  <c r="AP94" i="13"/>
  <c r="AO94" i="13"/>
  <c r="AR94" i="13" s="1"/>
  <c r="AN94" i="13"/>
  <c r="AM94" i="13"/>
  <c r="AK94" i="13"/>
  <c r="AI94" i="13"/>
  <c r="AL94" i="13" s="1"/>
  <c r="AH94" i="13"/>
  <c r="AG94" i="13"/>
  <c r="AF94" i="13"/>
  <c r="AJ94" i="13" s="1"/>
  <c r="AC94" i="13"/>
  <c r="AD94" i="13" s="1"/>
  <c r="AA94" i="13"/>
  <c r="Z94" i="13"/>
  <c r="W94" i="13"/>
  <c r="V94" i="13"/>
  <c r="S94" i="13"/>
  <c r="P94" i="13"/>
  <c r="O94" i="13"/>
  <c r="N94" i="13"/>
  <c r="M94" i="13"/>
  <c r="AS93" i="13"/>
  <c r="AQ93" i="13"/>
  <c r="AP93" i="13"/>
  <c r="AO93" i="13"/>
  <c r="AR93" i="13" s="1"/>
  <c r="AN93" i="13"/>
  <c r="AM93" i="13"/>
  <c r="AK93" i="13"/>
  <c r="AH93" i="13"/>
  <c r="AG93" i="13"/>
  <c r="AF93" i="13"/>
  <c r="AC93" i="13"/>
  <c r="AA93" i="13"/>
  <c r="Z93" i="13"/>
  <c r="W93" i="13"/>
  <c r="V93" i="13"/>
  <c r="U93" i="13"/>
  <c r="S93" i="13"/>
  <c r="P93" i="13"/>
  <c r="O93" i="13"/>
  <c r="N93" i="13"/>
  <c r="M93" i="13"/>
  <c r="AS92" i="13"/>
  <c r="AQ92" i="13"/>
  <c r="AP92" i="13"/>
  <c r="AO92" i="13"/>
  <c r="AN92" i="13"/>
  <c r="AM92" i="13"/>
  <c r="AK92" i="13"/>
  <c r="AJ92" i="13"/>
  <c r="AH92" i="13"/>
  <c r="AG92" i="13"/>
  <c r="AI92" i="13" s="1"/>
  <c r="AF92" i="13"/>
  <c r="AT92" i="13" s="1"/>
  <c r="AC92" i="13"/>
  <c r="AA92" i="13"/>
  <c r="Z92" i="13"/>
  <c r="V92" i="13"/>
  <c r="U92" i="13"/>
  <c r="T92" i="13"/>
  <c r="S92" i="13"/>
  <c r="P92" i="13"/>
  <c r="O92" i="13"/>
  <c r="N92" i="13"/>
  <c r="M92" i="13"/>
  <c r="AT91" i="13"/>
  <c r="AS91" i="13"/>
  <c r="AQ91" i="13"/>
  <c r="AP91" i="13"/>
  <c r="AR91" i="13" s="1"/>
  <c r="AO91" i="13"/>
  <c r="AN91" i="13"/>
  <c r="AM91" i="13"/>
  <c r="AL91" i="13"/>
  <c r="AK91" i="13"/>
  <c r="AJ91" i="13"/>
  <c r="AI91" i="13"/>
  <c r="AH91" i="13"/>
  <c r="AG91" i="13"/>
  <c r="AF91" i="13"/>
  <c r="AC91" i="13"/>
  <c r="AA91" i="13"/>
  <c r="Z91" i="13"/>
  <c r="W91" i="13"/>
  <c r="V91" i="13"/>
  <c r="U91" i="13"/>
  <c r="T91" i="13"/>
  <c r="S91" i="13"/>
  <c r="P91" i="13"/>
  <c r="O91" i="13"/>
  <c r="N91" i="13"/>
  <c r="M91" i="13"/>
  <c r="AS90" i="13"/>
  <c r="AR90" i="13"/>
  <c r="AQ90" i="13"/>
  <c r="AP90" i="13"/>
  <c r="AO90" i="13"/>
  <c r="AN90" i="13"/>
  <c r="AM90" i="13"/>
  <c r="AH90" i="13"/>
  <c r="AG90" i="13"/>
  <c r="AK90" i="13" s="1"/>
  <c r="AF90" i="13"/>
  <c r="AJ90" i="13" s="1"/>
  <c r="AC90" i="13"/>
  <c r="AA90" i="13"/>
  <c r="Z90" i="13"/>
  <c r="W90" i="13"/>
  <c r="V90" i="13"/>
  <c r="U90" i="13"/>
  <c r="T90" i="13"/>
  <c r="S90" i="13"/>
  <c r="P90" i="13"/>
  <c r="O90" i="13"/>
  <c r="N90" i="13"/>
  <c r="M90" i="13"/>
  <c r="AS89" i="13"/>
  <c r="AQ89" i="13"/>
  <c r="AP89" i="13"/>
  <c r="AO89" i="13"/>
  <c r="AR89" i="13" s="1"/>
  <c r="AN89" i="13"/>
  <c r="AM89" i="13"/>
  <c r="AK89" i="13"/>
  <c r="AI89" i="13"/>
  <c r="AL89" i="13" s="1"/>
  <c r="AH89" i="13"/>
  <c r="AG89" i="13"/>
  <c r="AF89" i="13"/>
  <c r="AJ89" i="13" s="1"/>
  <c r="AC89" i="13"/>
  <c r="AA89" i="13"/>
  <c r="Z89" i="13"/>
  <c r="V89" i="13"/>
  <c r="U89" i="13"/>
  <c r="S89" i="13"/>
  <c r="P89" i="13"/>
  <c r="O89" i="13"/>
  <c r="N89" i="13"/>
  <c r="M89" i="13"/>
  <c r="AS88" i="13"/>
  <c r="AQ88" i="13"/>
  <c r="AP88" i="13"/>
  <c r="AR88" i="13" s="1"/>
  <c r="AO88" i="13"/>
  <c r="AN88" i="13"/>
  <c r="AM88" i="13"/>
  <c r="AJ88" i="13"/>
  <c r="AH88" i="13"/>
  <c r="AG88" i="13"/>
  <c r="AK88" i="13" s="1"/>
  <c r="AF88" i="13"/>
  <c r="AT88" i="13" s="1"/>
  <c r="AC88" i="13"/>
  <c r="AD88" i="13" s="1"/>
  <c r="AA88" i="13"/>
  <c r="Z88" i="13"/>
  <c r="V88" i="13"/>
  <c r="S88" i="13"/>
  <c r="P88" i="13"/>
  <c r="O88" i="13"/>
  <c r="N88" i="13"/>
  <c r="M88" i="13"/>
  <c r="AT87" i="13"/>
  <c r="AS87" i="13"/>
  <c r="AR87" i="13"/>
  <c r="AQ87" i="13"/>
  <c r="AP87" i="13"/>
  <c r="AO87" i="13"/>
  <c r="AN87" i="13"/>
  <c r="AM87" i="13"/>
  <c r="AL87" i="13"/>
  <c r="AK87" i="13"/>
  <c r="AJ87" i="13"/>
  <c r="AI87" i="13"/>
  <c r="AH87" i="13"/>
  <c r="AG87" i="13"/>
  <c r="AF87" i="13"/>
  <c r="AD87" i="13"/>
  <c r="AC87" i="13"/>
  <c r="AB87" i="13"/>
  <c r="AA87" i="13"/>
  <c r="Z87" i="13"/>
  <c r="V87" i="13"/>
  <c r="U87" i="13"/>
  <c r="T87" i="13"/>
  <c r="S87" i="13"/>
  <c r="P87" i="13"/>
  <c r="O87" i="13"/>
  <c r="N87" i="13"/>
  <c r="M87" i="13"/>
  <c r="Q87" i="13" s="1"/>
  <c r="AT86" i="13"/>
  <c r="AS86" i="13"/>
  <c r="AQ86" i="13"/>
  <c r="AR86" i="13" s="1"/>
  <c r="AP86" i="13"/>
  <c r="AO86" i="13"/>
  <c r="AN86" i="13"/>
  <c r="AM86" i="13"/>
  <c r="AK86" i="13"/>
  <c r="AI86" i="13"/>
  <c r="AL86" i="13" s="1"/>
  <c r="AH86" i="13"/>
  <c r="AG86" i="13"/>
  <c r="AF86" i="13"/>
  <c r="AJ86" i="13" s="1"/>
  <c r="AC86" i="13"/>
  <c r="AD86" i="13" s="1"/>
  <c r="AA86" i="13"/>
  <c r="Z86" i="13"/>
  <c r="V86" i="13"/>
  <c r="S86" i="13"/>
  <c r="P86" i="13"/>
  <c r="O86" i="13"/>
  <c r="N86" i="13"/>
  <c r="M86" i="13"/>
  <c r="AT85" i="13"/>
  <c r="AS85" i="13"/>
  <c r="AQ85" i="13"/>
  <c r="AP85" i="13"/>
  <c r="AO85" i="13"/>
  <c r="AN85" i="13"/>
  <c r="AM85" i="13"/>
  <c r="AL85" i="13"/>
  <c r="AK85" i="13"/>
  <c r="AI85" i="13"/>
  <c r="AH85" i="13"/>
  <c r="AG85" i="13"/>
  <c r="AF85" i="13"/>
  <c r="AJ85" i="13" s="1"/>
  <c r="AC85" i="13"/>
  <c r="AA85" i="13"/>
  <c r="Z85" i="13"/>
  <c r="V85" i="13"/>
  <c r="U85" i="13"/>
  <c r="S85" i="13"/>
  <c r="P85" i="13"/>
  <c r="O85" i="13"/>
  <c r="N85" i="13"/>
  <c r="M85" i="13"/>
  <c r="AS84" i="13"/>
  <c r="AR84" i="13"/>
  <c r="AQ84" i="13"/>
  <c r="AP84" i="13"/>
  <c r="AO84" i="13"/>
  <c r="AN84" i="13"/>
  <c r="AM84" i="13"/>
  <c r="AK84" i="13"/>
  <c r="AI84" i="13"/>
  <c r="AH84" i="13"/>
  <c r="AG84" i="13"/>
  <c r="AF84" i="13"/>
  <c r="AT84" i="13" s="1"/>
  <c r="AC84" i="13"/>
  <c r="AD84" i="13" s="1"/>
  <c r="AA84" i="13"/>
  <c r="Z84" i="13"/>
  <c r="W84" i="13"/>
  <c r="V84" i="13"/>
  <c r="S84" i="13"/>
  <c r="Q84" i="13"/>
  <c r="P84" i="13"/>
  <c r="O84" i="13"/>
  <c r="N84" i="13"/>
  <c r="M84" i="13"/>
  <c r="AT83" i="13"/>
  <c r="AS83" i="13"/>
  <c r="AQ83" i="13"/>
  <c r="AR83" i="13" s="1"/>
  <c r="AP83" i="13"/>
  <c r="AO83" i="13"/>
  <c r="AN83" i="13"/>
  <c r="AM83" i="13"/>
  <c r="AJ83" i="13"/>
  <c r="AI83" i="13"/>
  <c r="AH83" i="13"/>
  <c r="AG83" i="13"/>
  <c r="AK83" i="13" s="1"/>
  <c r="AF83" i="13"/>
  <c r="AC83" i="13"/>
  <c r="AA83" i="13"/>
  <c r="Z83" i="13"/>
  <c r="V83" i="13"/>
  <c r="T83" i="13"/>
  <c r="S83" i="13"/>
  <c r="P83" i="13"/>
  <c r="O83" i="13"/>
  <c r="N83" i="13"/>
  <c r="M83" i="13"/>
  <c r="AT82" i="13"/>
  <c r="AS82" i="13"/>
  <c r="AR82" i="13"/>
  <c r="AQ82" i="13"/>
  <c r="AP82" i="13"/>
  <c r="AO82" i="13"/>
  <c r="AN82" i="13"/>
  <c r="AM82" i="13"/>
  <c r="AL82" i="13"/>
  <c r="AK82" i="13"/>
  <c r="AJ82" i="13"/>
  <c r="AI82" i="13"/>
  <c r="AH82" i="13"/>
  <c r="AG82" i="13"/>
  <c r="AF82" i="13"/>
  <c r="AC82" i="13"/>
  <c r="AD82" i="13" s="1"/>
  <c r="AA82" i="13"/>
  <c r="Z82" i="13"/>
  <c r="W82" i="13"/>
  <c r="V82" i="13"/>
  <c r="U82" i="13"/>
  <c r="T82" i="13"/>
  <c r="S82" i="13"/>
  <c r="P82" i="13"/>
  <c r="O82" i="13"/>
  <c r="N82" i="13"/>
  <c r="M82" i="13"/>
  <c r="AT81" i="13"/>
  <c r="AS81" i="13"/>
  <c r="AQ81" i="13"/>
  <c r="AP81" i="13"/>
  <c r="AO81" i="13"/>
  <c r="AN81" i="13"/>
  <c r="AM81" i="13"/>
  <c r="AK81" i="13"/>
  <c r="AI81" i="13"/>
  <c r="AL81" i="13" s="1"/>
  <c r="AH81" i="13"/>
  <c r="AG81" i="13"/>
  <c r="AF81" i="13"/>
  <c r="AJ81" i="13" s="1"/>
  <c r="AC81" i="13"/>
  <c r="AD81" i="13" s="1"/>
  <c r="AA81" i="13"/>
  <c r="Z81" i="13"/>
  <c r="V81" i="13"/>
  <c r="S81" i="13"/>
  <c r="P81" i="13"/>
  <c r="O81" i="13"/>
  <c r="N81" i="13"/>
  <c r="M81" i="13"/>
  <c r="AS80" i="13"/>
  <c r="AR80" i="13"/>
  <c r="AQ80" i="13"/>
  <c r="AP80" i="13"/>
  <c r="AO80" i="13"/>
  <c r="AN80" i="13"/>
  <c r="AM80" i="13"/>
  <c r="AJ80" i="13"/>
  <c r="AI80" i="13"/>
  <c r="AL80" i="13" s="1"/>
  <c r="AH80" i="13"/>
  <c r="AG80" i="13"/>
  <c r="AK80" i="13" s="1"/>
  <c r="AF80" i="13"/>
  <c r="AT80" i="13" s="1"/>
  <c r="AC80" i="13"/>
  <c r="AD80" i="13" s="1"/>
  <c r="AA80" i="13"/>
  <c r="Z80" i="13"/>
  <c r="V80" i="13"/>
  <c r="S80" i="13"/>
  <c r="U80" i="13" s="1"/>
  <c r="Q80" i="13"/>
  <c r="AE80" i="13" s="1"/>
  <c r="P80" i="13"/>
  <c r="O80" i="13"/>
  <c r="N80" i="13"/>
  <c r="M80" i="13"/>
  <c r="AT79" i="13"/>
  <c r="AS79" i="13"/>
  <c r="AQ79" i="13"/>
  <c r="AR79" i="13" s="1"/>
  <c r="AP79" i="13"/>
  <c r="AO79" i="13"/>
  <c r="AN79" i="13"/>
  <c r="AM79" i="13"/>
  <c r="AK79" i="13"/>
  <c r="AJ79" i="13"/>
  <c r="AI79" i="13"/>
  <c r="AL79" i="13" s="1"/>
  <c r="AH79" i="13"/>
  <c r="AG79" i="13"/>
  <c r="AF79" i="13"/>
  <c r="AC79" i="13"/>
  <c r="AA79" i="13"/>
  <c r="Z79" i="13"/>
  <c r="W79" i="13"/>
  <c r="V79" i="13"/>
  <c r="S79" i="13"/>
  <c r="Q79" i="13"/>
  <c r="P79" i="13"/>
  <c r="O79" i="13"/>
  <c r="N79" i="13"/>
  <c r="M79" i="13"/>
  <c r="AT78" i="13"/>
  <c r="AS78" i="13"/>
  <c r="AR78" i="13"/>
  <c r="AQ78" i="13"/>
  <c r="AP78" i="13"/>
  <c r="AO78" i="13"/>
  <c r="AN78" i="13"/>
  <c r="AM78" i="13"/>
  <c r="AJ78" i="13"/>
  <c r="AH78" i="13"/>
  <c r="AG78" i="13"/>
  <c r="AI78" i="13" s="1"/>
  <c r="AL78" i="13" s="1"/>
  <c r="AF78" i="13"/>
  <c r="AC78" i="13"/>
  <c r="AA78" i="13"/>
  <c r="Z78" i="13"/>
  <c r="V78" i="13"/>
  <c r="U78" i="13"/>
  <c r="T78" i="13"/>
  <c r="S78" i="13"/>
  <c r="P78" i="13"/>
  <c r="O78" i="13"/>
  <c r="N78" i="13"/>
  <c r="M78" i="13"/>
  <c r="AT77" i="13"/>
  <c r="AS77" i="13"/>
  <c r="AQ77" i="13"/>
  <c r="AP77" i="13"/>
  <c r="AO77" i="13"/>
  <c r="AR77" i="13" s="1"/>
  <c r="AN77" i="13"/>
  <c r="AM77" i="13"/>
  <c r="AK77" i="13"/>
  <c r="AI77" i="13"/>
  <c r="AL77" i="13" s="1"/>
  <c r="AH77" i="13"/>
  <c r="AG77" i="13"/>
  <c r="AF77" i="13"/>
  <c r="AJ77" i="13" s="1"/>
  <c r="AC77" i="13"/>
  <c r="AA77" i="13"/>
  <c r="Z77" i="13"/>
  <c r="W77" i="13"/>
  <c r="V77" i="13"/>
  <c r="S77" i="13"/>
  <c r="P77" i="13"/>
  <c r="O77" i="13"/>
  <c r="N77" i="13"/>
  <c r="M77" i="13"/>
  <c r="AS76" i="13"/>
  <c r="AQ76" i="13"/>
  <c r="AP76" i="13"/>
  <c r="AO76" i="13"/>
  <c r="AR76" i="13" s="1"/>
  <c r="AN76" i="13"/>
  <c r="AM76" i="13"/>
  <c r="AI76" i="13"/>
  <c r="AL76" i="13" s="1"/>
  <c r="AH76" i="13"/>
  <c r="AG76" i="13"/>
  <c r="AK76" i="13" s="1"/>
  <c r="AF76" i="13"/>
  <c r="AC76" i="13"/>
  <c r="AD76" i="13" s="1"/>
  <c r="AA76" i="13"/>
  <c r="Z76" i="13"/>
  <c r="W76" i="13"/>
  <c r="V76" i="13"/>
  <c r="U76" i="13"/>
  <c r="S76" i="13"/>
  <c r="AB76" i="13" s="1"/>
  <c r="P76" i="13"/>
  <c r="O76" i="13"/>
  <c r="N76" i="13"/>
  <c r="M76" i="13"/>
  <c r="AT75" i="13"/>
  <c r="AS75" i="13"/>
  <c r="AQ75" i="13"/>
  <c r="AP75" i="13"/>
  <c r="AO75" i="13"/>
  <c r="AR75" i="13" s="1"/>
  <c r="AN75" i="13"/>
  <c r="AM75" i="13"/>
  <c r="AJ75" i="13"/>
  <c r="AI75" i="13"/>
  <c r="AL75" i="13" s="1"/>
  <c r="AH75" i="13"/>
  <c r="AG75" i="13"/>
  <c r="AK75" i="13" s="1"/>
  <c r="AF75" i="13"/>
  <c r="AC75" i="13"/>
  <c r="AD75" i="13" s="1"/>
  <c r="AA75" i="13"/>
  <c r="Z75" i="13"/>
  <c r="V75" i="13"/>
  <c r="S75" i="13"/>
  <c r="AB75" i="13" s="1"/>
  <c r="P75" i="13"/>
  <c r="O75" i="13"/>
  <c r="N75" i="13"/>
  <c r="M75" i="13"/>
  <c r="AS74" i="13"/>
  <c r="AQ74" i="13"/>
  <c r="AR74" i="13" s="1"/>
  <c r="AP74" i="13"/>
  <c r="AO74" i="13"/>
  <c r="AN74" i="13"/>
  <c r="AM74" i="13"/>
  <c r="AK74" i="13"/>
  <c r="AI74" i="13"/>
  <c r="AL74" i="13" s="1"/>
  <c r="AH74" i="13"/>
  <c r="AG74" i="13"/>
  <c r="AF74" i="13"/>
  <c r="AT74" i="13" s="1"/>
  <c r="AC74" i="13"/>
  <c r="AA74" i="13"/>
  <c r="Z74" i="13"/>
  <c r="V74" i="13"/>
  <c r="U74" i="13"/>
  <c r="T74" i="13"/>
  <c r="S74" i="13"/>
  <c r="W74" i="13" s="1"/>
  <c r="P74" i="13"/>
  <c r="O74" i="13"/>
  <c r="N74" i="13"/>
  <c r="M74" i="13"/>
  <c r="AT73" i="13"/>
  <c r="AS73" i="13"/>
  <c r="AQ73" i="13"/>
  <c r="AP73" i="13"/>
  <c r="AO73" i="13"/>
  <c r="AN73" i="13"/>
  <c r="AM73" i="13"/>
  <c r="AK73" i="13"/>
  <c r="AI73" i="13"/>
  <c r="AL73" i="13" s="1"/>
  <c r="AH73" i="13"/>
  <c r="AG73" i="13"/>
  <c r="AF73" i="13"/>
  <c r="AJ73" i="13" s="1"/>
  <c r="AC73" i="13"/>
  <c r="AA73" i="13"/>
  <c r="Z73" i="13"/>
  <c r="V73" i="13"/>
  <c r="S73" i="13"/>
  <c r="W73" i="13" s="1"/>
  <c r="P73" i="13"/>
  <c r="O73" i="13"/>
  <c r="N73" i="13"/>
  <c r="M73" i="13"/>
  <c r="AS72" i="13"/>
  <c r="AQ72" i="13"/>
  <c r="AP72" i="13"/>
  <c r="AO72" i="13"/>
  <c r="AN72" i="13"/>
  <c r="AM72" i="13"/>
  <c r="AK72" i="13"/>
  <c r="AH72" i="13"/>
  <c r="AG72" i="13"/>
  <c r="AF72" i="13"/>
  <c r="AC72" i="13"/>
  <c r="AA72" i="13"/>
  <c r="Z72" i="13"/>
  <c r="W72" i="13"/>
  <c r="V72" i="13"/>
  <c r="T72" i="13"/>
  <c r="S72" i="13"/>
  <c r="U72" i="13" s="1"/>
  <c r="P72" i="13"/>
  <c r="O72" i="13"/>
  <c r="N72" i="13"/>
  <c r="M72" i="13"/>
  <c r="AT71" i="13"/>
  <c r="AS71" i="13"/>
  <c r="AQ71" i="13"/>
  <c r="AP71" i="13"/>
  <c r="AO71" i="13"/>
  <c r="AR71" i="13" s="1"/>
  <c r="AN71" i="13"/>
  <c r="AM71" i="13"/>
  <c r="AJ71" i="13"/>
  <c r="AH71" i="13"/>
  <c r="AG71" i="13"/>
  <c r="AK71" i="13" s="1"/>
  <c r="AF71" i="13"/>
  <c r="AC71" i="13"/>
  <c r="AA71" i="13"/>
  <c r="Z71" i="13"/>
  <c r="W71" i="13"/>
  <c r="V71" i="13"/>
  <c r="U71" i="13"/>
  <c r="S71" i="13"/>
  <c r="P71" i="13"/>
  <c r="O71" i="13"/>
  <c r="N71" i="13"/>
  <c r="M71" i="13"/>
  <c r="AT70" i="13"/>
  <c r="AS70" i="13"/>
  <c r="AQ70" i="13"/>
  <c r="AR70" i="13" s="1"/>
  <c r="AP70" i="13"/>
  <c r="AO70" i="13"/>
  <c r="AN70" i="13"/>
  <c r="AM70" i="13"/>
  <c r="AJ70" i="13"/>
  <c r="AH70" i="13"/>
  <c r="AG70" i="13"/>
  <c r="AK70" i="13" s="1"/>
  <c r="AF70" i="13"/>
  <c r="AC70" i="13"/>
  <c r="AA70" i="13"/>
  <c r="Z70" i="13"/>
  <c r="W70" i="13"/>
  <c r="V70" i="13"/>
  <c r="S70" i="13"/>
  <c r="T70" i="13" s="1"/>
  <c r="Q70" i="13"/>
  <c r="AE70" i="13" s="1"/>
  <c r="P70" i="13"/>
  <c r="O70" i="13"/>
  <c r="N70" i="13"/>
  <c r="M70" i="13"/>
  <c r="AS69" i="13"/>
  <c r="AQ69" i="13"/>
  <c r="AP69" i="13"/>
  <c r="AO69" i="13"/>
  <c r="AR69" i="13" s="1"/>
  <c r="AN69" i="13"/>
  <c r="AM69" i="13"/>
  <c r="AH69" i="13"/>
  <c r="AG69" i="13"/>
  <c r="AK69" i="13" s="1"/>
  <c r="AF69" i="13"/>
  <c r="AC69" i="13"/>
  <c r="AA69" i="13"/>
  <c r="Z69" i="13"/>
  <c r="W69" i="13"/>
  <c r="V69" i="13"/>
  <c r="U69" i="13"/>
  <c r="S69" i="13"/>
  <c r="Q69" i="13"/>
  <c r="P69" i="13"/>
  <c r="O69" i="13"/>
  <c r="N69" i="13"/>
  <c r="M69" i="13"/>
  <c r="AS68" i="13"/>
  <c r="AQ68" i="13"/>
  <c r="AP68" i="13"/>
  <c r="AO68" i="13"/>
  <c r="AR68" i="13" s="1"/>
  <c r="AN68" i="13"/>
  <c r="AM68" i="13"/>
  <c r="AJ68" i="13"/>
  <c r="AH68" i="13"/>
  <c r="AG68" i="13"/>
  <c r="AK68" i="13" s="1"/>
  <c r="AF68" i="13"/>
  <c r="AC68" i="13"/>
  <c r="AD68" i="13" s="1"/>
  <c r="AA68" i="13"/>
  <c r="Z68" i="13"/>
  <c r="V68" i="13"/>
  <c r="S68" i="13"/>
  <c r="P68" i="13"/>
  <c r="O68" i="13"/>
  <c r="N68" i="13"/>
  <c r="M68" i="13"/>
  <c r="AT67" i="13"/>
  <c r="AS67" i="13"/>
  <c r="AQ67" i="13"/>
  <c r="AP67" i="13"/>
  <c r="AO67" i="13"/>
  <c r="AR67" i="13" s="1"/>
  <c r="AN67" i="13"/>
  <c r="AM67" i="13"/>
  <c r="AK67" i="13"/>
  <c r="AJ67" i="13"/>
  <c r="AH67" i="13"/>
  <c r="AG67" i="13"/>
  <c r="AI67" i="13" s="1"/>
  <c r="AL67" i="13" s="1"/>
  <c r="AF67" i="13"/>
  <c r="AE67" i="13"/>
  <c r="AC67" i="13"/>
  <c r="AD67" i="13" s="1"/>
  <c r="AA67" i="13"/>
  <c r="Z67" i="13"/>
  <c r="W67" i="13"/>
  <c r="V67" i="13"/>
  <c r="T67" i="13"/>
  <c r="S67" i="13"/>
  <c r="U67" i="13" s="1"/>
  <c r="Q67" i="13"/>
  <c r="P67" i="13"/>
  <c r="O67" i="13"/>
  <c r="N67" i="13"/>
  <c r="M67" i="13"/>
  <c r="Q144" i="13" s="1"/>
  <c r="AT66" i="13"/>
  <c r="AS66" i="13"/>
  <c r="AQ66" i="13"/>
  <c r="AP66" i="13"/>
  <c r="AO66" i="13"/>
  <c r="AN66" i="13"/>
  <c r="AM66" i="13"/>
  <c r="AH66" i="13"/>
  <c r="AG66" i="13"/>
  <c r="AK66" i="13" s="1"/>
  <c r="AF66" i="13"/>
  <c r="AJ66" i="13" s="1"/>
  <c r="AC66" i="13"/>
  <c r="AA66" i="13"/>
  <c r="Z66" i="13"/>
  <c r="V66" i="13"/>
  <c r="S66" i="13"/>
  <c r="P66" i="13"/>
  <c r="O66" i="13"/>
  <c r="N66" i="13"/>
  <c r="M66" i="13"/>
  <c r="AS65" i="13"/>
  <c r="AQ65" i="13"/>
  <c r="AP65" i="13"/>
  <c r="AO65" i="13"/>
  <c r="AN65" i="13"/>
  <c r="AM65" i="13"/>
  <c r="AH65" i="13"/>
  <c r="AG65" i="13"/>
  <c r="AK65" i="13" s="1"/>
  <c r="AF65" i="13"/>
  <c r="AC65" i="13"/>
  <c r="AD65" i="13" s="1"/>
  <c r="AA65" i="13"/>
  <c r="Z65" i="13"/>
  <c r="W65" i="13"/>
  <c r="V65" i="13"/>
  <c r="S65" i="13"/>
  <c r="P65" i="13"/>
  <c r="O65" i="13"/>
  <c r="N65" i="13"/>
  <c r="M65" i="13"/>
  <c r="AS64" i="13"/>
  <c r="AR64" i="13"/>
  <c r="AQ64" i="13"/>
  <c r="AP64" i="13"/>
  <c r="AO64" i="13"/>
  <c r="AN64" i="13"/>
  <c r="AM64" i="13"/>
  <c r="AK64" i="13"/>
  <c r="AI64" i="13"/>
  <c r="AL64" i="13" s="1"/>
  <c r="AH64" i="13"/>
  <c r="AG64" i="13"/>
  <c r="AF64" i="13"/>
  <c r="AC64" i="13"/>
  <c r="AD64" i="13" s="1"/>
  <c r="AB64" i="13"/>
  <c r="AA64" i="13"/>
  <c r="Z64" i="13"/>
  <c r="W64" i="13"/>
  <c r="V64" i="13"/>
  <c r="U64" i="13"/>
  <c r="T64" i="13"/>
  <c r="S64" i="13"/>
  <c r="P64" i="13"/>
  <c r="O64" i="13"/>
  <c r="N64" i="13"/>
  <c r="M64" i="13"/>
  <c r="Q64" i="13" s="1"/>
  <c r="AT63" i="13"/>
  <c r="C16" i="20" s="1"/>
  <c r="AS63" i="13"/>
  <c r="AR63" i="13"/>
  <c r="AQ63" i="13"/>
  <c r="AP63" i="13"/>
  <c r="AO63" i="13"/>
  <c r="AN63" i="13"/>
  <c r="AM63" i="13"/>
  <c r="AJ63" i="13"/>
  <c r="AH63" i="13"/>
  <c r="I16" i="20" s="1"/>
  <c r="AG63" i="13"/>
  <c r="AF63" i="13"/>
  <c r="AC63" i="13"/>
  <c r="AA63" i="13"/>
  <c r="Z63" i="13"/>
  <c r="V63" i="13"/>
  <c r="S63" i="13"/>
  <c r="AB63" i="13" s="1"/>
  <c r="AD63" i="13" s="1"/>
  <c r="P63" i="13"/>
  <c r="O63" i="13"/>
  <c r="N63" i="13"/>
  <c r="M63" i="13"/>
  <c r="AS62" i="13"/>
  <c r="AQ62" i="13"/>
  <c r="AP62" i="13"/>
  <c r="AO62" i="13"/>
  <c r="AR62" i="13" s="1"/>
  <c r="AN62" i="13"/>
  <c r="AM62" i="13"/>
  <c r="AK62" i="13"/>
  <c r="AH62" i="13"/>
  <c r="I15" i="20" s="1"/>
  <c r="AG62" i="13"/>
  <c r="AF62" i="13"/>
  <c r="AE62" i="13"/>
  <c r="AC62" i="13"/>
  <c r="AA62" i="13"/>
  <c r="Z62" i="13"/>
  <c r="W62" i="13"/>
  <c r="V62" i="13"/>
  <c r="U62" i="13"/>
  <c r="T62" i="13"/>
  <c r="S62" i="13"/>
  <c r="AB175" i="13" s="1"/>
  <c r="Q62" i="13"/>
  <c r="P62" i="13"/>
  <c r="O62" i="13"/>
  <c r="N62" i="13"/>
  <c r="M62" i="13"/>
  <c r="AT61" i="13"/>
  <c r="AS61" i="13"/>
  <c r="AQ61" i="13"/>
  <c r="AP61" i="13"/>
  <c r="AO61" i="13"/>
  <c r="AR61" i="13" s="1"/>
  <c r="AN61" i="13"/>
  <c r="AM61" i="13"/>
  <c r="AH61" i="13"/>
  <c r="AG61" i="13"/>
  <c r="AK61" i="13" s="1"/>
  <c r="AF61" i="13"/>
  <c r="AD61" i="13"/>
  <c r="AC61" i="13"/>
  <c r="AA61" i="13"/>
  <c r="Z61" i="13"/>
  <c r="W61" i="13"/>
  <c r="V61" i="13"/>
  <c r="U61" i="13"/>
  <c r="S61" i="13"/>
  <c r="P61" i="13"/>
  <c r="O61" i="13"/>
  <c r="N61" i="13"/>
  <c r="M61" i="13"/>
  <c r="Q81" i="13" s="1"/>
  <c r="AS60" i="13"/>
  <c r="AQ60" i="13"/>
  <c r="AP60" i="13"/>
  <c r="AR60" i="13" s="1"/>
  <c r="AO60" i="13"/>
  <c r="AN60" i="13"/>
  <c r="AM60" i="13"/>
  <c r="AK60" i="13"/>
  <c r="AJ60" i="13"/>
  <c r="AH60" i="13"/>
  <c r="AG60" i="13"/>
  <c r="AI60" i="13" s="1"/>
  <c r="AF60" i="13"/>
  <c r="AT60" i="13" s="1"/>
  <c r="AC60" i="13"/>
  <c r="AB60" i="13"/>
  <c r="AA60" i="13"/>
  <c r="Z60" i="13"/>
  <c r="V60" i="13"/>
  <c r="U60" i="13"/>
  <c r="T60" i="13"/>
  <c r="S60" i="13"/>
  <c r="Q60" i="13"/>
  <c r="AE60" i="13" s="1"/>
  <c r="P60" i="13"/>
  <c r="O60" i="13"/>
  <c r="N60" i="13"/>
  <c r="M60" i="13"/>
  <c r="AT59" i="13"/>
  <c r="AS59" i="13"/>
  <c r="AQ59" i="13"/>
  <c r="AP59" i="13"/>
  <c r="AO59" i="13"/>
  <c r="AR59" i="13" s="1"/>
  <c r="AN59" i="13"/>
  <c r="AM59" i="13"/>
  <c r="AL59" i="13"/>
  <c r="AK59" i="13"/>
  <c r="AJ59" i="13"/>
  <c r="AI59" i="13"/>
  <c r="AH59" i="13"/>
  <c r="AG59" i="13"/>
  <c r="AF59" i="13"/>
  <c r="AC59" i="13"/>
  <c r="AD59" i="13" s="1"/>
  <c r="AA59" i="13"/>
  <c r="Z59" i="13"/>
  <c r="W59" i="13"/>
  <c r="V59" i="13"/>
  <c r="U59" i="13"/>
  <c r="T59" i="13"/>
  <c r="S59" i="13"/>
  <c r="P59" i="13"/>
  <c r="O59" i="13"/>
  <c r="N59" i="13"/>
  <c r="M59" i="13"/>
  <c r="AT58" i="13"/>
  <c r="AS58" i="13"/>
  <c r="AR58" i="13"/>
  <c r="AQ58" i="13"/>
  <c r="AP58" i="13"/>
  <c r="AO58" i="13"/>
  <c r="AN58" i="13"/>
  <c r="AM58" i="13"/>
  <c r="AJ58" i="13"/>
  <c r="AH58" i="13"/>
  <c r="AG58" i="13"/>
  <c r="AK58" i="13" s="1"/>
  <c r="AF58" i="13"/>
  <c r="AD58" i="13"/>
  <c r="AC58" i="13"/>
  <c r="AA58" i="13"/>
  <c r="Z58" i="13"/>
  <c r="W58" i="13"/>
  <c r="V58" i="13"/>
  <c r="U58" i="13"/>
  <c r="T58" i="13"/>
  <c r="S58" i="13"/>
  <c r="P58" i="13"/>
  <c r="O58" i="13"/>
  <c r="N58" i="13"/>
  <c r="M58" i="13"/>
  <c r="AS57" i="13"/>
  <c r="AQ57" i="13"/>
  <c r="AP57" i="13"/>
  <c r="AO57" i="13"/>
  <c r="AR57" i="13" s="1"/>
  <c r="AN57" i="13"/>
  <c r="AM57" i="13"/>
  <c r="AK57" i="13"/>
  <c r="AH57" i="13"/>
  <c r="AG57" i="13"/>
  <c r="AF57" i="13"/>
  <c r="AD57" i="13"/>
  <c r="AC57" i="13"/>
  <c r="AA57" i="13"/>
  <c r="Z57" i="13"/>
  <c r="W57" i="13"/>
  <c r="V57" i="13"/>
  <c r="U57" i="13"/>
  <c r="S57" i="13"/>
  <c r="Q57" i="13"/>
  <c r="P57" i="13"/>
  <c r="O57" i="13"/>
  <c r="N57" i="13"/>
  <c r="M57" i="13"/>
  <c r="AE57" i="13" s="1"/>
  <c r="AS56" i="13"/>
  <c r="AQ56" i="13"/>
  <c r="AP56" i="13"/>
  <c r="AR56" i="13" s="1"/>
  <c r="AO56" i="13"/>
  <c r="AN56" i="13"/>
  <c r="AM56" i="13"/>
  <c r="AJ56" i="13"/>
  <c r="AH56" i="13"/>
  <c r="AG56" i="13"/>
  <c r="AK56" i="13" s="1"/>
  <c r="AF56" i="13"/>
  <c r="AT56" i="13" s="1"/>
  <c r="AC56" i="13"/>
  <c r="AD56" i="13" s="1"/>
  <c r="AB56" i="13"/>
  <c r="AA56" i="13"/>
  <c r="Z56" i="13"/>
  <c r="V56" i="13"/>
  <c r="U56" i="13"/>
  <c r="T56" i="13"/>
  <c r="S56" i="13"/>
  <c r="W56" i="13" s="1"/>
  <c r="P56" i="13"/>
  <c r="O56" i="13"/>
  <c r="N56" i="13"/>
  <c r="M56" i="13"/>
  <c r="AT55" i="13"/>
  <c r="AS55" i="13"/>
  <c r="AQ55" i="13"/>
  <c r="AP55" i="13"/>
  <c r="AR55" i="13" s="1"/>
  <c r="AO55" i="13"/>
  <c r="AN55" i="13"/>
  <c r="AM55" i="13"/>
  <c r="AL55" i="13"/>
  <c r="AK55" i="13"/>
  <c r="AJ55" i="13"/>
  <c r="AI55" i="13"/>
  <c r="AH55" i="13"/>
  <c r="AG55" i="13"/>
  <c r="AF55" i="13"/>
  <c r="AD55" i="13"/>
  <c r="AC55" i="13"/>
  <c r="AA55" i="13"/>
  <c r="Z55" i="13"/>
  <c r="V55" i="13"/>
  <c r="S55" i="13"/>
  <c r="AB55" i="13" s="1"/>
  <c r="P55" i="13"/>
  <c r="O55" i="13"/>
  <c r="N55" i="13"/>
  <c r="M55" i="13"/>
  <c r="AS54" i="13"/>
  <c r="AR54" i="13"/>
  <c r="AQ54" i="13"/>
  <c r="AP54" i="13"/>
  <c r="AO54" i="13"/>
  <c r="AN54" i="13"/>
  <c r="AM54" i="13"/>
  <c r="AK54" i="13"/>
  <c r="AH54" i="13"/>
  <c r="AG54" i="13"/>
  <c r="AF54" i="13"/>
  <c r="AT54" i="13" s="1"/>
  <c r="C25" i="20" s="1"/>
  <c r="AC54" i="13"/>
  <c r="AA54" i="13"/>
  <c r="Z54" i="13"/>
  <c r="W54" i="13"/>
  <c r="V54" i="13"/>
  <c r="T54" i="13"/>
  <c r="S54" i="13"/>
  <c r="P54" i="13"/>
  <c r="O54" i="13"/>
  <c r="N54" i="13"/>
  <c r="M54" i="13"/>
  <c r="AT53" i="13"/>
  <c r="AS53" i="13"/>
  <c r="AQ53" i="13"/>
  <c r="AP53" i="13"/>
  <c r="AO53" i="13"/>
  <c r="AN53" i="13"/>
  <c r="AM53" i="13"/>
  <c r="AL53" i="13"/>
  <c r="AK53" i="13"/>
  <c r="AI53" i="13"/>
  <c r="AH53" i="13"/>
  <c r="AG53" i="13"/>
  <c r="AF53" i="13"/>
  <c r="AJ53" i="13" s="1"/>
  <c r="AC53" i="13"/>
  <c r="AD53" i="13" s="1"/>
  <c r="AA53" i="13"/>
  <c r="Z53" i="13"/>
  <c r="V53" i="13"/>
  <c r="S53" i="13"/>
  <c r="U53" i="13" s="1"/>
  <c r="Q53" i="13"/>
  <c r="AE53" i="13" s="1"/>
  <c r="P53" i="13"/>
  <c r="O53" i="13"/>
  <c r="N53" i="13"/>
  <c r="M53" i="13"/>
  <c r="Q164" i="13" s="1"/>
  <c r="AS52" i="13"/>
  <c r="AQ52" i="13"/>
  <c r="AP52" i="13"/>
  <c r="AO52" i="13"/>
  <c r="AR52" i="13" s="1"/>
  <c r="AN52" i="13"/>
  <c r="AM52" i="13"/>
  <c r="AH52" i="13"/>
  <c r="AG52" i="13"/>
  <c r="AK52" i="13" s="1"/>
  <c r="AF52" i="13"/>
  <c r="AT52" i="13" s="1"/>
  <c r="AC52" i="13"/>
  <c r="AD52" i="13" s="1"/>
  <c r="AA52" i="13"/>
  <c r="Z52" i="13"/>
  <c r="W52" i="13"/>
  <c r="V52" i="13"/>
  <c r="S52" i="13"/>
  <c r="U52" i="13" s="1"/>
  <c r="Q52" i="13"/>
  <c r="P52" i="13"/>
  <c r="O52" i="13"/>
  <c r="N52" i="13"/>
  <c r="M52" i="13"/>
  <c r="AE52" i="13" s="1"/>
  <c r="AT51" i="13"/>
  <c r="AS51" i="13"/>
  <c r="AR51" i="13"/>
  <c r="AQ51" i="13"/>
  <c r="AP51" i="13"/>
  <c r="AO51" i="13"/>
  <c r="AN51" i="13"/>
  <c r="AM51" i="13"/>
  <c r="AK51" i="13"/>
  <c r="AJ51" i="13"/>
  <c r="AH51" i="13"/>
  <c r="AG51" i="13"/>
  <c r="AI51" i="13" s="1"/>
  <c r="AL51" i="13" s="1"/>
  <c r="AF51" i="13"/>
  <c r="AC51" i="13"/>
  <c r="AD51" i="13" s="1"/>
  <c r="AA51" i="13"/>
  <c r="Z51" i="13"/>
  <c r="V51" i="13"/>
  <c r="S51" i="13"/>
  <c r="AB51" i="13" s="1"/>
  <c r="P51" i="13"/>
  <c r="O51" i="13"/>
  <c r="N51" i="13"/>
  <c r="M51" i="13"/>
  <c r="Q51" i="13" s="1"/>
  <c r="AS50" i="13"/>
  <c r="AR50" i="13"/>
  <c r="AQ50" i="13"/>
  <c r="AP50" i="13"/>
  <c r="AO50" i="13"/>
  <c r="AN50" i="13"/>
  <c r="AM50" i="13"/>
  <c r="AK50" i="13"/>
  <c r="AH50" i="13"/>
  <c r="AG50" i="13"/>
  <c r="AF50" i="13"/>
  <c r="AT50" i="13" s="1"/>
  <c r="AC50" i="13"/>
  <c r="AD50" i="13" s="1"/>
  <c r="AA50" i="13"/>
  <c r="Z50" i="13"/>
  <c r="W50" i="13"/>
  <c r="V50" i="13"/>
  <c r="T50" i="13"/>
  <c r="S50" i="13"/>
  <c r="P50" i="13"/>
  <c r="O50" i="13"/>
  <c r="N50" i="13"/>
  <c r="M50" i="13"/>
  <c r="Q50" i="13" s="1"/>
  <c r="AT49" i="13"/>
  <c r="AS49" i="13"/>
  <c r="AQ49" i="13"/>
  <c r="AP49" i="13"/>
  <c r="AO49" i="13"/>
  <c r="AN49" i="13"/>
  <c r="AM49" i="13"/>
  <c r="AK49" i="13"/>
  <c r="AI49" i="13"/>
  <c r="AL49" i="13" s="1"/>
  <c r="AH49" i="13"/>
  <c r="AG49" i="13"/>
  <c r="AF49" i="13"/>
  <c r="AJ49" i="13" s="1"/>
  <c r="AD49" i="13"/>
  <c r="AC49" i="13"/>
  <c r="AA49" i="13"/>
  <c r="Z49" i="13"/>
  <c r="V49" i="13"/>
  <c r="S49" i="13"/>
  <c r="P49" i="13"/>
  <c r="O49" i="13"/>
  <c r="N49" i="13"/>
  <c r="M49" i="13"/>
  <c r="Q49" i="13" s="1"/>
  <c r="AE49" i="13" s="1"/>
  <c r="AS48" i="13"/>
  <c r="AQ48" i="13"/>
  <c r="AP48" i="13"/>
  <c r="AO48" i="13"/>
  <c r="AR48" i="13" s="1"/>
  <c r="AN48" i="13"/>
  <c r="AM48" i="13"/>
  <c r="AK48" i="13"/>
  <c r="AH48" i="13"/>
  <c r="AG48" i="13"/>
  <c r="AF48" i="13"/>
  <c r="AT48" i="13" s="1"/>
  <c r="AC48" i="13"/>
  <c r="AD48" i="13" s="1"/>
  <c r="AB48" i="13"/>
  <c r="AA48" i="13"/>
  <c r="Z48" i="13"/>
  <c r="W48" i="13"/>
  <c r="V48" i="13"/>
  <c r="T48" i="13"/>
  <c r="S48" i="13"/>
  <c r="Q48" i="13"/>
  <c r="AE48" i="13" s="1"/>
  <c r="P48" i="13"/>
  <c r="O48" i="13"/>
  <c r="N48" i="13"/>
  <c r="M48" i="13"/>
  <c r="AT47" i="13"/>
  <c r="AS47" i="13"/>
  <c r="AQ47" i="13"/>
  <c r="AP47" i="13"/>
  <c r="AO47" i="13"/>
  <c r="AR47" i="13" s="1"/>
  <c r="AN47" i="13"/>
  <c r="AM47" i="13"/>
  <c r="AJ47" i="13"/>
  <c r="AH47" i="13"/>
  <c r="AG47" i="13"/>
  <c r="AK47" i="13" s="1"/>
  <c r="AF47" i="13"/>
  <c r="AD47" i="13"/>
  <c r="AC47" i="13"/>
  <c r="AA47" i="13"/>
  <c r="Z47" i="13"/>
  <c r="V47" i="13"/>
  <c r="S47" i="13"/>
  <c r="W47" i="13" s="1"/>
  <c r="P47" i="13"/>
  <c r="O47" i="13"/>
  <c r="N47" i="13"/>
  <c r="M47" i="13"/>
  <c r="AT46" i="13"/>
  <c r="AS46" i="13"/>
  <c r="AR46" i="13"/>
  <c r="AQ46" i="13"/>
  <c r="AP46" i="13"/>
  <c r="AO46" i="13"/>
  <c r="AN46" i="13"/>
  <c r="AM46" i="13"/>
  <c r="AK46" i="13"/>
  <c r="AJ46" i="13"/>
  <c r="AH46" i="13"/>
  <c r="AG46" i="13"/>
  <c r="AI46" i="13" s="1"/>
  <c r="AL46" i="13" s="1"/>
  <c r="AF46" i="13"/>
  <c r="AC46" i="13"/>
  <c r="AD46" i="13" s="1"/>
  <c r="AB46" i="13"/>
  <c r="AA46" i="13"/>
  <c r="Z46" i="13"/>
  <c r="W46" i="13"/>
  <c r="V46" i="13"/>
  <c r="U46" i="13"/>
  <c r="T46" i="13"/>
  <c r="S46" i="13"/>
  <c r="Q46" i="13"/>
  <c r="P46" i="13"/>
  <c r="O46" i="13"/>
  <c r="N46" i="13"/>
  <c r="M46" i="13"/>
  <c r="AE46" i="13" s="1"/>
  <c r="AT45" i="13"/>
  <c r="AS45" i="13"/>
  <c r="AQ45" i="13"/>
  <c r="AP45" i="13"/>
  <c r="AO45" i="13"/>
  <c r="AN45" i="13"/>
  <c r="AM45" i="13"/>
  <c r="AH45" i="13"/>
  <c r="AG45" i="13"/>
  <c r="AK45" i="13" s="1"/>
  <c r="AF45" i="13"/>
  <c r="AJ45" i="13" s="1"/>
  <c r="AC45" i="13"/>
  <c r="AD45" i="13" s="1"/>
  <c r="AA45" i="13"/>
  <c r="Z45" i="13"/>
  <c r="V45" i="13"/>
  <c r="S45" i="13"/>
  <c r="W45" i="13" s="1"/>
  <c r="Q45" i="13"/>
  <c r="P45" i="13"/>
  <c r="O45" i="13"/>
  <c r="N45" i="13"/>
  <c r="M45" i="13"/>
  <c r="AE45" i="13" s="1"/>
  <c r="AS44" i="13"/>
  <c r="AQ44" i="13"/>
  <c r="AP44" i="13"/>
  <c r="AR44" i="13" s="1"/>
  <c r="AO44" i="13"/>
  <c r="AN44" i="13"/>
  <c r="AM44" i="13"/>
  <c r="AJ44" i="13"/>
  <c r="AH44" i="13"/>
  <c r="AG44" i="13"/>
  <c r="AI44" i="13" s="1"/>
  <c r="AF44" i="13"/>
  <c r="AT44" i="13" s="1"/>
  <c r="AE44" i="13"/>
  <c r="AC44" i="13"/>
  <c r="AD44" i="13" s="1"/>
  <c r="AA44" i="13"/>
  <c r="Z44" i="13"/>
  <c r="V44" i="13"/>
  <c r="U44" i="13"/>
  <c r="S44" i="13"/>
  <c r="W44" i="13" s="1"/>
  <c r="Q44" i="13"/>
  <c r="P44" i="13"/>
  <c r="O44" i="13"/>
  <c r="N44" i="13"/>
  <c r="M44" i="13"/>
  <c r="AT43" i="13"/>
  <c r="C11" i="20" s="1"/>
  <c r="AS43" i="13"/>
  <c r="AQ43" i="13"/>
  <c r="AP43" i="13"/>
  <c r="AR43" i="13" s="1"/>
  <c r="AO43" i="13"/>
  <c r="AN43" i="13"/>
  <c r="AM43" i="13"/>
  <c r="AK43" i="13"/>
  <c r="AJ43" i="13"/>
  <c r="AI43" i="13"/>
  <c r="AL43" i="13" s="1"/>
  <c r="AH43" i="13"/>
  <c r="I11" i="20" s="1"/>
  <c r="AG43" i="13"/>
  <c r="AF43" i="13"/>
  <c r="AC43" i="13"/>
  <c r="AA43" i="13"/>
  <c r="Z43" i="13"/>
  <c r="W43" i="13"/>
  <c r="V43" i="13"/>
  <c r="S43" i="13"/>
  <c r="AB79" i="13" s="1"/>
  <c r="Q43" i="13"/>
  <c r="AE43" i="13" s="1"/>
  <c r="P43" i="13"/>
  <c r="O43" i="13"/>
  <c r="N43" i="13"/>
  <c r="M43" i="13"/>
  <c r="AS42" i="13"/>
  <c r="AR42" i="13"/>
  <c r="AQ42" i="13"/>
  <c r="AP42" i="13"/>
  <c r="AO42" i="13"/>
  <c r="AN42" i="13"/>
  <c r="AM42" i="13"/>
  <c r="AJ42" i="13"/>
  <c r="AH42" i="13"/>
  <c r="AG42" i="13"/>
  <c r="AK42" i="13" s="1"/>
  <c r="AF42" i="13"/>
  <c r="AT42" i="13" s="1"/>
  <c r="AC42" i="13"/>
  <c r="AD42" i="13" s="1"/>
  <c r="AB42" i="13"/>
  <c r="AA42" i="13"/>
  <c r="Z42" i="13"/>
  <c r="V42" i="13"/>
  <c r="T42" i="13"/>
  <c r="S42" i="13"/>
  <c r="U42" i="13" s="1"/>
  <c r="P42" i="13"/>
  <c r="O42" i="13"/>
  <c r="N42" i="13"/>
  <c r="M42" i="13"/>
  <c r="Q42" i="13" s="1"/>
  <c r="AS41" i="13"/>
  <c r="AQ41" i="13"/>
  <c r="AP41" i="13"/>
  <c r="AO41" i="13"/>
  <c r="AR41" i="13" s="1"/>
  <c r="AN41" i="13"/>
  <c r="AM41" i="13"/>
  <c r="AK41" i="13"/>
  <c r="AI41" i="13"/>
  <c r="AL41" i="13" s="1"/>
  <c r="AH41" i="13"/>
  <c r="AG41" i="13"/>
  <c r="AF41" i="13"/>
  <c r="AJ41" i="13" s="1"/>
  <c r="AC41" i="13"/>
  <c r="AA41" i="13"/>
  <c r="Z41" i="13"/>
  <c r="W41" i="13"/>
  <c r="V41" i="13"/>
  <c r="S41" i="13"/>
  <c r="Q41" i="13"/>
  <c r="P41" i="13"/>
  <c r="O41" i="13"/>
  <c r="N41" i="13"/>
  <c r="M41" i="13"/>
  <c r="Q108" i="13" s="1"/>
  <c r="AE108" i="13" s="1"/>
  <c r="AS40" i="13"/>
  <c r="AQ40" i="13"/>
  <c r="AP40" i="13"/>
  <c r="AO40" i="13"/>
  <c r="AN40" i="13"/>
  <c r="AM40" i="13"/>
  <c r="AH40" i="13"/>
  <c r="I24" i="20" s="1"/>
  <c r="AG40" i="13"/>
  <c r="AK40" i="13" s="1"/>
  <c r="AF40" i="13"/>
  <c r="AT40" i="13" s="1"/>
  <c r="C24" i="20" s="1"/>
  <c r="AC40" i="13"/>
  <c r="AD40" i="13" s="1"/>
  <c r="AB40" i="13"/>
  <c r="AA40" i="13"/>
  <c r="Z40" i="13"/>
  <c r="W40" i="13"/>
  <c r="V40" i="13"/>
  <c r="U40" i="13"/>
  <c r="T40" i="13"/>
  <c r="S40" i="13"/>
  <c r="P40" i="13"/>
  <c r="O40" i="13"/>
  <c r="N40" i="13"/>
  <c r="M40" i="13"/>
  <c r="AT39" i="13"/>
  <c r="AS39" i="13"/>
  <c r="AQ39" i="13"/>
  <c r="AP39" i="13"/>
  <c r="AO39" i="13"/>
  <c r="AN39" i="13"/>
  <c r="AM39" i="13"/>
  <c r="AJ39" i="13"/>
  <c r="AH39" i="13"/>
  <c r="AG39" i="13"/>
  <c r="AI39" i="13" s="1"/>
  <c r="AL39" i="13" s="1"/>
  <c r="AF39" i="13"/>
  <c r="AD39" i="13"/>
  <c r="AC39" i="13"/>
  <c r="AA39" i="13"/>
  <c r="Z39" i="13"/>
  <c r="V39" i="13"/>
  <c r="U39" i="13"/>
  <c r="S39" i="13"/>
  <c r="W39" i="13" s="1"/>
  <c r="Q39" i="13"/>
  <c r="AE39" i="13" s="1"/>
  <c r="P39" i="13"/>
  <c r="O39" i="13"/>
  <c r="N39" i="13"/>
  <c r="M39" i="13"/>
  <c r="AS38" i="13"/>
  <c r="AQ38" i="13"/>
  <c r="AR38" i="13" s="1"/>
  <c r="AP38" i="13"/>
  <c r="AO38" i="13"/>
  <c r="AN38" i="13"/>
  <c r="AM38" i="13"/>
  <c r="AK38" i="13"/>
  <c r="AH38" i="13"/>
  <c r="AG38" i="13"/>
  <c r="AF38" i="13"/>
  <c r="AC38" i="13"/>
  <c r="AA38" i="13"/>
  <c r="Z38" i="13"/>
  <c r="V38" i="13"/>
  <c r="S38" i="13"/>
  <c r="Q38" i="13"/>
  <c r="AE38" i="13" s="1"/>
  <c r="P38" i="13"/>
  <c r="O38" i="13"/>
  <c r="N38" i="13"/>
  <c r="M38" i="13"/>
  <c r="AT37" i="13"/>
  <c r="AS37" i="13"/>
  <c r="AQ37" i="13"/>
  <c r="AP37" i="13"/>
  <c r="AO37" i="13"/>
  <c r="AN37" i="13"/>
  <c r="AM37" i="13"/>
  <c r="AH37" i="13"/>
  <c r="AG37" i="13"/>
  <c r="AI37" i="13" s="1"/>
  <c r="AL37" i="13" s="1"/>
  <c r="AF37" i="13"/>
  <c r="AJ37" i="13" s="1"/>
  <c r="AD37" i="13"/>
  <c r="AC37" i="13"/>
  <c r="AA37" i="13"/>
  <c r="Z37" i="13"/>
  <c r="W37" i="13"/>
  <c r="V37" i="13"/>
  <c r="U37" i="13"/>
  <c r="S37" i="13"/>
  <c r="P37" i="13"/>
  <c r="O37" i="13"/>
  <c r="N37" i="13"/>
  <c r="M37" i="13"/>
  <c r="AS36" i="13"/>
  <c r="AQ36" i="13"/>
  <c r="AP36" i="13"/>
  <c r="AO36" i="13"/>
  <c r="AR36" i="13" s="1"/>
  <c r="AN36" i="13"/>
  <c r="AM36" i="13"/>
  <c r="AK36" i="13"/>
  <c r="AH36" i="13"/>
  <c r="AG36" i="13"/>
  <c r="AF36" i="13"/>
  <c r="AC36" i="13"/>
  <c r="AD36" i="13" s="1"/>
  <c r="AB36" i="13"/>
  <c r="AA36" i="13"/>
  <c r="Z36" i="13"/>
  <c r="W36" i="13"/>
  <c r="V36" i="13"/>
  <c r="T36" i="13"/>
  <c r="S36" i="13"/>
  <c r="Q36" i="13"/>
  <c r="AE36" i="13" s="1"/>
  <c r="P36" i="13"/>
  <c r="O36" i="13"/>
  <c r="N36" i="13"/>
  <c r="M36" i="13"/>
  <c r="AT35" i="13"/>
  <c r="AS35" i="13"/>
  <c r="AQ35" i="13"/>
  <c r="AP35" i="13"/>
  <c r="AO35" i="13"/>
  <c r="AR35" i="13" s="1"/>
  <c r="AN35" i="13"/>
  <c r="AM35" i="13"/>
  <c r="AJ35" i="13"/>
  <c r="AH35" i="13"/>
  <c r="AG35" i="13"/>
  <c r="AF35" i="13"/>
  <c r="AD35" i="13"/>
  <c r="AC35" i="13"/>
  <c r="AA35" i="13"/>
  <c r="Z35" i="13"/>
  <c r="W35" i="13"/>
  <c r="V35" i="13"/>
  <c r="U35" i="13"/>
  <c r="T35" i="13"/>
  <c r="S35" i="13"/>
  <c r="P35" i="13"/>
  <c r="O35" i="13"/>
  <c r="N35" i="13"/>
  <c r="M35" i="13"/>
  <c r="AT34" i="13"/>
  <c r="C13" i="20" s="1"/>
  <c r="AS34" i="13"/>
  <c r="AQ34" i="13"/>
  <c r="AP34" i="13"/>
  <c r="AO34" i="13"/>
  <c r="AR34" i="13" s="1"/>
  <c r="AN34" i="13"/>
  <c r="AM34" i="13"/>
  <c r="AJ34" i="13"/>
  <c r="AH34" i="13"/>
  <c r="I13" i="20" s="1"/>
  <c r="AG34" i="13"/>
  <c r="AI34" i="13" s="1"/>
  <c r="AF34" i="13"/>
  <c r="AD34" i="13"/>
  <c r="AC34" i="13"/>
  <c r="AB34" i="13"/>
  <c r="AA34" i="13"/>
  <c r="Z34" i="13"/>
  <c r="W34" i="13"/>
  <c r="V34" i="13"/>
  <c r="T34" i="13"/>
  <c r="S34" i="13"/>
  <c r="Q34" i="13"/>
  <c r="AE34" i="13" s="1"/>
  <c r="P34" i="13"/>
  <c r="O34" i="13"/>
  <c r="N34" i="13"/>
  <c r="M34" i="13"/>
  <c r="Q115" i="13" s="1"/>
  <c r="AS33" i="13"/>
  <c r="AQ33" i="13"/>
  <c r="AP33" i="13"/>
  <c r="AO33" i="13"/>
  <c r="AN33" i="13"/>
  <c r="AM33" i="13"/>
  <c r="AH33" i="13"/>
  <c r="AG33" i="13"/>
  <c r="AF33" i="13"/>
  <c r="AJ33" i="13" s="1"/>
  <c r="AD33" i="13"/>
  <c r="AC33" i="13"/>
  <c r="AA33" i="13"/>
  <c r="Z33" i="13"/>
  <c r="V33" i="13"/>
  <c r="U33" i="13"/>
  <c r="S33" i="13"/>
  <c r="Q33" i="13"/>
  <c r="P33" i="13"/>
  <c r="O33" i="13"/>
  <c r="N33" i="13"/>
  <c r="M33" i="13"/>
  <c r="AE33" i="13" s="1"/>
  <c r="AS32" i="13"/>
  <c r="AR32" i="13"/>
  <c r="AQ32" i="13"/>
  <c r="AP32" i="13"/>
  <c r="AO32" i="13"/>
  <c r="AN32" i="13"/>
  <c r="AM32" i="13"/>
  <c r="AJ32" i="13"/>
  <c r="AI32" i="13"/>
  <c r="AH32" i="13"/>
  <c r="AG32" i="13"/>
  <c r="AK32" i="13" s="1"/>
  <c r="AF32" i="13"/>
  <c r="AT32" i="13" s="1"/>
  <c r="AC32" i="13"/>
  <c r="AD32" i="13" s="1"/>
  <c r="AA32" i="13"/>
  <c r="Z32" i="13"/>
  <c r="V32" i="13"/>
  <c r="S32" i="13"/>
  <c r="R32" i="13"/>
  <c r="P32" i="13"/>
  <c r="O32" i="13"/>
  <c r="N32" i="13"/>
  <c r="M32" i="13"/>
  <c r="Q82" i="13" s="1"/>
  <c r="AT31" i="13"/>
  <c r="AS31" i="13"/>
  <c r="AR31" i="13"/>
  <c r="AQ31" i="13"/>
  <c r="AP31" i="13"/>
  <c r="AO31" i="13"/>
  <c r="AN31" i="13"/>
  <c r="AM31" i="13"/>
  <c r="AK31" i="13"/>
  <c r="AJ31" i="13"/>
  <c r="AH31" i="13"/>
  <c r="AG31" i="13"/>
  <c r="AI31" i="13" s="1"/>
  <c r="AF31" i="13"/>
  <c r="AC31" i="13"/>
  <c r="AA31" i="13"/>
  <c r="Z31" i="13"/>
  <c r="W31" i="13"/>
  <c r="V31" i="13"/>
  <c r="T31" i="13"/>
  <c r="S31" i="13"/>
  <c r="Q31" i="13"/>
  <c r="AE31" i="13" s="1"/>
  <c r="P31" i="13"/>
  <c r="O31" i="13"/>
  <c r="N31" i="13"/>
  <c r="M31" i="13"/>
  <c r="Q116" i="13" s="1"/>
  <c r="AT30" i="13"/>
  <c r="AS30" i="13"/>
  <c r="AQ30" i="13"/>
  <c r="AP30" i="13"/>
  <c r="AO30" i="13"/>
  <c r="AR30" i="13" s="1"/>
  <c r="AN30" i="13"/>
  <c r="AM30" i="13"/>
  <c r="AH30" i="13"/>
  <c r="AG30" i="13"/>
  <c r="AF30" i="13"/>
  <c r="AJ30" i="13" s="1"/>
  <c r="AD30" i="13"/>
  <c r="AC30" i="13"/>
  <c r="AA30" i="13"/>
  <c r="Z30" i="13"/>
  <c r="V30" i="13"/>
  <c r="U30" i="13"/>
  <c r="S30" i="13"/>
  <c r="P30" i="13"/>
  <c r="O30" i="13"/>
  <c r="N30" i="13"/>
  <c r="M30" i="13"/>
  <c r="AS29" i="13"/>
  <c r="AQ29" i="13"/>
  <c r="AP29" i="13"/>
  <c r="AO29" i="13"/>
  <c r="AR29" i="13" s="1"/>
  <c r="AN29" i="13"/>
  <c r="AM29" i="13"/>
  <c r="AK29" i="13"/>
  <c r="AH29" i="13"/>
  <c r="AG29" i="13"/>
  <c r="AF29" i="13"/>
  <c r="AC29" i="13"/>
  <c r="AA29" i="13"/>
  <c r="Z29" i="13"/>
  <c r="V29" i="13"/>
  <c r="S29" i="13"/>
  <c r="W29" i="13" s="1"/>
  <c r="P29" i="13"/>
  <c r="O29" i="13"/>
  <c r="N29" i="13"/>
  <c r="M29" i="13"/>
  <c r="Q29" i="13" s="1"/>
  <c r="AS28" i="13"/>
  <c r="AR28" i="13"/>
  <c r="AQ28" i="13"/>
  <c r="AP28" i="13"/>
  <c r="AO28" i="13"/>
  <c r="AN28" i="13"/>
  <c r="AM28" i="13"/>
  <c r="AK28" i="13"/>
  <c r="AI28" i="13"/>
  <c r="AH28" i="13"/>
  <c r="AG28" i="13"/>
  <c r="AF28" i="13"/>
  <c r="AT28" i="13" s="1"/>
  <c r="AC28" i="13"/>
  <c r="AD28" i="13" s="1"/>
  <c r="AB28" i="13"/>
  <c r="AA28" i="13"/>
  <c r="Z28" i="13"/>
  <c r="W28" i="13"/>
  <c r="V28" i="13"/>
  <c r="U28" i="13"/>
  <c r="T28" i="13"/>
  <c r="S28" i="13"/>
  <c r="P28" i="13"/>
  <c r="O28" i="13"/>
  <c r="N28" i="13"/>
  <c r="M28" i="13"/>
  <c r="AT27" i="13"/>
  <c r="AS27" i="13"/>
  <c r="AR27" i="13"/>
  <c r="AQ27" i="13"/>
  <c r="AP27" i="13"/>
  <c r="AO27" i="13"/>
  <c r="AN27" i="13"/>
  <c r="AM27" i="13"/>
  <c r="AJ27" i="13"/>
  <c r="AI27" i="13"/>
  <c r="AH27" i="13"/>
  <c r="AG27" i="13"/>
  <c r="AK27" i="13" s="1"/>
  <c r="AF27" i="13"/>
  <c r="AE27" i="13"/>
  <c r="AD27" i="13"/>
  <c r="AC27" i="13"/>
  <c r="AB27" i="13"/>
  <c r="AA27" i="13"/>
  <c r="Z27" i="13"/>
  <c r="W27" i="13"/>
  <c r="V27" i="13"/>
  <c r="T27" i="13"/>
  <c r="S27" i="13"/>
  <c r="Q27" i="13"/>
  <c r="P27" i="13"/>
  <c r="O27" i="13"/>
  <c r="N27" i="13"/>
  <c r="M27" i="13"/>
  <c r="AT26" i="13"/>
  <c r="AS26" i="13"/>
  <c r="AQ26" i="13"/>
  <c r="AP26" i="13"/>
  <c r="AO26" i="13"/>
  <c r="AR26" i="13" s="1"/>
  <c r="AN26" i="13"/>
  <c r="AM26" i="13"/>
  <c r="AH26" i="13"/>
  <c r="AG26" i="13"/>
  <c r="AF26" i="13"/>
  <c r="AJ26" i="13" s="1"/>
  <c r="AC26" i="13"/>
  <c r="AA26" i="13"/>
  <c r="Z26" i="13"/>
  <c r="V26" i="13"/>
  <c r="U26" i="13"/>
  <c r="S26" i="13"/>
  <c r="Q26" i="13"/>
  <c r="P26" i="13"/>
  <c r="O26" i="13"/>
  <c r="N26" i="13"/>
  <c r="D14" i="6" s="1"/>
  <c r="M26" i="13"/>
  <c r="AS25" i="13"/>
  <c r="AQ25" i="13"/>
  <c r="AP25" i="13"/>
  <c r="AR25" i="13" s="1"/>
  <c r="AO25" i="13"/>
  <c r="AN25" i="13"/>
  <c r="AM25" i="13"/>
  <c r="AK25" i="13"/>
  <c r="AH25" i="13"/>
  <c r="AG25" i="13"/>
  <c r="AF25" i="13"/>
  <c r="AC25" i="13"/>
  <c r="AD25" i="13" s="1"/>
  <c r="AA25" i="13"/>
  <c r="Z25" i="13"/>
  <c r="W25" i="13"/>
  <c r="V25" i="13"/>
  <c r="U25" i="13"/>
  <c r="S25" i="13"/>
  <c r="P25" i="13"/>
  <c r="O25" i="13"/>
  <c r="N25" i="13"/>
  <c r="M25" i="13"/>
  <c r="AT24" i="13"/>
  <c r="AS24" i="13"/>
  <c r="AQ24" i="13"/>
  <c r="AP24" i="13"/>
  <c r="AO24" i="13"/>
  <c r="AR24" i="13" s="1"/>
  <c r="AN24" i="13"/>
  <c r="AM24" i="13"/>
  <c r="AJ24" i="13"/>
  <c r="AH24" i="13"/>
  <c r="AG24" i="13"/>
  <c r="AI24" i="13" s="1"/>
  <c r="AF24" i="13"/>
  <c r="AC24" i="13"/>
  <c r="AD24" i="13" s="1"/>
  <c r="AB24" i="13"/>
  <c r="AA24" i="13"/>
  <c r="Z24" i="13"/>
  <c r="W24" i="13"/>
  <c r="V24" i="13"/>
  <c r="U24" i="13"/>
  <c r="T24" i="13"/>
  <c r="S24" i="13"/>
  <c r="P24" i="13"/>
  <c r="O24" i="13"/>
  <c r="N24" i="13"/>
  <c r="M24" i="13"/>
  <c r="Q24" i="13" s="1"/>
  <c r="AT23" i="13"/>
  <c r="C21" i="20" s="1"/>
  <c r="AS23" i="13"/>
  <c r="AQ23" i="13"/>
  <c r="AP23" i="13"/>
  <c r="AO23" i="13"/>
  <c r="AR23" i="13" s="1"/>
  <c r="AN23" i="13"/>
  <c r="AM23" i="13"/>
  <c r="AJ23" i="13"/>
  <c r="AH23" i="13"/>
  <c r="AG23" i="13"/>
  <c r="AK23" i="13" s="1"/>
  <c r="AF23" i="13"/>
  <c r="AC23" i="13"/>
  <c r="AB23" i="13"/>
  <c r="AD23" i="13" s="1"/>
  <c r="AA23" i="13"/>
  <c r="Z23" i="13"/>
  <c r="W23" i="13"/>
  <c r="V23" i="13"/>
  <c r="T23" i="13"/>
  <c r="S23" i="13"/>
  <c r="Q23" i="13"/>
  <c r="AE23" i="13" s="1"/>
  <c r="P23" i="13"/>
  <c r="O23" i="13"/>
  <c r="N23" i="13"/>
  <c r="M23" i="13"/>
  <c r="Q92" i="13" s="1"/>
  <c r="AT22" i="13"/>
  <c r="AS22" i="13"/>
  <c r="AQ22" i="13"/>
  <c r="AP22" i="13"/>
  <c r="AO22" i="13"/>
  <c r="AR22" i="13" s="1"/>
  <c r="AN22" i="13"/>
  <c r="AM22" i="13"/>
  <c r="AH22" i="13"/>
  <c r="AG22" i="13"/>
  <c r="AK22" i="13" s="1"/>
  <c r="AF22" i="13"/>
  <c r="AJ22" i="13" s="1"/>
  <c r="AC22" i="13"/>
  <c r="AD22" i="13" s="1"/>
  <c r="AA22" i="13"/>
  <c r="Z22" i="13"/>
  <c r="V22" i="13"/>
  <c r="U22" i="13"/>
  <c r="S22" i="13"/>
  <c r="P22" i="13"/>
  <c r="O22" i="13"/>
  <c r="N22" i="13"/>
  <c r="M22" i="13"/>
  <c r="AS21" i="13"/>
  <c r="AQ21" i="13"/>
  <c r="AP21" i="13"/>
  <c r="AO21" i="13"/>
  <c r="AN21" i="13"/>
  <c r="AM21" i="13"/>
  <c r="AK21" i="13"/>
  <c r="AI21" i="13"/>
  <c r="AH21" i="13"/>
  <c r="AG21" i="13"/>
  <c r="AF21" i="13"/>
  <c r="AC21" i="13"/>
  <c r="AD21" i="13" s="1"/>
  <c r="AA21" i="13"/>
  <c r="Z21" i="13"/>
  <c r="W21" i="13"/>
  <c r="V21" i="13"/>
  <c r="U21" i="13"/>
  <c r="S21" i="13"/>
  <c r="P21" i="13"/>
  <c r="O21" i="13"/>
  <c r="N21" i="13"/>
  <c r="M21" i="13"/>
  <c r="AT20" i="13"/>
  <c r="AS20" i="13"/>
  <c r="B216" i="8" s="1"/>
  <c r="AQ20" i="13"/>
  <c r="AP20" i="13"/>
  <c r="AO20" i="13"/>
  <c r="AR20" i="13" s="1"/>
  <c r="AN20" i="13"/>
  <c r="AM20" i="13"/>
  <c r="AK20" i="13"/>
  <c r="AJ20" i="13"/>
  <c r="AH20" i="13"/>
  <c r="AG20" i="13"/>
  <c r="AI20" i="13" s="1"/>
  <c r="AL20" i="13" s="1"/>
  <c r="AF20" i="13"/>
  <c r="AC20" i="13"/>
  <c r="AD20" i="13" s="1"/>
  <c r="AB20" i="13"/>
  <c r="AA20" i="13"/>
  <c r="Z20" i="13"/>
  <c r="W20" i="13"/>
  <c r="V20" i="13"/>
  <c r="U20" i="13"/>
  <c r="T20" i="13"/>
  <c r="S20" i="13"/>
  <c r="P20" i="13"/>
  <c r="O20" i="13"/>
  <c r="N20" i="13"/>
  <c r="M20" i="13"/>
  <c r="AT19" i="13"/>
  <c r="C30" i="20" s="1"/>
  <c r="AS19" i="13"/>
  <c r="AR19" i="13"/>
  <c r="AQ19" i="13"/>
  <c r="AP19" i="13"/>
  <c r="AO19" i="13"/>
  <c r="AN19" i="13"/>
  <c r="AM19" i="13"/>
  <c r="AJ19" i="13"/>
  <c r="AH19" i="13"/>
  <c r="AG19" i="13"/>
  <c r="AK19" i="13" s="1"/>
  <c r="AF19" i="13"/>
  <c r="AC19" i="13"/>
  <c r="AB19" i="13"/>
  <c r="AD19" i="13" s="1"/>
  <c r="AA19" i="13"/>
  <c r="Z19" i="13"/>
  <c r="W19" i="13"/>
  <c r="V19" i="13"/>
  <c r="T19" i="13"/>
  <c r="S19" i="13"/>
  <c r="Q19" i="13"/>
  <c r="AE19" i="13" s="1"/>
  <c r="P19" i="13"/>
  <c r="O19" i="13"/>
  <c r="N19" i="13"/>
  <c r="M19" i="13"/>
  <c r="AT18" i="13"/>
  <c r="AS18" i="13"/>
  <c r="AQ18" i="13"/>
  <c r="AP18" i="13"/>
  <c r="AO18" i="13"/>
  <c r="AR18" i="13" s="1"/>
  <c r="AN18" i="13"/>
  <c r="AM18" i="13"/>
  <c r="AK18" i="13"/>
  <c r="AH18" i="13"/>
  <c r="AG18" i="13"/>
  <c r="AI18" i="13" s="1"/>
  <c r="AL18" i="13" s="1"/>
  <c r="AF18" i="13"/>
  <c r="AJ18" i="13" s="1"/>
  <c r="AC18" i="13"/>
  <c r="AD18" i="13" s="1"/>
  <c r="AA18" i="13"/>
  <c r="Z18" i="13"/>
  <c r="V18" i="13"/>
  <c r="S18" i="13"/>
  <c r="P18" i="13"/>
  <c r="O18" i="13"/>
  <c r="N18" i="13"/>
  <c r="D10" i="6" s="1"/>
  <c r="M18" i="13"/>
  <c r="Q18" i="13" s="1"/>
  <c r="AS17" i="13"/>
  <c r="AQ17" i="13"/>
  <c r="AP17" i="13"/>
  <c r="AR17" i="13" s="1"/>
  <c r="AO17" i="13"/>
  <c r="AN17" i="13"/>
  <c r="AM17" i="13"/>
  <c r="AK17" i="13"/>
  <c r="AH17" i="13"/>
  <c r="AG17" i="13"/>
  <c r="AF17" i="13"/>
  <c r="AC17" i="13"/>
  <c r="AD17" i="13" s="1"/>
  <c r="AA17" i="13"/>
  <c r="Z17" i="13"/>
  <c r="V17" i="13"/>
  <c r="U17" i="13"/>
  <c r="S17" i="13"/>
  <c r="P17" i="13"/>
  <c r="O17" i="13"/>
  <c r="N17" i="13"/>
  <c r="M17" i="13"/>
  <c r="AT16" i="13"/>
  <c r="AS16" i="13"/>
  <c r="AQ16" i="13"/>
  <c r="AP16" i="13"/>
  <c r="AO16" i="13"/>
  <c r="AR16" i="13" s="1"/>
  <c r="AN16" i="13"/>
  <c r="AM16" i="13"/>
  <c r="AJ16" i="13"/>
  <c r="AH16" i="13"/>
  <c r="AG16" i="13"/>
  <c r="AI16" i="13" s="1"/>
  <c r="AL16" i="13" s="1"/>
  <c r="AF16" i="13"/>
  <c r="AC16" i="13"/>
  <c r="AD16" i="13" s="1"/>
  <c r="AB16" i="13"/>
  <c r="AA16" i="13"/>
  <c r="Z16" i="13"/>
  <c r="W16" i="13"/>
  <c r="V16" i="13"/>
  <c r="U16" i="13"/>
  <c r="T16" i="13"/>
  <c r="S16" i="13"/>
  <c r="P16" i="13"/>
  <c r="O16" i="13"/>
  <c r="N16" i="13"/>
  <c r="M16" i="13"/>
  <c r="Q59" i="13" s="1"/>
  <c r="AT15" i="13"/>
  <c r="AS15" i="13"/>
  <c r="AQ15" i="13"/>
  <c r="AP15" i="13"/>
  <c r="AO15" i="13"/>
  <c r="AR15" i="13" s="1"/>
  <c r="AN15" i="13"/>
  <c r="AM15" i="13"/>
  <c r="AJ15" i="13"/>
  <c r="AH15" i="13"/>
  <c r="AG15" i="13"/>
  <c r="AK15" i="13" s="1"/>
  <c r="AF15" i="13"/>
  <c r="AD15" i="13"/>
  <c r="AC15" i="13"/>
  <c r="AB15" i="13"/>
  <c r="AA15" i="13"/>
  <c r="Z15" i="13"/>
  <c r="W15" i="13"/>
  <c r="V15" i="13"/>
  <c r="T15" i="13"/>
  <c r="S15" i="13"/>
  <c r="Q15" i="13"/>
  <c r="AE15" i="13" s="1"/>
  <c r="P15" i="13"/>
  <c r="O15" i="13"/>
  <c r="N15" i="13"/>
  <c r="M15" i="13"/>
  <c r="AS14" i="13"/>
  <c r="AQ14" i="13"/>
  <c r="AP14" i="13"/>
  <c r="AO14" i="13"/>
  <c r="AR14" i="13" s="1"/>
  <c r="AN14" i="13"/>
  <c r="AM14" i="13"/>
  <c r="AH14" i="13"/>
  <c r="I18" i="20" s="1"/>
  <c r="AG14" i="13"/>
  <c r="AK14" i="13" s="1"/>
  <c r="AF14" i="13"/>
  <c r="AJ14" i="13" s="1"/>
  <c r="AC14" i="13"/>
  <c r="AA14" i="13"/>
  <c r="Z14" i="13"/>
  <c r="V14" i="13"/>
  <c r="U14" i="13"/>
  <c r="S14" i="13"/>
  <c r="Q14" i="13"/>
  <c r="P14" i="13"/>
  <c r="O14" i="13"/>
  <c r="N14" i="13"/>
  <c r="M14" i="13"/>
  <c r="AS13" i="13"/>
  <c r="AQ13" i="13"/>
  <c r="AP13" i="13"/>
  <c r="AO13" i="13"/>
  <c r="AN13" i="13"/>
  <c r="AM13" i="13"/>
  <c r="AK13" i="13"/>
  <c r="AI13" i="13"/>
  <c r="AH13" i="13"/>
  <c r="AG13" i="13"/>
  <c r="AF13" i="13"/>
  <c r="AC13" i="13"/>
  <c r="AA13" i="13"/>
  <c r="Z13" i="13"/>
  <c r="W13" i="13"/>
  <c r="V13" i="13"/>
  <c r="S13" i="13"/>
  <c r="X13" i="13" s="1"/>
  <c r="Y13" i="13" s="1"/>
  <c r="P13" i="13"/>
  <c r="O13" i="13"/>
  <c r="N13" i="13"/>
  <c r="M13" i="13"/>
  <c r="AT12" i="13"/>
  <c r="AS12" i="13"/>
  <c r="AQ12" i="13"/>
  <c r="AP12" i="13"/>
  <c r="AO12" i="13"/>
  <c r="AR12" i="13" s="1"/>
  <c r="AN12" i="13"/>
  <c r="AM12" i="13"/>
  <c r="AJ12" i="13"/>
  <c r="AH12" i="13"/>
  <c r="AG12" i="13"/>
  <c r="AI12" i="13" s="1"/>
  <c r="AL12" i="13" s="1"/>
  <c r="AF12" i="13"/>
  <c r="AC12" i="13"/>
  <c r="AB12" i="13"/>
  <c r="AA12" i="13"/>
  <c r="Z12" i="13"/>
  <c r="W12" i="13"/>
  <c r="V12" i="13"/>
  <c r="U12" i="13"/>
  <c r="T12" i="13"/>
  <c r="S12" i="13"/>
  <c r="AB90" i="13" s="1"/>
  <c r="AD90" i="13" s="1"/>
  <c r="P12" i="13"/>
  <c r="O12" i="13"/>
  <c r="N12" i="13"/>
  <c r="M12" i="13"/>
  <c r="AT11" i="13"/>
  <c r="AS11" i="13"/>
  <c r="AQ11" i="13"/>
  <c r="AP11" i="13"/>
  <c r="AO11" i="13"/>
  <c r="AR11" i="13" s="1"/>
  <c r="AN11" i="13"/>
  <c r="AM11" i="13"/>
  <c r="AJ11" i="13"/>
  <c r="AH11" i="13"/>
  <c r="AG11" i="13"/>
  <c r="AK11" i="13" s="1"/>
  <c r="AF11" i="13"/>
  <c r="AD11" i="13"/>
  <c r="AC11" i="13"/>
  <c r="AB11" i="13"/>
  <c r="AA11" i="13"/>
  <c r="Z11" i="13"/>
  <c r="W11" i="13"/>
  <c r="V11" i="13"/>
  <c r="T11" i="13"/>
  <c r="S11" i="13"/>
  <c r="Q11" i="13"/>
  <c r="AE11" i="13" s="1"/>
  <c r="P11" i="13"/>
  <c r="O11" i="13"/>
  <c r="N11" i="13"/>
  <c r="M11" i="13"/>
  <c r="Q101" i="13" s="1"/>
  <c r="AS10" i="13"/>
  <c r="AQ10" i="13"/>
  <c r="AP10" i="13"/>
  <c r="AO10" i="13"/>
  <c r="AN10" i="13"/>
  <c r="AM10" i="13"/>
  <c r="AH10" i="13"/>
  <c r="I19" i="20" s="1"/>
  <c r="AG10" i="13"/>
  <c r="AK10" i="13" s="1"/>
  <c r="AF10" i="13"/>
  <c r="AJ10" i="13" s="1"/>
  <c r="AC10" i="13"/>
  <c r="AA10" i="13"/>
  <c r="B62" i="6" s="1"/>
  <c r="Z10" i="13"/>
  <c r="V10" i="13"/>
  <c r="C62" i="5" s="1"/>
  <c r="U10" i="13"/>
  <c r="S10" i="13"/>
  <c r="Q10" i="13"/>
  <c r="P10" i="13"/>
  <c r="O10" i="13"/>
  <c r="N10" i="13"/>
  <c r="M10" i="13"/>
  <c r="AS9" i="13"/>
  <c r="AQ9" i="13"/>
  <c r="AP9" i="13"/>
  <c r="AO9" i="13"/>
  <c r="AN9" i="13"/>
  <c r="C107" i="7" s="1"/>
  <c r="AM9" i="13"/>
  <c r="AK9" i="13"/>
  <c r="AI9" i="13"/>
  <c r="AL9" i="13" s="1"/>
  <c r="AH9" i="13"/>
  <c r="AG9" i="13"/>
  <c r="AF9" i="13"/>
  <c r="AC9" i="13"/>
  <c r="AD9" i="13" s="1"/>
  <c r="AA9" i="13"/>
  <c r="Z9" i="13"/>
  <c r="W9" i="13"/>
  <c r="V9" i="13"/>
  <c r="S9" i="13"/>
  <c r="X9" i="13" s="1"/>
  <c r="Y9" i="13" s="1"/>
  <c r="P9" i="13"/>
  <c r="O9" i="13"/>
  <c r="N9" i="13"/>
  <c r="M9" i="13"/>
  <c r="Q9" i="13" s="1"/>
  <c r="AT8" i="13"/>
  <c r="AS8" i="13"/>
  <c r="AQ8" i="13"/>
  <c r="AP8" i="13"/>
  <c r="AO8" i="13"/>
  <c r="AR8" i="13" s="1"/>
  <c r="AN8" i="13"/>
  <c r="AM8" i="13"/>
  <c r="AJ8" i="13"/>
  <c r="AH8" i="13"/>
  <c r="AG8" i="13"/>
  <c r="AI8" i="13" s="1"/>
  <c r="AF8" i="13"/>
  <c r="AC8" i="13"/>
  <c r="AB8" i="13"/>
  <c r="AA8" i="13"/>
  <c r="Z8" i="13"/>
  <c r="W8" i="13"/>
  <c r="V8" i="13"/>
  <c r="U8" i="13"/>
  <c r="T8" i="13"/>
  <c r="S8" i="13"/>
  <c r="AB83" i="13" s="1"/>
  <c r="P8" i="13"/>
  <c r="O8" i="13"/>
  <c r="N8" i="13"/>
  <c r="M8" i="13"/>
  <c r="R20" i="13" s="1"/>
  <c r="AS7" i="13"/>
  <c r="AQ7" i="13"/>
  <c r="AP7" i="13"/>
  <c r="AO7" i="13"/>
  <c r="AR7" i="13" s="1"/>
  <c r="AN7" i="13"/>
  <c r="AM7" i="13"/>
  <c r="AJ7" i="13"/>
  <c r="AH7" i="13"/>
  <c r="AG7" i="13"/>
  <c r="AK7" i="13" s="1"/>
  <c r="AF7" i="13"/>
  <c r="AI7" i="13" s="1"/>
  <c r="AL7" i="13" s="1"/>
  <c r="AC7" i="13"/>
  <c r="AA7" i="13"/>
  <c r="D59" i="6" s="1"/>
  <c r="Z7" i="13"/>
  <c r="V7" i="13"/>
  <c r="S7" i="13"/>
  <c r="T7" i="13" s="1"/>
  <c r="Q7" i="13"/>
  <c r="AE7" i="13" s="1"/>
  <c r="P7" i="13"/>
  <c r="O7" i="13"/>
  <c r="N7" i="13"/>
  <c r="M7" i="13"/>
  <c r="AT6" i="13"/>
  <c r="AS6" i="13"/>
  <c r="AQ6" i="13"/>
  <c r="AP6" i="13"/>
  <c r="AO6" i="13"/>
  <c r="AN6" i="13"/>
  <c r="AM6" i="13"/>
  <c r="AK6" i="13"/>
  <c r="AI6" i="13"/>
  <c r="AH6" i="13"/>
  <c r="C10" i="18" s="1"/>
  <c r="B16" i="18" s="1"/>
  <c r="AG6" i="13"/>
  <c r="AF6" i="13"/>
  <c r="AJ6" i="13" s="1"/>
  <c r="AC6" i="13"/>
  <c r="AD6" i="13" s="1"/>
  <c r="AA6" i="13"/>
  <c r="Z6" i="13"/>
  <c r="B34" i="6" s="1"/>
  <c r="X6" i="13"/>
  <c r="Y6" i="13" s="1"/>
  <c r="V6" i="13"/>
  <c r="S6" i="13"/>
  <c r="P6" i="13"/>
  <c r="O6" i="13"/>
  <c r="N6" i="13"/>
  <c r="D12" i="6" s="1"/>
  <c r="M6" i="13"/>
  <c r="Q6" i="13" s="1"/>
  <c r="AS5" i="13"/>
  <c r="AQ5" i="13"/>
  <c r="AR5" i="13" s="1"/>
  <c r="AP5" i="13"/>
  <c r="AO5" i="13"/>
  <c r="AN5" i="13"/>
  <c r="AM5" i="13"/>
  <c r="AK5" i="13"/>
  <c r="AH5" i="13"/>
  <c r="B9" i="18" s="1"/>
  <c r="AG5" i="13"/>
  <c r="AF5" i="13"/>
  <c r="AT5" i="13" s="1"/>
  <c r="AC5" i="13"/>
  <c r="AD5" i="13" s="1"/>
  <c r="AA5" i="13"/>
  <c r="Z5" i="13"/>
  <c r="B36" i="6" s="1"/>
  <c r="V5" i="13"/>
  <c r="U5" i="13"/>
  <c r="T5" i="13"/>
  <c r="S5" i="13"/>
  <c r="G166" i="5" s="1"/>
  <c r="P5" i="13"/>
  <c r="O5" i="13"/>
  <c r="N5" i="13"/>
  <c r="E4" i="16" s="1"/>
  <c r="M5" i="13"/>
  <c r="D15" i="11"/>
  <c r="D16" i="11" s="1"/>
  <c r="D14" i="11"/>
  <c r="D13" i="11"/>
  <c r="D12" i="11"/>
  <c r="D11" i="11"/>
  <c r="F24" i="10"/>
  <c r="G24" i="10" s="1"/>
  <c r="F29" i="10" s="1"/>
  <c r="D24" i="10"/>
  <c r="E24" i="10" s="1"/>
  <c r="C24" i="10"/>
  <c r="B24" i="10"/>
  <c r="E23" i="10"/>
  <c r="F23" i="10" s="1"/>
  <c r="G23" i="10" s="1"/>
  <c r="F28" i="10" s="1"/>
  <c r="D23" i="10"/>
  <c r="B23" i="10"/>
  <c r="C23" i="10" s="1"/>
  <c r="D22" i="10"/>
  <c r="E22" i="10" s="1"/>
  <c r="F22" i="10" s="1"/>
  <c r="G22" i="10" s="1"/>
  <c r="F27" i="10" s="1"/>
  <c r="C22" i="10"/>
  <c r="B22" i="10"/>
  <c r="E21" i="10"/>
  <c r="F21" i="10" s="1"/>
  <c r="D21" i="10"/>
  <c r="B21" i="10"/>
  <c r="C245" i="8"/>
  <c r="B245" i="8"/>
  <c r="A245" i="8"/>
  <c r="C244" i="8"/>
  <c r="B244" i="8"/>
  <c r="A244" i="8"/>
  <c r="C243" i="8"/>
  <c r="A243" i="8"/>
  <c r="C242" i="8"/>
  <c r="B242" i="8"/>
  <c r="A242" i="8"/>
  <c r="C241" i="8"/>
  <c r="B241" i="8"/>
  <c r="A241" i="8"/>
  <c r="C240" i="8"/>
  <c r="B240" i="8"/>
  <c r="A240" i="8"/>
  <c r="C239" i="8"/>
  <c r="B239" i="8"/>
  <c r="A239" i="8"/>
  <c r="E215" i="8"/>
  <c r="B159" i="8"/>
  <c r="C135" i="7"/>
  <c r="B135" i="7"/>
  <c r="C134" i="7"/>
  <c r="B134" i="7"/>
  <c r="C133" i="7"/>
  <c r="B133" i="7"/>
  <c r="C132" i="7"/>
  <c r="B132" i="7"/>
  <c r="B131" i="7"/>
  <c r="C130" i="7"/>
  <c r="B130" i="7"/>
  <c r="B107" i="7"/>
  <c r="B109" i="6"/>
  <c r="B108" i="6"/>
  <c r="B107" i="6"/>
  <c r="B106" i="6"/>
  <c r="D61" i="6"/>
  <c r="B61" i="6"/>
  <c r="C60" i="6"/>
  <c r="B60" i="6"/>
  <c r="B59" i="6"/>
  <c r="C58" i="6"/>
  <c r="B58" i="6"/>
  <c r="D37" i="6"/>
  <c r="D35" i="6"/>
  <c r="B35" i="6"/>
  <c r="D15" i="6"/>
  <c r="B15" i="6"/>
  <c r="C14" i="6"/>
  <c r="B14" i="6"/>
  <c r="D13" i="6"/>
  <c r="C13" i="6"/>
  <c r="B13" i="6"/>
  <c r="C12" i="6"/>
  <c r="B12" i="6"/>
  <c r="D11" i="6"/>
  <c r="C11" i="6"/>
  <c r="B11" i="6"/>
  <c r="B10" i="6"/>
  <c r="C167" i="5"/>
  <c r="F165" i="5"/>
  <c r="D164" i="5"/>
  <c r="H162" i="5"/>
  <c r="F161" i="5"/>
  <c r="D160" i="5"/>
  <c r="B159" i="5"/>
  <c r="G157" i="5"/>
  <c r="E156" i="5"/>
  <c r="C155" i="5"/>
  <c r="C66" i="5"/>
  <c r="B64" i="5"/>
  <c r="E61" i="5"/>
  <c r="D59" i="5"/>
  <c r="E37" i="5"/>
  <c r="B23" i="4"/>
  <c r="B22" i="4"/>
  <c r="B21" i="4"/>
  <c r="B20" i="4"/>
  <c r="B7" i="4"/>
  <c r="B8" i="4" s="1"/>
  <c r="B6" i="4"/>
  <c r="F34" i="3"/>
  <c r="F33" i="3"/>
  <c r="F32" i="3"/>
  <c r="F31" i="3"/>
  <c r="F30" i="3"/>
  <c r="F29" i="3"/>
  <c r="F28" i="3"/>
  <c r="F27" i="3"/>
  <c r="F26" i="3"/>
  <c r="F25" i="3"/>
  <c r="F24" i="3"/>
  <c r="F23" i="3"/>
  <c r="F22" i="3"/>
  <c r="F21" i="3"/>
  <c r="F20" i="3"/>
  <c r="F19" i="3"/>
  <c r="F18" i="3"/>
  <c r="F17" i="3"/>
  <c r="F16" i="3"/>
  <c r="F15" i="3"/>
  <c r="F14" i="3"/>
  <c r="F13" i="3"/>
  <c r="F12" i="3"/>
  <c r="F11" i="3"/>
  <c r="F10" i="3"/>
  <c r="F9" i="3"/>
  <c r="F8" i="3"/>
  <c r="F7" i="3"/>
  <c r="F6" i="3"/>
  <c r="F5" i="3"/>
  <c r="M28" i="17"/>
  <c r="D5" i="17"/>
  <c r="C39" i="12"/>
  <c r="E39" i="12" s="1"/>
  <c r="C38" i="12"/>
  <c r="E37" i="12"/>
  <c r="C37" i="12"/>
  <c r="C24" i="12"/>
  <c r="C23" i="12"/>
  <c r="C22" i="12"/>
  <c r="C21" i="12"/>
  <c r="C20" i="12"/>
  <c r="C19" i="12"/>
  <c r="C18" i="12"/>
  <c r="C6" i="4" l="1"/>
  <c r="C8" i="4"/>
  <c r="L4" i="16"/>
  <c r="X16" i="13"/>
  <c r="Y16" i="13" s="1"/>
  <c r="AE24" i="13"/>
  <c r="Q30" i="13"/>
  <c r="AE30" i="13" s="1"/>
  <c r="Q307" i="13"/>
  <c r="AE307" i="13" s="1"/>
  <c r="Q122" i="13"/>
  <c r="Q193" i="13"/>
  <c r="AE193" i="13" s="1"/>
  <c r="Q37" i="13"/>
  <c r="Q76" i="13"/>
  <c r="X46" i="13"/>
  <c r="Y46" i="13" s="1"/>
  <c r="X48" i="13"/>
  <c r="Y48" i="13" s="1"/>
  <c r="Q489" i="13"/>
  <c r="AE489" i="13" s="1"/>
  <c r="Q411" i="13"/>
  <c r="AE411" i="13" s="1"/>
  <c r="Q446" i="13"/>
  <c r="Q458" i="13"/>
  <c r="AE458" i="13" s="1"/>
  <c r="Q387" i="13"/>
  <c r="Q428" i="13"/>
  <c r="AE428" i="13" s="1"/>
  <c r="Q468" i="13"/>
  <c r="AE468" i="13" s="1"/>
  <c r="Q406" i="13"/>
  <c r="Q296" i="13"/>
  <c r="Q339" i="13"/>
  <c r="Q258" i="13"/>
  <c r="Q283" i="13"/>
  <c r="AE283" i="13" s="1"/>
  <c r="Q244" i="13"/>
  <c r="AE244" i="13" s="1"/>
  <c r="Q216" i="13"/>
  <c r="AE216" i="13" s="1"/>
  <c r="Q232" i="13"/>
  <c r="Q266" i="13"/>
  <c r="Q252" i="13"/>
  <c r="Q197" i="13"/>
  <c r="AE197" i="13" s="1"/>
  <c r="Q95" i="13"/>
  <c r="Q13" i="13"/>
  <c r="C32" i="12"/>
  <c r="E32" i="12" s="1"/>
  <c r="J5" i="17"/>
  <c r="B8" i="18"/>
  <c r="C11" i="18"/>
  <c r="C16" i="18" s="1"/>
  <c r="C7" i="4"/>
  <c r="E35" i="5"/>
  <c r="E59" i="5"/>
  <c r="B62" i="5"/>
  <c r="C64" i="5"/>
  <c r="D66" i="5"/>
  <c r="E83" i="5"/>
  <c r="B108" i="5"/>
  <c r="D155" i="5"/>
  <c r="F156" i="5"/>
  <c r="H157" i="5"/>
  <c r="C159" i="5"/>
  <c r="E160" i="5"/>
  <c r="G161" i="5"/>
  <c r="C163" i="5"/>
  <c r="E164" i="5"/>
  <c r="H165" i="5"/>
  <c r="D167" i="5"/>
  <c r="E14" i="6"/>
  <c r="C35" i="6"/>
  <c r="E60" i="6"/>
  <c r="H4" i="16"/>
  <c r="D107" i="7"/>
  <c r="D106" i="7"/>
  <c r="B215" i="8"/>
  <c r="C216" i="8"/>
  <c r="AT7" i="13"/>
  <c r="AD8" i="13"/>
  <c r="R490" i="13"/>
  <c r="R450" i="13"/>
  <c r="R485" i="13"/>
  <c r="R484" i="13"/>
  <c r="Q484" i="13"/>
  <c r="AE484" i="13" s="1"/>
  <c r="Q479" i="13"/>
  <c r="AE479" i="13" s="1"/>
  <c r="Q431" i="13"/>
  <c r="R396" i="13"/>
  <c r="R380" i="13"/>
  <c r="R372" i="13"/>
  <c r="R344" i="13"/>
  <c r="R340" i="13"/>
  <c r="R328" i="13"/>
  <c r="R312" i="13"/>
  <c r="R451" i="13"/>
  <c r="R479" i="13"/>
  <c r="R431" i="13"/>
  <c r="R424" i="13"/>
  <c r="R383" i="13"/>
  <c r="Q372" i="13"/>
  <c r="AE372" i="13" s="1"/>
  <c r="R354" i="13"/>
  <c r="R457" i="13"/>
  <c r="Q424" i="13"/>
  <c r="R390" i="13"/>
  <c r="Q457" i="13"/>
  <c r="R389" i="13"/>
  <c r="Q380" i="13"/>
  <c r="AE380" i="13" s="1"/>
  <c r="R480" i="13"/>
  <c r="R403" i="13"/>
  <c r="R401" i="13"/>
  <c r="Q396" i="13"/>
  <c r="AE396" i="13" s="1"/>
  <c r="R373" i="13"/>
  <c r="R313" i="13"/>
  <c r="Q354" i="13"/>
  <c r="Q313" i="13"/>
  <c r="R370" i="13"/>
  <c r="R365" i="13"/>
  <c r="R329" i="13"/>
  <c r="R302" i="13"/>
  <c r="R366" i="13"/>
  <c r="R358" i="13"/>
  <c r="Q358" i="13"/>
  <c r="AE358" i="13" s="1"/>
  <c r="R309" i="13"/>
  <c r="R278" i="13"/>
  <c r="Q302" i="13"/>
  <c r="R292" i="13"/>
  <c r="R295" i="13"/>
  <c r="Q295" i="13"/>
  <c r="AE295" i="13" s="1"/>
  <c r="R257" i="13"/>
  <c r="R256" i="13"/>
  <c r="Q256" i="13"/>
  <c r="AE256" i="13" s="1"/>
  <c r="R231" i="13"/>
  <c r="R223" i="13"/>
  <c r="Q208" i="13"/>
  <c r="AE208" i="13" s="1"/>
  <c r="R174" i="13"/>
  <c r="R170" i="13"/>
  <c r="R102" i="13"/>
  <c r="R70" i="13"/>
  <c r="R50" i="13"/>
  <c r="R38" i="13"/>
  <c r="R34" i="13"/>
  <c r="R30" i="13"/>
  <c r="R262" i="13"/>
  <c r="R222" i="13"/>
  <c r="R254" i="13"/>
  <c r="Q223" i="13"/>
  <c r="AE223" i="13" s="1"/>
  <c r="R199" i="13"/>
  <c r="R179" i="13"/>
  <c r="R151" i="13"/>
  <c r="R119" i="13"/>
  <c r="R115" i="13"/>
  <c r="R111" i="13"/>
  <c r="R265" i="13"/>
  <c r="R246" i="13"/>
  <c r="R208" i="13"/>
  <c r="Q179" i="13"/>
  <c r="R136" i="13"/>
  <c r="R133" i="13"/>
  <c r="Q151" i="13"/>
  <c r="R172" i="13"/>
  <c r="R121" i="13"/>
  <c r="R141" i="13"/>
  <c r="Q141" i="13"/>
  <c r="R192" i="13"/>
  <c r="R188" i="13"/>
  <c r="R184" i="13"/>
  <c r="R145" i="13"/>
  <c r="Q188" i="13"/>
  <c r="R60" i="13"/>
  <c r="R56" i="13"/>
  <c r="R10" i="13"/>
  <c r="R25" i="13"/>
  <c r="R77" i="13"/>
  <c r="AE10" i="13"/>
  <c r="R93" i="13"/>
  <c r="Q77" i="13"/>
  <c r="R29" i="13"/>
  <c r="R36" i="13"/>
  <c r="R15" i="13"/>
  <c r="X10" i="13"/>
  <c r="Y10" i="13" s="1"/>
  <c r="X11" i="13"/>
  <c r="Y11" i="13" s="1"/>
  <c r="U11" i="13"/>
  <c r="AD12" i="13"/>
  <c r="Q493" i="13"/>
  <c r="Q433" i="13"/>
  <c r="AE433" i="13" s="1"/>
  <c r="Q439" i="13"/>
  <c r="AE439" i="13" s="1"/>
  <c r="Q445" i="13"/>
  <c r="AE445" i="13" s="1"/>
  <c r="Q350" i="13"/>
  <c r="Q341" i="13"/>
  <c r="Q410" i="13"/>
  <c r="Q397" i="13"/>
  <c r="Q473" i="13"/>
  <c r="AE473" i="13" s="1"/>
  <c r="Q381" i="13"/>
  <c r="Q317" i="13"/>
  <c r="AE317" i="13" s="1"/>
  <c r="Q308" i="13"/>
  <c r="Q367" i="13"/>
  <c r="Q334" i="13"/>
  <c r="Q282" i="13"/>
  <c r="Q260" i="13"/>
  <c r="Q270" i="13"/>
  <c r="Q210" i="13"/>
  <c r="Q224" i="13"/>
  <c r="AE224" i="13" s="1"/>
  <c r="Q242" i="13"/>
  <c r="Q106" i="13"/>
  <c r="Q160" i="13"/>
  <c r="Q176" i="13"/>
  <c r="R14" i="13"/>
  <c r="AE14" i="13"/>
  <c r="Q73" i="13"/>
  <c r="AE73" i="13" s="1"/>
  <c r="X14" i="13"/>
  <c r="Y14" i="13" s="1"/>
  <c r="X15" i="13"/>
  <c r="Y15" i="13" s="1"/>
  <c r="U15" i="13"/>
  <c r="Q20" i="13"/>
  <c r="AE20" i="13" s="1"/>
  <c r="AB483" i="13"/>
  <c r="AD483" i="13" s="1"/>
  <c r="AB336" i="13"/>
  <c r="AB318" i="13"/>
  <c r="AB289" i="13"/>
  <c r="AB213" i="13"/>
  <c r="AB191" i="13"/>
  <c r="AB72" i="13"/>
  <c r="X23" i="13"/>
  <c r="Y23" i="13" s="1"/>
  <c r="U23" i="13"/>
  <c r="AB92" i="13"/>
  <c r="AB25" i="13"/>
  <c r="T25" i="13"/>
  <c r="AE28" i="13"/>
  <c r="Q28" i="13"/>
  <c r="AR39" i="13"/>
  <c r="AR40" i="13"/>
  <c r="AB476" i="13"/>
  <c r="AB392" i="13"/>
  <c r="AD392" i="13" s="1"/>
  <c r="AB330" i="13"/>
  <c r="AB294" i="13"/>
  <c r="AD294" i="13" s="1"/>
  <c r="AB279" i="13"/>
  <c r="AD279" i="13" s="1"/>
  <c r="AB264" i="13"/>
  <c r="U7" i="13"/>
  <c r="AB7" i="13"/>
  <c r="AD7" i="13" s="1"/>
  <c r="M5" i="17"/>
  <c r="D64" i="5"/>
  <c r="D216" i="8"/>
  <c r="D6" i="20"/>
  <c r="E208" i="16"/>
  <c r="E206" i="16"/>
  <c r="E204" i="16"/>
  <c r="E202" i="16"/>
  <c r="E200" i="16"/>
  <c r="E198" i="16"/>
  <c r="E196" i="16"/>
  <c r="E194" i="16"/>
  <c r="E192" i="16"/>
  <c r="E190" i="16"/>
  <c r="E188" i="16"/>
  <c r="E186" i="16"/>
  <c r="E184" i="16"/>
  <c r="E182" i="16"/>
  <c r="E180" i="16"/>
  <c r="E178" i="16"/>
  <c r="E176" i="16"/>
  <c r="E174" i="16"/>
  <c r="E172" i="16"/>
  <c r="E170" i="16"/>
  <c r="E168" i="16"/>
  <c r="E166" i="16"/>
  <c r="E164" i="16"/>
  <c r="E162" i="16"/>
  <c r="E160" i="16"/>
  <c r="E158" i="16"/>
  <c r="E156" i="16"/>
  <c r="E154" i="16"/>
  <c r="E152" i="16"/>
  <c r="E150" i="16"/>
  <c r="E148" i="16"/>
  <c r="E146" i="16"/>
  <c r="E144" i="16"/>
  <c r="E142" i="16"/>
  <c r="E140" i="16"/>
  <c r="E138" i="16"/>
  <c r="E136" i="16"/>
  <c r="E134" i="16"/>
  <c r="E132" i="16"/>
  <c r="E130" i="16"/>
  <c r="E128" i="16"/>
  <c r="E126" i="16"/>
  <c r="E124" i="16"/>
  <c r="E122" i="16"/>
  <c r="E120" i="16"/>
  <c r="E118" i="16"/>
  <c r="E193" i="16"/>
  <c r="E177" i="16"/>
  <c r="E161" i="16"/>
  <c r="E145" i="16"/>
  <c r="E129" i="16"/>
  <c r="E199" i="16"/>
  <c r="E183" i="16"/>
  <c r="E167" i="16"/>
  <c r="E205" i="16"/>
  <c r="E189" i="16"/>
  <c r="E173" i="16"/>
  <c r="E201" i="16"/>
  <c r="E185" i="16"/>
  <c r="E169" i="16"/>
  <c r="E153" i="16"/>
  <c r="E137" i="16"/>
  <c r="E121" i="16"/>
  <c r="E195" i="16"/>
  <c r="E181" i="16"/>
  <c r="E133" i="16"/>
  <c r="E163" i="16"/>
  <c r="E159" i="16"/>
  <c r="E125" i="16"/>
  <c r="E155" i="16"/>
  <c r="E151" i="16"/>
  <c r="E117" i="16"/>
  <c r="E207" i="16"/>
  <c r="E203" i="16"/>
  <c r="E175" i="16"/>
  <c r="E171" i="16"/>
  <c r="E147" i="16"/>
  <c r="E143" i="16"/>
  <c r="E197" i="16"/>
  <c r="E179" i="16"/>
  <c r="E165" i="16"/>
  <c r="E139" i="16"/>
  <c r="E135" i="16"/>
  <c r="E157" i="16"/>
  <c r="E123" i="16"/>
  <c r="E187" i="16"/>
  <c r="E127" i="16"/>
  <c r="E149" i="16"/>
  <c r="E191" i="16"/>
  <c r="E131" i="16"/>
  <c r="E141" i="16"/>
  <c r="E119" i="16"/>
  <c r="D4" i="16"/>
  <c r="R462" i="13"/>
  <c r="R458" i="13"/>
  <c r="R446" i="13"/>
  <c r="R442" i="13"/>
  <c r="R422" i="13"/>
  <c r="R489" i="13"/>
  <c r="R487" i="13"/>
  <c r="R492" i="13"/>
  <c r="R488" i="13"/>
  <c r="R437" i="13"/>
  <c r="R364" i="13"/>
  <c r="R332" i="13"/>
  <c r="R477" i="13"/>
  <c r="R443" i="13"/>
  <c r="R411" i="13"/>
  <c r="R453" i="13"/>
  <c r="R460" i="13"/>
  <c r="R428" i="13"/>
  <c r="R391" i="13"/>
  <c r="R414" i="13"/>
  <c r="R395" i="13"/>
  <c r="R468" i="13"/>
  <c r="R406" i="13"/>
  <c r="R387" i="13"/>
  <c r="Q272" i="13"/>
  <c r="R353" i="13"/>
  <c r="R339" i="13"/>
  <c r="R305" i="13"/>
  <c r="R281" i="13"/>
  <c r="R296" i="13"/>
  <c r="R290" i="13"/>
  <c r="R283" i="13"/>
  <c r="R266" i="13"/>
  <c r="R258" i="13"/>
  <c r="R272" i="13"/>
  <c r="R307" i="13"/>
  <c r="R215" i="13"/>
  <c r="R194" i="13"/>
  <c r="R162" i="13"/>
  <c r="R130" i="13"/>
  <c r="R122" i="13"/>
  <c r="R114" i="13"/>
  <c r="R225" i="13"/>
  <c r="R216" i="13"/>
  <c r="R250" i="13"/>
  <c r="R229" i="13"/>
  <c r="R232" i="13"/>
  <c r="R204" i="13"/>
  <c r="R196" i="13"/>
  <c r="R252" i="13"/>
  <c r="R240" i="13"/>
  <c r="R187" i="13"/>
  <c r="R167" i="13"/>
  <c r="R135" i="13"/>
  <c r="R131" i="13"/>
  <c r="R95" i="13"/>
  <c r="R244" i="13"/>
  <c r="Q196" i="13"/>
  <c r="R120" i="13"/>
  <c r="R193" i="13"/>
  <c r="R180" i="13"/>
  <c r="R197" i="13"/>
  <c r="R148" i="13"/>
  <c r="R96" i="13"/>
  <c r="Q96" i="13"/>
  <c r="R87" i="13"/>
  <c r="R79" i="13"/>
  <c r="R44" i="13"/>
  <c r="R18" i="13"/>
  <c r="R48" i="13"/>
  <c r="R43" i="13"/>
  <c r="Q5" i="13"/>
  <c r="AE5" i="13" s="1"/>
  <c r="R76" i="13"/>
  <c r="E84" i="6"/>
  <c r="E82" i="6"/>
  <c r="E61" i="6"/>
  <c r="E59" i="6"/>
  <c r="E37" i="6"/>
  <c r="E35" i="6"/>
  <c r="E15" i="6"/>
  <c r="E13" i="6"/>
  <c r="E11" i="6"/>
  <c r="E130" i="5"/>
  <c r="C33" i="12"/>
  <c r="E33" i="12" s="1"/>
  <c r="R37" i="13"/>
  <c r="AI10" i="13"/>
  <c r="D114" i="8" s="1"/>
  <c r="R466" i="13"/>
  <c r="R454" i="13"/>
  <c r="R434" i="13"/>
  <c r="R430" i="13"/>
  <c r="R418" i="13"/>
  <c r="R491" i="13"/>
  <c r="R486" i="13"/>
  <c r="R440" i="13"/>
  <c r="R400" i="13"/>
  <c r="R384" i="13"/>
  <c r="R449" i="13"/>
  <c r="Q434" i="13"/>
  <c r="AE434" i="13" s="1"/>
  <c r="R377" i="13"/>
  <c r="R419" i="13"/>
  <c r="R386" i="13"/>
  <c r="Q419" i="13"/>
  <c r="AE419" i="13" s="1"/>
  <c r="R423" i="13"/>
  <c r="R393" i="13"/>
  <c r="R399" i="13"/>
  <c r="Q393" i="13"/>
  <c r="AE393" i="13" s="1"/>
  <c r="R463" i="13"/>
  <c r="R425" i="13"/>
  <c r="Q399" i="13"/>
  <c r="Q463" i="13"/>
  <c r="AE463" i="13" s="1"/>
  <c r="Q440" i="13"/>
  <c r="AE440" i="13" s="1"/>
  <c r="R427" i="13"/>
  <c r="Q425" i="13"/>
  <c r="R375" i="13"/>
  <c r="Q386" i="13"/>
  <c r="Q314" i="13"/>
  <c r="AE314" i="13" s="1"/>
  <c r="Q297" i="13"/>
  <c r="Q293" i="13"/>
  <c r="R322" i="13"/>
  <c r="R319" i="13"/>
  <c r="Q319" i="13"/>
  <c r="Q304" i="13"/>
  <c r="Q284" i="13"/>
  <c r="R345" i="13"/>
  <c r="R331" i="13"/>
  <c r="R333" i="13"/>
  <c r="R310" i="13"/>
  <c r="R347" i="13"/>
  <c r="Q333" i="13"/>
  <c r="AE333" i="13" s="1"/>
  <c r="R314" i="13"/>
  <c r="R301" i="13"/>
  <c r="R297" i="13"/>
  <c r="R293" i="13"/>
  <c r="R311" i="13"/>
  <c r="R299" i="13"/>
  <c r="Q268" i="13"/>
  <c r="R304" i="13"/>
  <c r="R251" i="13"/>
  <c r="R243" i="13"/>
  <c r="R239" i="13"/>
  <c r="R235" i="13"/>
  <c r="R227" i="13"/>
  <c r="R219" i="13"/>
  <c r="R207" i="13"/>
  <c r="R284" i="13"/>
  <c r="Q251" i="13"/>
  <c r="AE251" i="13" s="1"/>
  <c r="R248" i="13"/>
  <c r="R218" i="13"/>
  <c r="R202" i="13"/>
  <c r="R198" i="13"/>
  <c r="R182" i="13"/>
  <c r="R178" i="13"/>
  <c r="R150" i="13"/>
  <c r="R142" i="13"/>
  <c r="R126" i="13"/>
  <c r="R98" i="13"/>
  <c r="R90" i="13"/>
  <c r="R78" i="13"/>
  <c r="R74" i="13"/>
  <c r="R62" i="13"/>
  <c r="Q243" i="13"/>
  <c r="R220" i="13"/>
  <c r="Q218" i="13"/>
  <c r="Q207" i="13"/>
  <c r="R234" i="13"/>
  <c r="R200" i="13"/>
  <c r="R238" i="13"/>
  <c r="Q234" i="13"/>
  <c r="R245" i="13"/>
  <c r="Q238" i="13"/>
  <c r="R209" i="13"/>
  <c r="R195" i="13"/>
  <c r="R175" i="13"/>
  <c r="R171" i="13"/>
  <c r="R143" i="13"/>
  <c r="R139" i="13"/>
  <c r="R107" i="13"/>
  <c r="R268" i="13"/>
  <c r="Q195" i="13"/>
  <c r="Q200" i="13"/>
  <c r="Q165" i="13"/>
  <c r="R149" i="13"/>
  <c r="Q182" i="13"/>
  <c r="R169" i="13"/>
  <c r="Q149" i="13"/>
  <c r="AE149" i="13" s="1"/>
  <c r="R104" i="13"/>
  <c r="R137" i="13"/>
  <c r="Q90" i="13"/>
  <c r="AE90" i="13" s="1"/>
  <c r="Q139" i="13"/>
  <c r="R124" i="13"/>
  <c r="R189" i="13"/>
  <c r="Q124" i="13"/>
  <c r="R112" i="13"/>
  <c r="R109" i="13"/>
  <c r="R165" i="13"/>
  <c r="Q78" i="13"/>
  <c r="R85" i="13"/>
  <c r="R26" i="13"/>
  <c r="R49" i="13"/>
  <c r="R17" i="13"/>
  <c r="Q107" i="13"/>
  <c r="AI14" i="13"/>
  <c r="AL14" i="13" s="1"/>
  <c r="Q58" i="13"/>
  <c r="Q21" i="13"/>
  <c r="X21" i="13"/>
  <c r="Y21" i="13" s="1"/>
  <c r="B243" i="8"/>
  <c r="AI22" i="13"/>
  <c r="AL22" i="13" s="1"/>
  <c r="AJ25" i="13"/>
  <c r="AT25" i="13"/>
  <c r="X26" i="13"/>
  <c r="Y26" i="13" s="1"/>
  <c r="X27" i="13"/>
  <c r="Y27" i="13" s="1"/>
  <c r="X34" i="13"/>
  <c r="Y34" i="13" s="1"/>
  <c r="AE58" i="13"/>
  <c r="E10" i="5"/>
  <c r="E38" i="5"/>
  <c r="B58" i="5"/>
  <c r="C60" i="5"/>
  <c r="D62" i="5"/>
  <c r="E64" i="5"/>
  <c r="F155" i="5"/>
  <c r="H156" i="5"/>
  <c r="C158" i="5"/>
  <c r="E159" i="5"/>
  <c r="H160" i="5"/>
  <c r="C162" i="5"/>
  <c r="E163" i="5"/>
  <c r="G164" i="5"/>
  <c r="C166" i="5"/>
  <c r="E12" i="6"/>
  <c r="C15" i="6"/>
  <c r="E58" i="6"/>
  <c r="C61" i="6"/>
  <c r="E216" i="8"/>
  <c r="W5" i="13"/>
  <c r="AL6" i="13"/>
  <c r="R80" i="13"/>
  <c r="W7" i="13"/>
  <c r="AT10" i="13"/>
  <c r="C19" i="20" s="1"/>
  <c r="AT14" i="13"/>
  <c r="AB17" i="13"/>
  <c r="T17" i="13"/>
  <c r="AI19" i="13"/>
  <c r="AL19" i="13" s="1"/>
  <c r="X20" i="13"/>
  <c r="Y20" i="13" s="1"/>
  <c r="AI26" i="13"/>
  <c r="AL26" i="13" s="1"/>
  <c r="AK26" i="13"/>
  <c r="AJ38" i="13"/>
  <c r="AT38" i="13"/>
  <c r="AE59" i="13"/>
  <c r="Q482" i="13"/>
  <c r="AE482" i="13" s="1"/>
  <c r="Q474" i="13"/>
  <c r="Q447" i="13"/>
  <c r="AE447" i="13" s="1"/>
  <c r="Q409" i="13"/>
  <c r="AE409" i="13" s="1"/>
  <c r="Q388" i="13"/>
  <c r="AE388" i="13" s="1"/>
  <c r="Q402" i="13"/>
  <c r="Q420" i="13"/>
  <c r="Q355" i="13"/>
  <c r="Q360" i="13"/>
  <c r="Q376" i="13"/>
  <c r="Q300" i="13"/>
  <c r="Q325" i="13"/>
  <c r="AE325" i="13" s="1"/>
  <c r="Q335" i="13"/>
  <c r="Q259" i="13"/>
  <c r="AE259" i="13" s="1"/>
  <c r="Q217" i="13"/>
  <c r="Q212" i="13"/>
  <c r="Q190" i="13"/>
  <c r="AE190" i="13" s="1"/>
  <c r="Q97" i="13"/>
  <c r="Q157" i="13"/>
  <c r="Q83" i="13"/>
  <c r="C62" i="12"/>
  <c r="E62" i="12" s="1"/>
  <c r="P5" i="17"/>
  <c r="C34" i="12"/>
  <c r="E34" i="12" s="1"/>
  <c r="E36" i="5"/>
  <c r="C58" i="5"/>
  <c r="B65" i="5"/>
  <c r="B110" i="5"/>
  <c r="E131" i="5"/>
  <c r="B157" i="5"/>
  <c r="D158" i="5"/>
  <c r="G159" i="5"/>
  <c r="B161" i="5"/>
  <c r="D162" i="5"/>
  <c r="F163" i="5"/>
  <c r="H164" i="5"/>
  <c r="D166" i="5"/>
  <c r="C10" i="6"/>
  <c r="C36" i="6"/>
  <c r="R13" i="13"/>
  <c r="AJ17" i="13"/>
  <c r="AT17" i="13"/>
  <c r="X18" i="13"/>
  <c r="Y18" i="13" s="1"/>
  <c r="W18" i="13"/>
  <c r="AB18" i="13"/>
  <c r="T18" i="13"/>
  <c r="X30" i="13"/>
  <c r="Y30" i="13" s="1"/>
  <c r="AL31" i="13"/>
  <c r="X50" i="13"/>
  <c r="Y50" i="13" s="1"/>
  <c r="X68" i="13"/>
  <c r="Y68" i="13" s="1"/>
  <c r="AB96" i="13"/>
  <c r="M29" i="17"/>
  <c r="E12" i="5"/>
  <c r="E40" i="5"/>
  <c r="B60" i="5"/>
  <c r="E66" i="5"/>
  <c r="B109" i="5"/>
  <c r="E155" i="5"/>
  <c r="G156" i="5"/>
  <c r="B158" i="5"/>
  <c r="D159" i="5"/>
  <c r="F160" i="5"/>
  <c r="B162" i="5"/>
  <c r="D163" i="5"/>
  <c r="F164" i="5"/>
  <c r="B166" i="5"/>
  <c r="E167" i="5"/>
  <c r="X5" i="13"/>
  <c r="Y5" i="13" s="1"/>
  <c r="G4" i="16"/>
  <c r="B11" i="18"/>
  <c r="C8" i="18"/>
  <c r="M26" i="17"/>
  <c r="R6" i="13"/>
  <c r="R9" i="13"/>
  <c r="B44" i="17"/>
  <c r="E34" i="5"/>
  <c r="D58" i="5"/>
  <c r="E60" i="5"/>
  <c r="B63" i="5"/>
  <c r="D65" i="5"/>
  <c r="E82" i="5"/>
  <c r="B106" i="5"/>
  <c r="F154" i="5"/>
  <c r="H155" i="5"/>
  <c r="C157" i="5"/>
  <c r="F158" i="5"/>
  <c r="H159" i="5"/>
  <c r="C161" i="5"/>
  <c r="E162" i="5"/>
  <c r="G163" i="5"/>
  <c r="B165" i="5"/>
  <c r="F166" i="5"/>
  <c r="E10" i="6"/>
  <c r="E36" i="6"/>
  <c r="C59" i="6"/>
  <c r="E83" i="6"/>
  <c r="C131" i="7"/>
  <c r="AB489" i="13"/>
  <c r="AD489" i="13" s="1"/>
  <c r="AB406" i="13"/>
  <c r="AB296" i="13"/>
  <c r="AB283" i="13"/>
  <c r="AD283" i="13" s="1"/>
  <c r="AB258" i="13"/>
  <c r="AB266" i="13"/>
  <c r="AB13" i="13"/>
  <c r="AD13" i="13" s="1"/>
  <c r="T13" i="13"/>
  <c r="AE13" i="13"/>
  <c r="U18" i="13"/>
  <c r="R24" i="13"/>
  <c r="AK24" i="13"/>
  <c r="AL24" i="13" s="1"/>
  <c r="Q102" i="13"/>
  <c r="AE102" i="13" s="1"/>
  <c r="Q25" i="13"/>
  <c r="AE25" i="13" s="1"/>
  <c r="X25" i="13"/>
  <c r="Y25" i="13" s="1"/>
  <c r="AI25" i="13"/>
  <c r="AL25" i="13" s="1"/>
  <c r="Q449" i="13"/>
  <c r="Q427" i="13"/>
  <c r="AE427" i="13" s="1"/>
  <c r="Q400" i="13"/>
  <c r="Q377" i="13"/>
  <c r="Q347" i="13"/>
  <c r="AE347" i="13" s="1"/>
  <c r="Q311" i="13"/>
  <c r="AE311" i="13" s="1"/>
  <c r="Q299" i="13"/>
  <c r="AE299" i="13" s="1"/>
  <c r="Q198" i="13"/>
  <c r="AE198" i="13" s="1"/>
  <c r="Q245" i="13"/>
  <c r="Q235" i="13"/>
  <c r="Q209" i="13"/>
  <c r="Q171" i="13"/>
  <c r="AE171" i="13" s="1"/>
  <c r="Q178" i="13"/>
  <c r="Q219" i="13"/>
  <c r="AE219" i="13" s="1"/>
  <c r="Q142" i="13"/>
  <c r="Q126" i="13"/>
  <c r="Q189" i="13"/>
  <c r="AE189" i="13" s="1"/>
  <c r="Q98" i="13"/>
  <c r="Q150" i="13"/>
  <c r="AE150" i="13" s="1"/>
  <c r="Q112" i="13"/>
  <c r="AE26" i="13"/>
  <c r="Q74" i="13"/>
  <c r="R28" i="13"/>
  <c r="AJ29" i="13"/>
  <c r="AT29" i="13"/>
  <c r="AI29" i="13"/>
  <c r="AL29" i="13" s="1"/>
  <c r="AI30" i="13"/>
  <c r="AK30" i="13"/>
  <c r="X32" i="13"/>
  <c r="Y32" i="13" s="1"/>
  <c r="W32" i="13"/>
  <c r="AB82" i="13"/>
  <c r="U32" i="13"/>
  <c r="AB32" i="13"/>
  <c r="T32" i="13"/>
  <c r="AI33" i="13"/>
  <c r="AL33" i="13" s="1"/>
  <c r="AK33" i="13"/>
  <c r="AE37" i="13"/>
  <c r="AB309" i="13"/>
  <c r="AD309" i="13" s="1"/>
  <c r="U38" i="13"/>
  <c r="AB70" i="13"/>
  <c r="AB38" i="13"/>
  <c r="AD38" i="13" s="1"/>
  <c r="T38" i="13"/>
  <c r="W38" i="13"/>
  <c r="X7" i="13"/>
  <c r="Y7" i="13" s="1"/>
  <c r="C159" i="8"/>
  <c r="D36" i="6"/>
  <c r="D34" i="6"/>
  <c r="AI5" i="13"/>
  <c r="C38" i="8" s="1"/>
  <c r="AB276" i="13"/>
  <c r="AB287" i="13"/>
  <c r="W6" i="13"/>
  <c r="AB6" i="13"/>
  <c r="T6" i="13"/>
  <c r="B50" i="17" s="1"/>
  <c r="AB9" i="13"/>
  <c r="T9" i="13"/>
  <c r="C82" i="7" s="1"/>
  <c r="AE9" i="13"/>
  <c r="A5" i="17"/>
  <c r="M27" i="17"/>
  <c r="B45" i="17"/>
  <c r="B10" i="18"/>
  <c r="E11" i="5"/>
  <c r="E58" i="5"/>
  <c r="B61" i="5"/>
  <c r="D63" i="5"/>
  <c r="E65" i="5"/>
  <c r="G154" i="5"/>
  <c r="B156" i="5"/>
  <c r="E157" i="5"/>
  <c r="G158" i="5"/>
  <c r="B160" i="5"/>
  <c r="D161" i="5"/>
  <c r="F162" i="5"/>
  <c r="H163" i="5"/>
  <c r="C165" i="5"/>
  <c r="C34" i="6"/>
  <c r="B37" i="6"/>
  <c r="C62" i="6"/>
  <c r="B106" i="7"/>
  <c r="C215" i="8"/>
  <c r="C54" i="12" s="1"/>
  <c r="E54" i="12" s="1"/>
  <c r="R5" i="13"/>
  <c r="B54" i="17" s="1"/>
  <c r="D62" i="6"/>
  <c r="D60" i="6"/>
  <c r="D58" i="6"/>
  <c r="AJ5" i="13"/>
  <c r="U6" i="13"/>
  <c r="C88" i="8" s="1"/>
  <c r="AR6" i="13"/>
  <c r="D178" i="7" s="1"/>
  <c r="Q8" i="13"/>
  <c r="AE8" i="13" s="1"/>
  <c r="U9" i="13"/>
  <c r="AJ9" i="13"/>
  <c r="AT9" i="13"/>
  <c r="B60" i="7" s="1"/>
  <c r="AR9" i="13"/>
  <c r="AB424" i="13"/>
  <c r="AB479" i="13"/>
  <c r="AD479" i="13" s="1"/>
  <c r="AB358" i="13"/>
  <c r="AB372" i="13"/>
  <c r="AB354" i="13"/>
  <c r="AB302" i="13"/>
  <c r="AD302" i="13" s="1"/>
  <c r="AB295" i="13"/>
  <c r="AD295" i="13" s="1"/>
  <c r="AB256" i="13"/>
  <c r="AD256" i="13" s="1"/>
  <c r="W10" i="13"/>
  <c r="AB10" i="13"/>
  <c r="AD10" i="13" s="1"/>
  <c r="T10" i="13"/>
  <c r="B84" i="7" s="1"/>
  <c r="Q12" i="13"/>
  <c r="C35" i="12" s="1"/>
  <c r="E35" i="12" s="1"/>
  <c r="U13" i="13"/>
  <c r="C89" i="8" s="1"/>
  <c r="AJ13" i="13"/>
  <c r="AL13" i="13" s="1"/>
  <c r="AT13" i="13"/>
  <c r="AR13" i="13"/>
  <c r="AB410" i="13"/>
  <c r="AB308" i="13"/>
  <c r="AB282" i="13"/>
  <c r="AD282" i="13" s="1"/>
  <c r="AB260" i="13"/>
  <c r="AB176" i="13"/>
  <c r="W14" i="13"/>
  <c r="AB14" i="13"/>
  <c r="AD14" i="13" s="1"/>
  <c r="T14" i="13"/>
  <c r="Q16" i="13"/>
  <c r="AE16" i="13" s="1"/>
  <c r="W17" i="13"/>
  <c r="AB426" i="13"/>
  <c r="AD426" i="13" s="1"/>
  <c r="AB267" i="13"/>
  <c r="AD267" i="13" s="1"/>
  <c r="X19" i="13"/>
  <c r="Y19" i="13" s="1"/>
  <c r="U19" i="13"/>
  <c r="AB21" i="13"/>
  <c r="T21" i="13"/>
  <c r="AB58" i="13"/>
  <c r="AE21" i="13"/>
  <c r="Q22" i="13"/>
  <c r="AE22" i="13" s="1"/>
  <c r="AI23" i="13"/>
  <c r="X24" i="13"/>
  <c r="Y24" i="13" s="1"/>
  <c r="X28" i="13"/>
  <c r="Y28" i="13" s="1"/>
  <c r="AI35" i="13"/>
  <c r="AL35" i="13" s="1"/>
  <c r="AK35" i="13"/>
  <c r="X36" i="13"/>
  <c r="Y36" i="13" s="1"/>
  <c r="AT36" i="13"/>
  <c r="AJ36" i="13"/>
  <c r="AI36" i="13"/>
  <c r="AL36" i="13" s="1"/>
  <c r="AI38" i="13"/>
  <c r="AL38" i="13" s="1"/>
  <c r="Q475" i="13"/>
  <c r="AE475" i="13" s="1"/>
  <c r="Q415" i="13"/>
  <c r="Q404" i="13"/>
  <c r="Q378" i="13"/>
  <c r="Q368" i="13"/>
  <c r="AE368" i="13" s="1"/>
  <c r="Q435" i="13"/>
  <c r="Q421" i="13"/>
  <c r="Q398" i="13"/>
  <c r="AE398" i="13" s="1"/>
  <c r="Q374" i="13"/>
  <c r="AE374" i="13" s="1"/>
  <c r="Q285" i="13"/>
  <c r="Q327" i="13"/>
  <c r="Q303" i="13"/>
  <c r="AE303" i="13" s="1"/>
  <c r="Q363" i="13"/>
  <c r="Q275" i="13"/>
  <c r="AE275" i="13" s="1"/>
  <c r="Q253" i="13"/>
  <c r="AE253" i="13" s="1"/>
  <c r="Q236" i="13"/>
  <c r="Q177" i="13"/>
  <c r="AE177" i="13" s="1"/>
  <c r="Q156" i="13"/>
  <c r="Q40" i="13"/>
  <c r="AE40" i="13"/>
  <c r="Q71" i="13"/>
  <c r="X49" i="13"/>
  <c r="Y49" i="13" s="1"/>
  <c r="C9" i="18"/>
  <c r="D9" i="18" s="1"/>
  <c r="D60" i="5"/>
  <c r="E62" i="5"/>
  <c r="E84" i="5"/>
  <c r="G155" i="5"/>
  <c r="C31" i="12"/>
  <c r="E31" i="12" s="1"/>
  <c r="E39" i="5"/>
  <c r="B59" i="5"/>
  <c r="D61" i="5"/>
  <c r="E63" i="5"/>
  <c r="B66" i="5"/>
  <c r="B107" i="5"/>
  <c r="H154" i="5"/>
  <c r="D156" i="5"/>
  <c r="F157" i="5"/>
  <c r="H158" i="5"/>
  <c r="C160" i="5"/>
  <c r="E161" i="5"/>
  <c r="G162" i="5"/>
  <c r="B164" i="5"/>
  <c r="E165" i="5"/>
  <c r="B167" i="5"/>
  <c r="E34" i="6"/>
  <c r="C37" i="6"/>
  <c r="E62" i="6"/>
  <c r="B12" i="7"/>
  <c r="C106" i="7"/>
  <c r="D215" i="8"/>
  <c r="C55" i="12" s="1"/>
  <c r="E55" i="12" s="1"/>
  <c r="C141" i="16"/>
  <c r="D141" i="16" s="1"/>
  <c r="C181" i="16"/>
  <c r="D181" i="16" s="1"/>
  <c r="C133" i="16"/>
  <c r="D133" i="16" s="1"/>
  <c r="C129" i="16"/>
  <c r="D129" i="16" s="1"/>
  <c r="C185" i="16"/>
  <c r="D185" i="16" s="1"/>
  <c r="C159" i="16"/>
  <c r="D159" i="16" s="1"/>
  <c r="C125" i="16"/>
  <c r="D125" i="16" s="1"/>
  <c r="C121" i="16"/>
  <c r="D121" i="16" s="1"/>
  <c r="C189" i="16"/>
  <c r="D189" i="16" s="1"/>
  <c r="C117" i="16"/>
  <c r="D117" i="16" s="1"/>
  <c r="C157" i="16"/>
  <c r="D157" i="16" s="1"/>
  <c r="C205" i="16"/>
  <c r="D205" i="16" s="1"/>
  <c r="C173" i="16"/>
  <c r="D173" i="16" s="1"/>
  <c r="C145" i="16"/>
  <c r="D145" i="16" s="1"/>
  <c r="C197" i="16"/>
  <c r="D197" i="16" s="1"/>
  <c r="C165" i="16"/>
  <c r="D165" i="16" s="1"/>
  <c r="C149" i="16"/>
  <c r="D149" i="16" s="1"/>
  <c r="C119" i="16"/>
  <c r="D119" i="16" s="1"/>
  <c r="C135" i="16"/>
  <c r="D135" i="16" s="1"/>
  <c r="C201" i="16"/>
  <c r="D201" i="16" s="1"/>
  <c r="C169" i="16"/>
  <c r="D169" i="16" s="1"/>
  <c r="X487" i="13"/>
  <c r="Y487" i="13" s="1"/>
  <c r="X489" i="13"/>
  <c r="Y489" i="13" s="1"/>
  <c r="X490" i="13"/>
  <c r="Y490" i="13" s="1"/>
  <c r="X485" i="13"/>
  <c r="Y485" i="13" s="1"/>
  <c r="X486" i="13"/>
  <c r="Y486" i="13" s="1"/>
  <c r="X482" i="13"/>
  <c r="Y482" i="13" s="1"/>
  <c r="X481" i="13"/>
  <c r="Y481" i="13" s="1"/>
  <c r="X480" i="13"/>
  <c r="Y480" i="13" s="1"/>
  <c r="X466" i="13"/>
  <c r="Y466" i="13" s="1"/>
  <c r="X444" i="13"/>
  <c r="Y444" i="13" s="1"/>
  <c r="X430" i="13"/>
  <c r="Y430" i="13" s="1"/>
  <c r="X478" i="13"/>
  <c r="Y478" i="13" s="1"/>
  <c r="X441" i="13"/>
  <c r="Y441" i="13" s="1"/>
  <c r="X420" i="13"/>
  <c r="Y420" i="13" s="1"/>
  <c r="X406" i="13"/>
  <c r="Y406" i="13" s="1"/>
  <c r="X464" i="13"/>
  <c r="Y464" i="13" s="1"/>
  <c r="X452" i="13"/>
  <c r="Y452" i="13" s="1"/>
  <c r="X470" i="13"/>
  <c r="Y470" i="13" s="1"/>
  <c r="X453" i="13"/>
  <c r="Y453" i="13" s="1"/>
  <c r="X404" i="13"/>
  <c r="Y404" i="13" s="1"/>
  <c r="X400" i="13"/>
  <c r="Y400" i="13" s="1"/>
  <c r="X460" i="13"/>
  <c r="Y460" i="13" s="1"/>
  <c r="X445" i="13"/>
  <c r="Y445" i="13" s="1"/>
  <c r="X424" i="13"/>
  <c r="Y424" i="13" s="1"/>
  <c r="X386" i="13"/>
  <c r="Y386" i="13" s="1"/>
  <c r="X379" i="13"/>
  <c r="Y379" i="13" s="1"/>
  <c r="X474" i="13"/>
  <c r="Y474" i="13" s="1"/>
  <c r="X472" i="13"/>
  <c r="Y472" i="13" s="1"/>
  <c r="X390" i="13"/>
  <c r="Y390" i="13" s="1"/>
  <c r="X383" i="13"/>
  <c r="Y383" i="13" s="1"/>
  <c r="X448" i="13"/>
  <c r="Y448" i="13" s="1"/>
  <c r="X446" i="13"/>
  <c r="Y446" i="13" s="1"/>
  <c r="X442" i="13"/>
  <c r="Y442" i="13" s="1"/>
  <c r="X438" i="13"/>
  <c r="Y438" i="13" s="1"/>
  <c r="X429" i="13"/>
  <c r="Y429" i="13" s="1"/>
  <c r="X387" i="13"/>
  <c r="Y387" i="13" s="1"/>
  <c r="X456" i="13"/>
  <c r="Y456" i="13" s="1"/>
  <c r="X421" i="13"/>
  <c r="Y421" i="13" s="1"/>
  <c r="X414" i="13"/>
  <c r="Y414" i="13" s="1"/>
  <c r="X398" i="13"/>
  <c r="Y398" i="13" s="1"/>
  <c r="X477" i="13"/>
  <c r="Y477" i="13" s="1"/>
  <c r="X457" i="13"/>
  <c r="Y457" i="13" s="1"/>
  <c r="X449" i="13"/>
  <c r="Y449" i="13" s="1"/>
  <c r="X411" i="13"/>
  <c r="Y411" i="13" s="1"/>
  <c r="X410" i="13"/>
  <c r="Y410" i="13" s="1"/>
  <c r="X358" i="13"/>
  <c r="Y358" i="13" s="1"/>
  <c r="X351" i="13"/>
  <c r="Y351" i="13" s="1"/>
  <c r="X372" i="13"/>
  <c r="Y372" i="13" s="1"/>
  <c r="X332" i="13"/>
  <c r="Y332" i="13" s="1"/>
  <c r="X314" i="13"/>
  <c r="Y314" i="13" s="1"/>
  <c r="X355" i="13"/>
  <c r="Y355" i="13" s="1"/>
  <c r="X382" i="13"/>
  <c r="Y382" i="13" s="1"/>
  <c r="X368" i="13"/>
  <c r="Y368" i="13" s="1"/>
  <c r="X362" i="13"/>
  <c r="Y362" i="13" s="1"/>
  <c r="X354" i="13"/>
  <c r="Y354" i="13" s="1"/>
  <c r="X343" i="13"/>
  <c r="Y343" i="13" s="1"/>
  <c r="X340" i="13"/>
  <c r="Y340" i="13" s="1"/>
  <c r="X376" i="13"/>
  <c r="Y376" i="13" s="1"/>
  <c r="X319" i="13"/>
  <c r="Y319" i="13" s="1"/>
  <c r="X348" i="13"/>
  <c r="Y348" i="13" s="1"/>
  <c r="X330" i="13"/>
  <c r="Y330" i="13" s="1"/>
  <c r="X316" i="13"/>
  <c r="Y316" i="13" s="1"/>
  <c r="X311" i="13"/>
  <c r="Y311" i="13" s="1"/>
  <c r="X307" i="13"/>
  <c r="Y307" i="13" s="1"/>
  <c r="X303" i="13"/>
  <c r="Y303" i="13" s="1"/>
  <c r="X299" i="13"/>
  <c r="Y299" i="13" s="1"/>
  <c r="X295" i="13"/>
  <c r="Y295" i="13" s="1"/>
  <c r="X384" i="13"/>
  <c r="Y384" i="13" s="1"/>
  <c r="X375" i="13"/>
  <c r="Y375" i="13" s="1"/>
  <c r="X352" i="13"/>
  <c r="Y352" i="13" s="1"/>
  <c r="X344" i="13"/>
  <c r="Y344" i="13" s="1"/>
  <c r="X327" i="13"/>
  <c r="Y327" i="13" s="1"/>
  <c r="X338" i="13"/>
  <c r="Y338" i="13" s="1"/>
  <c r="X324" i="13"/>
  <c r="Y324" i="13" s="1"/>
  <c r="X310" i="13"/>
  <c r="Y310" i="13" s="1"/>
  <c r="X306" i="13"/>
  <c r="Y306" i="13" s="1"/>
  <c r="AB272" i="13"/>
  <c r="X304" i="13"/>
  <c r="Y304" i="13" s="1"/>
  <c r="X291" i="13"/>
  <c r="Y291" i="13" s="1"/>
  <c r="X315" i="13"/>
  <c r="Y315" i="13" s="1"/>
  <c r="X284" i="13"/>
  <c r="Y284" i="13" s="1"/>
  <c r="X281" i="13"/>
  <c r="Y281" i="13" s="1"/>
  <c r="X309" i="13"/>
  <c r="Y309" i="13" s="1"/>
  <c r="X296" i="13"/>
  <c r="Y296" i="13" s="1"/>
  <c r="X305" i="13"/>
  <c r="Y305" i="13" s="1"/>
  <c r="X292" i="13"/>
  <c r="Y292" i="13" s="1"/>
  <c r="X289" i="13"/>
  <c r="Y289" i="13" s="1"/>
  <c r="X322" i="13"/>
  <c r="Y322" i="13" s="1"/>
  <c r="X300" i="13"/>
  <c r="Y300" i="13" s="1"/>
  <c r="X297" i="13"/>
  <c r="Y297" i="13" s="1"/>
  <c r="X283" i="13"/>
  <c r="Y283" i="13" s="1"/>
  <c r="X276" i="13"/>
  <c r="Y276" i="13" s="1"/>
  <c r="X268" i="13"/>
  <c r="Y268" i="13" s="1"/>
  <c r="X264" i="13"/>
  <c r="Y264" i="13" s="1"/>
  <c r="X288" i="13"/>
  <c r="Y288" i="13" s="1"/>
  <c r="X260" i="13"/>
  <c r="Y260" i="13" s="1"/>
  <c r="X308" i="13"/>
  <c r="Y308" i="13" s="1"/>
  <c r="X279" i="13"/>
  <c r="Y279" i="13" s="1"/>
  <c r="X272" i="13"/>
  <c r="Y272" i="13" s="1"/>
  <c r="X256" i="13"/>
  <c r="Y256" i="13" s="1"/>
  <c r="X277" i="13"/>
  <c r="Y277" i="13" s="1"/>
  <c r="X251" i="13"/>
  <c r="Y251" i="13" s="1"/>
  <c r="X235" i="13"/>
  <c r="Y235" i="13" s="1"/>
  <c r="X213" i="13"/>
  <c r="Y213" i="13" s="1"/>
  <c r="X269" i="13"/>
  <c r="Y269" i="13" s="1"/>
  <c r="X255" i="13"/>
  <c r="Y255" i="13" s="1"/>
  <c r="X253" i="13"/>
  <c r="Y253" i="13" s="1"/>
  <c r="X249" i="13"/>
  <c r="Y249" i="13" s="1"/>
  <c r="X246" i="13"/>
  <c r="Y246" i="13" s="1"/>
  <c r="X239" i="13"/>
  <c r="Y239" i="13" s="1"/>
  <c r="X221" i="13"/>
  <c r="Y221" i="13" s="1"/>
  <c r="X217" i="13"/>
  <c r="Y217" i="13" s="1"/>
  <c r="X210" i="13"/>
  <c r="Y210" i="13" s="1"/>
  <c r="X206" i="13"/>
  <c r="Y206" i="13" s="1"/>
  <c r="X202" i="13"/>
  <c r="Y202" i="13" s="1"/>
  <c r="X271" i="13"/>
  <c r="Y271" i="13" s="1"/>
  <c r="X243" i="13"/>
  <c r="Y243" i="13" s="1"/>
  <c r="X225" i="13"/>
  <c r="Y225" i="13" s="1"/>
  <c r="X287" i="13"/>
  <c r="Y287" i="13" s="1"/>
  <c r="X280" i="13"/>
  <c r="Y280" i="13" s="1"/>
  <c r="X247" i="13"/>
  <c r="Y247" i="13" s="1"/>
  <c r="X229" i="13"/>
  <c r="Y229" i="13" s="1"/>
  <c r="X222" i="13"/>
  <c r="Y222" i="13" s="1"/>
  <c r="X211" i="13"/>
  <c r="Y211" i="13" s="1"/>
  <c r="X205" i="13"/>
  <c r="Y205" i="13" s="1"/>
  <c r="X201" i="13"/>
  <c r="Y201" i="13" s="1"/>
  <c r="X197" i="13"/>
  <c r="Y197" i="13" s="1"/>
  <c r="X254" i="13"/>
  <c r="Y254" i="13" s="1"/>
  <c r="X250" i="13"/>
  <c r="Y250" i="13" s="1"/>
  <c r="X233" i="13"/>
  <c r="Y233" i="13" s="1"/>
  <c r="X226" i="13"/>
  <c r="Y226" i="13" s="1"/>
  <c r="X219" i="13"/>
  <c r="Y219" i="13" s="1"/>
  <c r="X215" i="13"/>
  <c r="Y215" i="13" s="1"/>
  <c r="X275" i="13"/>
  <c r="Y275" i="13" s="1"/>
  <c r="X193" i="13"/>
  <c r="Y193" i="13" s="1"/>
  <c r="X189" i="13"/>
  <c r="Y189" i="13" s="1"/>
  <c r="X185" i="13"/>
  <c r="Y185" i="13" s="1"/>
  <c r="X125" i="13"/>
  <c r="Y125" i="13" s="1"/>
  <c r="X214" i="13"/>
  <c r="Y214" i="13" s="1"/>
  <c r="AB196" i="13"/>
  <c r="X194" i="13"/>
  <c r="Y194" i="13" s="1"/>
  <c r="X190" i="13"/>
  <c r="Y190" i="13" s="1"/>
  <c r="X186" i="13"/>
  <c r="Y186" i="13" s="1"/>
  <c r="X174" i="13"/>
  <c r="Y174" i="13" s="1"/>
  <c r="X64" i="13"/>
  <c r="Y64" i="13" s="1"/>
  <c r="X218" i="13"/>
  <c r="Y218" i="13" s="1"/>
  <c r="X178" i="13"/>
  <c r="Y178" i="13" s="1"/>
  <c r="X154" i="13"/>
  <c r="Y154" i="13" s="1"/>
  <c r="X149" i="13"/>
  <c r="Y149" i="13" s="1"/>
  <c r="X138" i="13"/>
  <c r="Y138" i="13" s="1"/>
  <c r="X133" i="13"/>
  <c r="Y133" i="13" s="1"/>
  <c r="X97" i="13"/>
  <c r="Y97" i="13" s="1"/>
  <c r="X93" i="13"/>
  <c r="Y93" i="13" s="1"/>
  <c r="X198" i="13"/>
  <c r="Y198" i="13" s="1"/>
  <c r="X182" i="13"/>
  <c r="Y182" i="13" s="1"/>
  <c r="X177" i="13"/>
  <c r="Y177" i="13" s="1"/>
  <c r="X169" i="13"/>
  <c r="Y169" i="13" s="1"/>
  <c r="X158" i="13"/>
  <c r="Y158" i="13" s="1"/>
  <c r="X153" i="13"/>
  <c r="Y153" i="13" s="1"/>
  <c r="X142" i="13"/>
  <c r="Y142" i="13" s="1"/>
  <c r="X137" i="13"/>
  <c r="Y137" i="13" s="1"/>
  <c r="X126" i="13"/>
  <c r="Y126" i="13" s="1"/>
  <c r="X207" i="13"/>
  <c r="Y207" i="13" s="1"/>
  <c r="X162" i="13"/>
  <c r="Y162" i="13" s="1"/>
  <c r="X121" i="13"/>
  <c r="Y121" i="13" s="1"/>
  <c r="X110" i="13"/>
  <c r="Y110" i="13" s="1"/>
  <c r="X105" i="13"/>
  <c r="Y105" i="13" s="1"/>
  <c r="X90" i="13"/>
  <c r="Y90" i="13" s="1"/>
  <c r="X74" i="13"/>
  <c r="Y74" i="13" s="1"/>
  <c r="X65" i="13"/>
  <c r="Y65" i="13" s="1"/>
  <c r="X114" i="13"/>
  <c r="Y114" i="13" s="1"/>
  <c r="X76" i="13"/>
  <c r="Y76" i="13" s="1"/>
  <c r="X66" i="13"/>
  <c r="Y66" i="13" s="1"/>
  <c r="X61" i="13"/>
  <c r="Y61" i="13" s="1"/>
  <c r="X54" i="13"/>
  <c r="Y54" i="13" s="1"/>
  <c r="X80" i="13"/>
  <c r="Y80" i="13" s="1"/>
  <c r="X109" i="13"/>
  <c r="Y109" i="13" s="1"/>
  <c r="X73" i="13"/>
  <c r="Y73" i="13" s="1"/>
  <c r="X56" i="13"/>
  <c r="Y56" i="13" s="1"/>
  <c r="X44" i="13"/>
  <c r="Y44" i="13" s="1"/>
  <c r="X37" i="13"/>
  <c r="Y37" i="13" s="1"/>
  <c r="X72" i="13"/>
  <c r="Y72" i="13" s="1"/>
  <c r="H166" i="5"/>
  <c r="G165" i="5"/>
  <c r="X69" i="13"/>
  <c r="Y69" i="13" s="1"/>
  <c r="X45" i="13"/>
  <c r="Y45" i="13" s="1"/>
  <c r="X98" i="13"/>
  <c r="Y98" i="13" s="1"/>
  <c r="X62" i="13"/>
  <c r="Y62" i="13" s="1"/>
  <c r="X58" i="13"/>
  <c r="Y58" i="13" s="1"/>
  <c r="F167" i="5"/>
  <c r="E166" i="5"/>
  <c r="D165" i="5"/>
  <c r="C164" i="5"/>
  <c r="B163" i="5"/>
  <c r="H161" i="5"/>
  <c r="G160" i="5"/>
  <c r="F159" i="5"/>
  <c r="E158" i="5"/>
  <c r="D157" i="5"/>
  <c r="C156" i="5"/>
  <c r="B155" i="5"/>
  <c r="AB5" i="13"/>
  <c r="R482" i="13"/>
  <c r="R474" i="13"/>
  <c r="R435" i="13"/>
  <c r="R404" i="13"/>
  <c r="R388" i="13"/>
  <c r="R376" i="13"/>
  <c r="R368" i="13"/>
  <c r="R360" i="13"/>
  <c r="R415" i="13"/>
  <c r="R447" i="13"/>
  <c r="R475" i="13"/>
  <c r="R421" i="13"/>
  <c r="R409" i="13"/>
  <c r="R398" i="13"/>
  <c r="R402" i="13"/>
  <c r="R420" i="13"/>
  <c r="R378" i="13"/>
  <c r="Q276" i="13"/>
  <c r="AE276" i="13" s="1"/>
  <c r="R327" i="13"/>
  <c r="R374" i="13"/>
  <c r="R363" i="13"/>
  <c r="R335" i="13"/>
  <c r="R306" i="13"/>
  <c r="R355" i="13"/>
  <c r="R285" i="13"/>
  <c r="R287" i="13"/>
  <c r="R325" i="13"/>
  <c r="Q287" i="13"/>
  <c r="AE287" i="13" s="1"/>
  <c r="R300" i="13"/>
  <c r="R259" i="13"/>
  <c r="R275" i="13"/>
  <c r="R255" i="13"/>
  <c r="R303" i="13"/>
  <c r="R221" i="13"/>
  <c r="R217" i="13"/>
  <c r="R214" i="13"/>
  <c r="R212" i="13"/>
  <c r="R190" i="13"/>
  <c r="R154" i="13"/>
  <c r="R110" i="13"/>
  <c r="R58" i="13"/>
  <c r="R228" i="13"/>
  <c r="R276" i="13"/>
  <c r="R236" i="13"/>
  <c r="R159" i="13"/>
  <c r="R155" i="13"/>
  <c r="R147" i="13"/>
  <c r="R123" i="13"/>
  <c r="R103" i="13"/>
  <c r="R253" i="13"/>
  <c r="R177" i="13"/>
  <c r="R117" i="13"/>
  <c r="R101" i="13"/>
  <c r="R68" i="13"/>
  <c r="R65" i="13"/>
  <c r="R156" i="13"/>
  <c r="R153" i="13"/>
  <c r="R69" i="13"/>
  <c r="R105" i="13"/>
  <c r="R157" i="13"/>
  <c r="R164" i="13"/>
  <c r="R173" i="13"/>
  <c r="R113" i="13"/>
  <c r="Q88" i="13"/>
  <c r="AE88" i="13" s="1"/>
  <c r="R57" i="13"/>
  <c r="R35" i="13"/>
  <c r="R84" i="13"/>
  <c r="R75" i="13"/>
  <c r="R53" i="13"/>
  <c r="R22" i="13"/>
  <c r="R47" i="13"/>
  <c r="R21" i="13"/>
  <c r="R71" i="13"/>
  <c r="AE6" i="13"/>
  <c r="R83" i="13"/>
  <c r="R97" i="13"/>
  <c r="R55" i="13"/>
  <c r="R52" i="13"/>
  <c r="R51" i="13"/>
  <c r="R88" i="13"/>
  <c r="R11" i="13"/>
  <c r="R40" i="13"/>
  <c r="C65" i="5"/>
  <c r="C63" i="5"/>
  <c r="C61" i="5"/>
  <c r="C59" i="5"/>
  <c r="R8" i="13"/>
  <c r="AK8" i="13"/>
  <c r="AL8" i="13" s="1"/>
  <c r="AR10" i="13"/>
  <c r="AI11" i="13"/>
  <c r="C15" i="8" s="1"/>
  <c r="R12" i="13"/>
  <c r="AK12" i="13"/>
  <c r="AI15" i="13"/>
  <c r="AL15" i="13" s="1"/>
  <c r="R16" i="13"/>
  <c r="AK16" i="13"/>
  <c r="Q143" i="13"/>
  <c r="AE143" i="13" s="1"/>
  <c r="Q109" i="13"/>
  <c r="AE109" i="13" s="1"/>
  <c r="Q17" i="13"/>
  <c r="AE17" i="13" s="1"/>
  <c r="X17" i="13"/>
  <c r="Y17" i="13" s="1"/>
  <c r="AI17" i="13"/>
  <c r="AL17" i="13" s="1"/>
  <c r="AE18" i="13"/>
  <c r="C106" i="5" s="1"/>
  <c r="C58" i="12" s="1"/>
  <c r="E58" i="12" s="1"/>
  <c r="AJ21" i="13"/>
  <c r="AL21" i="13" s="1"/>
  <c r="AT21" i="13"/>
  <c r="AR21" i="13"/>
  <c r="X22" i="13"/>
  <c r="Y22" i="13" s="1"/>
  <c r="W22" i="13"/>
  <c r="AB22" i="13"/>
  <c r="T22" i="13"/>
  <c r="E27" i="18" s="1"/>
  <c r="AL27" i="13"/>
  <c r="AB490" i="13"/>
  <c r="AB344" i="13"/>
  <c r="AB370" i="13"/>
  <c r="AB29" i="13"/>
  <c r="AD29" i="13" s="1"/>
  <c r="T29" i="13"/>
  <c r="X29" i="13"/>
  <c r="Y29" i="13" s="1"/>
  <c r="U29" i="13"/>
  <c r="X33" i="13"/>
  <c r="Y33" i="13" s="1"/>
  <c r="Q35" i="13"/>
  <c r="AE35" i="13" s="1"/>
  <c r="X38" i="13"/>
  <c r="Y38" i="13" s="1"/>
  <c r="X40" i="13"/>
  <c r="Y40" i="13" s="1"/>
  <c r="AE107" i="13"/>
  <c r="AK37" i="13"/>
  <c r="AI40" i="13"/>
  <c r="AL40" i="13" s="1"/>
  <c r="AB478" i="13"/>
  <c r="AD478" i="13" s="1"/>
  <c r="AB438" i="13"/>
  <c r="AD438" i="13" s="1"/>
  <c r="AB444" i="13"/>
  <c r="AD444" i="13" s="1"/>
  <c r="AB369" i="13"/>
  <c r="AD369" i="13" s="1"/>
  <c r="AB356" i="13"/>
  <c r="AB280" i="13"/>
  <c r="AB271" i="13"/>
  <c r="AD271" i="13" s="1"/>
  <c r="AB261" i="13"/>
  <c r="AB41" i="13"/>
  <c r="AD41" i="13" s="1"/>
  <c r="T41" i="13"/>
  <c r="AB206" i="13"/>
  <c r="AD206" i="13" s="1"/>
  <c r="U45" i="13"/>
  <c r="Q68" i="13"/>
  <c r="AE68" i="13" s="1"/>
  <c r="Q155" i="13"/>
  <c r="U47" i="13"/>
  <c r="R7" i="13"/>
  <c r="E26" i="17" s="1"/>
  <c r="X8" i="13"/>
  <c r="Y8" i="13" s="1"/>
  <c r="X12" i="13"/>
  <c r="Y12" i="13" s="1"/>
  <c r="R19" i="13"/>
  <c r="R23" i="13"/>
  <c r="T26" i="13"/>
  <c r="B11" i="5" s="1"/>
  <c r="AB26" i="13"/>
  <c r="AD26" i="13" s="1"/>
  <c r="R27" i="13"/>
  <c r="T30" i="13"/>
  <c r="AB30" i="13"/>
  <c r="R31" i="13"/>
  <c r="Q32" i="13"/>
  <c r="AE32" i="13" s="1"/>
  <c r="R33" i="13"/>
  <c r="AT33" i="13"/>
  <c r="U34" i="13"/>
  <c r="AK34" i="13"/>
  <c r="AL34" i="13" s="1"/>
  <c r="X35" i="13"/>
  <c r="Y35" i="13" s="1"/>
  <c r="AB35" i="13"/>
  <c r="AB307" i="13"/>
  <c r="AB37" i="13"/>
  <c r="T37" i="13"/>
  <c r="Q309" i="13"/>
  <c r="Q265" i="13"/>
  <c r="Q328" i="13"/>
  <c r="AE328" i="13" s="1"/>
  <c r="Q246" i="13"/>
  <c r="Q199" i="13"/>
  <c r="Q119" i="13"/>
  <c r="T39" i="13"/>
  <c r="B48" i="17" s="1"/>
  <c r="AK39" i="13"/>
  <c r="AB475" i="13"/>
  <c r="AB398" i="13"/>
  <c r="AB435" i="13"/>
  <c r="AB404" i="13"/>
  <c r="AD404" i="13" s="1"/>
  <c r="AB368" i="13"/>
  <c r="AB303" i="13"/>
  <c r="AD303" i="13" s="1"/>
  <c r="AB275" i="13"/>
  <c r="AD275" i="13" s="1"/>
  <c r="AJ40" i="13"/>
  <c r="U41" i="13"/>
  <c r="W42" i="13"/>
  <c r="AE42" i="13"/>
  <c r="Q487" i="13"/>
  <c r="Q460" i="13"/>
  <c r="Q395" i="13"/>
  <c r="Q281" i="13"/>
  <c r="AE281" i="13" s="1"/>
  <c r="Q290" i="13"/>
  <c r="Q194" i="13"/>
  <c r="AE194" i="13" s="1"/>
  <c r="Q250" i="13"/>
  <c r="Q229" i="13"/>
  <c r="AE229" i="13" s="1"/>
  <c r="Q240" i="13"/>
  <c r="Q215" i="13"/>
  <c r="AE215" i="13" s="1"/>
  <c r="Q135" i="13"/>
  <c r="AE135" i="13" s="1"/>
  <c r="Q120" i="13"/>
  <c r="AE120" i="13" s="1"/>
  <c r="Q180" i="13"/>
  <c r="Q148" i="13"/>
  <c r="AE148" i="13" s="1"/>
  <c r="U43" i="13"/>
  <c r="T44" i="13"/>
  <c r="AB44" i="13"/>
  <c r="AK44" i="13"/>
  <c r="AL44" i="13" s="1"/>
  <c r="AE47" i="13"/>
  <c r="U48" i="13"/>
  <c r="AI50" i="13"/>
  <c r="AJ52" i="13"/>
  <c r="AI54" i="13"/>
  <c r="Q55" i="13"/>
  <c r="AE55" i="13" s="1"/>
  <c r="AB390" i="13"/>
  <c r="AB340" i="13"/>
  <c r="AD340" i="13" s="1"/>
  <c r="X60" i="13"/>
  <c r="Y60" i="13" s="1"/>
  <c r="W60" i="13"/>
  <c r="AB172" i="13"/>
  <c r="AD60" i="13"/>
  <c r="W63" i="13"/>
  <c r="Q65" i="13"/>
  <c r="AE65" i="13" s="1"/>
  <c r="Q147" i="13"/>
  <c r="AJ69" i="13"/>
  <c r="AT69" i="13"/>
  <c r="C29" i="20" s="1"/>
  <c r="AI71" i="13"/>
  <c r="AL71" i="13" s="1"/>
  <c r="AR72" i="13"/>
  <c r="AJ74" i="13"/>
  <c r="X79" i="13"/>
  <c r="Y79" i="13" s="1"/>
  <c r="U79" i="13"/>
  <c r="T79" i="13"/>
  <c r="AE82" i="13"/>
  <c r="AB85" i="13"/>
  <c r="AD85" i="13" s="1"/>
  <c r="T85" i="13"/>
  <c r="X85" i="13"/>
  <c r="Y85" i="13" s="1"/>
  <c r="AB62" i="13"/>
  <c r="W85" i="13"/>
  <c r="AR104" i="13"/>
  <c r="Q105" i="13"/>
  <c r="AE114" i="13"/>
  <c r="AE121" i="13"/>
  <c r="X122" i="13"/>
  <c r="Y122" i="13" s="1"/>
  <c r="AE126" i="13"/>
  <c r="AB470" i="13"/>
  <c r="AD470" i="13" s="1"/>
  <c r="AB456" i="13"/>
  <c r="AB382" i="13"/>
  <c r="AB357" i="13"/>
  <c r="AD357" i="13" s="1"/>
  <c r="AB338" i="13"/>
  <c r="AB361" i="13"/>
  <c r="AB277" i="13"/>
  <c r="AB291" i="13"/>
  <c r="AD291" i="13" s="1"/>
  <c r="X31" i="13"/>
  <c r="Y31" i="13" s="1"/>
  <c r="AB31" i="13"/>
  <c r="AD31" i="13" s="1"/>
  <c r="AL32" i="13"/>
  <c r="AB33" i="13"/>
  <c r="T33" i="13"/>
  <c r="Q485" i="13"/>
  <c r="Q480" i="13"/>
  <c r="Q373" i="13"/>
  <c r="AE373" i="13" s="1"/>
  <c r="Q401" i="13"/>
  <c r="AE401" i="13" s="1"/>
  <c r="Q383" i="13"/>
  <c r="Q312" i="13"/>
  <c r="AE312" i="13" s="1"/>
  <c r="Q292" i="13"/>
  <c r="AE292" i="13" s="1"/>
  <c r="Q278" i="13"/>
  <c r="Q222" i="13"/>
  <c r="Q231" i="13"/>
  <c r="Q133" i="13"/>
  <c r="AE133" i="13" s="1"/>
  <c r="Q93" i="13"/>
  <c r="AE93" i="13" s="1"/>
  <c r="Q192" i="13"/>
  <c r="Q478" i="13"/>
  <c r="AE478" i="13" s="1"/>
  <c r="Q444" i="13"/>
  <c r="AE444" i="13" s="1"/>
  <c r="Q438" i="13"/>
  <c r="AE438" i="13" s="1"/>
  <c r="Q472" i="13"/>
  <c r="Q385" i="13"/>
  <c r="AE385" i="13" s="1"/>
  <c r="Q455" i="13"/>
  <c r="Q369" i="13"/>
  <c r="AE369" i="13" s="1"/>
  <c r="Q261" i="13"/>
  <c r="Q343" i="13"/>
  <c r="Q280" i="13"/>
  <c r="Q356" i="13"/>
  <c r="AE356" i="13" s="1"/>
  <c r="Q349" i="13"/>
  <c r="Q337" i="13"/>
  <c r="Q271" i="13"/>
  <c r="AE271" i="13" s="1"/>
  <c r="Q206" i="13"/>
  <c r="AE206" i="13" s="1"/>
  <c r="Q211" i="13"/>
  <c r="AE211" i="13" s="1"/>
  <c r="Q168" i="13"/>
  <c r="AE168" i="13" s="1"/>
  <c r="AE41" i="13"/>
  <c r="X42" i="13"/>
  <c r="Y42" i="13" s="1"/>
  <c r="AR45" i="13"/>
  <c r="AB50" i="13"/>
  <c r="AJ50" i="13"/>
  <c r="AB288" i="13"/>
  <c r="AD288" i="13" s="1"/>
  <c r="AB324" i="13"/>
  <c r="AD324" i="13" s="1"/>
  <c r="AB241" i="13"/>
  <c r="AB54" i="13"/>
  <c r="AD54" i="13" s="1"/>
  <c r="AJ54" i="13"/>
  <c r="AI58" i="13"/>
  <c r="AL58" i="13" s="1"/>
  <c r="R61" i="13"/>
  <c r="Q467" i="13"/>
  <c r="Q273" i="13"/>
  <c r="AE273" i="13" s="1"/>
  <c r="Q320" i="13"/>
  <c r="AE320" i="13" s="1"/>
  <c r="Q298" i="13"/>
  <c r="Q63" i="13"/>
  <c r="Q161" i="13"/>
  <c r="AE161" i="13" s="1"/>
  <c r="Q132" i="13"/>
  <c r="AE132" i="13" s="1"/>
  <c r="Q118" i="13"/>
  <c r="AE118" i="13" s="1"/>
  <c r="AI63" i="13"/>
  <c r="AK63" i="13"/>
  <c r="R64" i="13"/>
  <c r="W68" i="13"/>
  <c r="R73" i="13"/>
  <c r="AK78" i="13"/>
  <c r="AE84" i="13"/>
  <c r="AL84" i="13"/>
  <c r="X86" i="13"/>
  <c r="Y86" i="13" s="1"/>
  <c r="AB86" i="13"/>
  <c r="T86" i="13"/>
  <c r="W88" i="13"/>
  <c r="U88" i="13"/>
  <c r="Q94" i="13"/>
  <c r="AJ97" i="13"/>
  <c r="AI97" i="13"/>
  <c r="AB101" i="13"/>
  <c r="T101" i="13"/>
  <c r="W101" i="13"/>
  <c r="U101" i="13"/>
  <c r="AE106" i="13"/>
  <c r="X130" i="13"/>
  <c r="Y130" i="13" s="1"/>
  <c r="AL135" i="13"/>
  <c r="AE144" i="13"/>
  <c r="AE157" i="13"/>
  <c r="AB192" i="13"/>
  <c r="X51" i="13"/>
  <c r="Y51" i="13" s="1"/>
  <c r="AB221" i="13"/>
  <c r="W51" i="13"/>
  <c r="AB52" i="13"/>
  <c r="X55" i="13"/>
  <c r="Y55" i="13" s="1"/>
  <c r="W55" i="13"/>
  <c r="R59" i="13"/>
  <c r="AT72" i="13"/>
  <c r="AJ72" i="13"/>
  <c r="AI72" i="13"/>
  <c r="AL72" i="13" s="1"/>
  <c r="AB74" i="13"/>
  <c r="AD77" i="13"/>
  <c r="AB78" i="13"/>
  <c r="AE79" i="13"/>
  <c r="AD83" i="13"/>
  <c r="AJ84" i="13"/>
  <c r="U86" i="13"/>
  <c r="T88" i="13"/>
  <c r="Q89" i="13"/>
  <c r="AE89" i="13" s="1"/>
  <c r="X92" i="13"/>
  <c r="Y92" i="13" s="1"/>
  <c r="AD92" i="13"/>
  <c r="X94" i="13"/>
  <c r="Y94" i="13" s="1"/>
  <c r="X96" i="13"/>
  <c r="Y96" i="13" s="1"/>
  <c r="W96" i="13"/>
  <c r="U96" i="13"/>
  <c r="X104" i="13"/>
  <c r="Y104" i="13" s="1"/>
  <c r="U104" i="13"/>
  <c r="T104" i="13"/>
  <c r="AK112" i="13"/>
  <c r="AI112" i="13"/>
  <c r="AL112" i="13" s="1"/>
  <c r="AB188" i="13"/>
  <c r="AD188" i="13" s="1"/>
  <c r="R478" i="13"/>
  <c r="R438" i="13"/>
  <c r="R426" i="13"/>
  <c r="R493" i="13"/>
  <c r="Q476" i="13"/>
  <c r="Q469" i="13"/>
  <c r="Q436" i="13"/>
  <c r="R392" i="13"/>
  <c r="R356" i="13"/>
  <c r="R352" i="13"/>
  <c r="R316" i="13"/>
  <c r="R444" i="13"/>
  <c r="R452" i="13"/>
  <c r="R448" i="13"/>
  <c r="R445" i="13"/>
  <c r="Q441" i="13"/>
  <c r="AE441" i="13" s="1"/>
  <c r="R472" i="13"/>
  <c r="Q452" i="13"/>
  <c r="AE452" i="13" s="1"/>
  <c r="R461" i="13"/>
  <c r="R379" i="13"/>
  <c r="R350" i="13"/>
  <c r="R381" i="13"/>
  <c r="Q379" i="13"/>
  <c r="R351" i="13"/>
  <c r="R349" i="13"/>
  <c r="R432" i="13"/>
  <c r="R465" i="13"/>
  <c r="Q465" i="13"/>
  <c r="R455" i="13"/>
  <c r="R439" i="13"/>
  <c r="R469" i="13"/>
  <c r="R441" i="13"/>
  <c r="R436" i="13"/>
  <c r="R410" i="13"/>
  <c r="R397" i="13"/>
  <c r="R473" i="13"/>
  <c r="Q392" i="13"/>
  <c r="R476" i="13"/>
  <c r="R433" i="13"/>
  <c r="Q362" i="13"/>
  <c r="AE362" i="13" s="1"/>
  <c r="R343" i="13"/>
  <c r="R341" i="13"/>
  <c r="R317" i="13"/>
  <c r="R385" i="13"/>
  <c r="R369" i="13"/>
  <c r="R367" i="13"/>
  <c r="R323" i="13"/>
  <c r="Q352" i="13"/>
  <c r="AE352" i="13" s="1"/>
  <c r="R346" i="13"/>
  <c r="R330" i="13"/>
  <c r="Q346" i="13"/>
  <c r="R334" i="13"/>
  <c r="Q330" i="13"/>
  <c r="AE330" i="13" s="1"/>
  <c r="R294" i="13"/>
  <c r="R337" i="13"/>
  <c r="R362" i="13"/>
  <c r="R342" i="13"/>
  <c r="Q294" i="13"/>
  <c r="R271" i="13"/>
  <c r="R280" i="13"/>
  <c r="R267" i="13"/>
  <c r="Q323" i="13"/>
  <c r="R279" i="13"/>
  <c r="Q264" i="13"/>
  <c r="AE264" i="13" s="1"/>
  <c r="R261" i="13"/>
  <c r="R260" i="13"/>
  <c r="R308" i="13"/>
  <c r="R286" i="13"/>
  <c r="Q279" i="13"/>
  <c r="AE279" i="13" s="1"/>
  <c r="R270" i="13"/>
  <c r="R211" i="13"/>
  <c r="R282" i="13"/>
  <c r="R206" i="13"/>
  <c r="R166" i="13"/>
  <c r="R138" i="13"/>
  <c r="R134" i="13"/>
  <c r="R106" i="13"/>
  <c r="R94" i="13"/>
  <c r="R66" i="13"/>
  <c r="R46" i="13"/>
  <c r="R274" i="13"/>
  <c r="R226" i="13"/>
  <c r="R224" i="13"/>
  <c r="R264" i="13"/>
  <c r="R242" i="13"/>
  <c r="R203" i="13"/>
  <c r="R210" i="13"/>
  <c r="Q203" i="13"/>
  <c r="AE203" i="13" s="1"/>
  <c r="Q91" i="13"/>
  <c r="AE91" i="13" s="1"/>
  <c r="R140" i="13"/>
  <c r="R67" i="13"/>
  <c r="R160" i="13"/>
  <c r="Q140" i="13"/>
  <c r="R108" i="13"/>
  <c r="R185" i="13"/>
  <c r="R176" i="13"/>
  <c r="R144" i="13"/>
  <c r="Q166" i="13"/>
  <c r="R125" i="13"/>
  <c r="Q134" i="13"/>
  <c r="AE134" i="13" s="1"/>
  <c r="R168" i="13"/>
  <c r="AB482" i="13"/>
  <c r="AD482" i="13" s="1"/>
  <c r="AB474" i="13"/>
  <c r="AD474" i="13" s="1"/>
  <c r="AB420" i="13"/>
  <c r="AD420" i="13" s="1"/>
  <c r="AB376" i="13"/>
  <c r="AD376" i="13" s="1"/>
  <c r="AB409" i="13"/>
  <c r="AD409" i="13" s="1"/>
  <c r="AB360" i="13"/>
  <c r="AB300" i="13"/>
  <c r="AB217" i="13"/>
  <c r="AB419" i="13"/>
  <c r="AD419" i="13" s="1"/>
  <c r="AB386" i="13"/>
  <c r="AB314" i="13"/>
  <c r="AD314" i="13" s="1"/>
  <c r="AB304" i="13"/>
  <c r="AD304" i="13" s="1"/>
  <c r="AB284" i="13"/>
  <c r="AD284" i="13" s="1"/>
  <c r="AB268" i="13"/>
  <c r="AB243" i="13"/>
  <c r="AD243" i="13" s="1"/>
  <c r="AB207" i="13"/>
  <c r="AD207" i="13" s="1"/>
  <c r="AB195" i="13"/>
  <c r="Q426" i="13"/>
  <c r="Q448" i="13"/>
  <c r="AE448" i="13" s="1"/>
  <c r="Q461" i="13"/>
  <c r="AE461" i="13" s="1"/>
  <c r="Q342" i="13"/>
  <c r="Q274" i="13"/>
  <c r="Q286" i="13"/>
  <c r="Q267" i="13"/>
  <c r="AE267" i="13" s="1"/>
  <c r="Q125" i="13"/>
  <c r="AE125" i="13" s="1"/>
  <c r="R470" i="13"/>
  <c r="R483" i="13"/>
  <c r="Q483" i="13"/>
  <c r="AE483" i="13" s="1"/>
  <c r="Q471" i="13"/>
  <c r="R416" i="13"/>
  <c r="R412" i="13"/>
  <c r="R408" i="13"/>
  <c r="R348" i="13"/>
  <c r="R336" i="13"/>
  <c r="R324" i="13"/>
  <c r="R320" i="13"/>
  <c r="R407" i="13"/>
  <c r="R481" i="13"/>
  <c r="R471" i="13"/>
  <c r="R456" i="13"/>
  <c r="Q407" i="13"/>
  <c r="AE407" i="13" s="1"/>
  <c r="R467" i="13"/>
  <c r="R459" i="13"/>
  <c r="R417" i="13"/>
  <c r="R382" i="13"/>
  <c r="Q459" i="13"/>
  <c r="AE459" i="13" s="1"/>
  <c r="R429" i="13"/>
  <c r="Q417" i="13"/>
  <c r="AE417" i="13" s="1"/>
  <c r="R413" i="13"/>
  <c r="Q413" i="13"/>
  <c r="AE413" i="13" s="1"/>
  <c r="R394" i="13"/>
  <c r="R464" i="13"/>
  <c r="R405" i="13"/>
  <c r="R371" i="13"/>
  <c r="Q336" i="13"/>
  <c r="AE336" i="13" s="1"/>
  <c r="R318" i="13"/>
  <c r="R315" i="13"/>
  <c r="Q289" i="13"/>
  <c r="R357" i="13"/>
  <c r="Q318" i="13"/>
  <c r="AE318" i="13" s="1"/>
  <c r="R359" i="13"/>
  <c r="R326" i="13"/>
  <c r="R321" i="13"/>
  <c r="R361" i="13"/>
  <c r="R338" i="13"/>
  <c r="R298" i="13"/>
  <c r="R289" i="13"/>
  <c r="R277" i="13"/>
  <c r="R273" i="13"/>
  <c r="R269" i="13"/>
  <c r="R288" i="13"/>
  <c r="Q263" i="13"/>
  <c r="AE263" i="13" s="1"/>
  <c r="R291" i="13"/>
  <c r="R247" i="13"/>
  <c r="Q213" i="13"/>
  <c r="AE213" i="13" s="1"/>
  <c r="R186" i="13"/>
  <c r="R158" i="13"/>
  <c r="R146" i="13"/>
  <c r="R118" i="13"/>
  <c r="R86" i="13"/>
  <c r="R82" i="13"/>
  <c r="R54" i="13"/>
  <c r="R42" i="13"/>
  <c r="Q247" i="13"/>
  <c r="AE247" i="13" s="1"/>
  <c r="R205" i="13"/>
  <c r="R201" i="13"/>
  <c r="R233" i="13"/>
  <c r="R230" i="13"/>
  <c r="R237" i="13"/>
  <c r="R263" i="13"/>
  <c r="R241" i="13"/>
  <c r="R191" i="13"/>
  <c r="R183" i="13"/>
  <c r="R163" i="13"/>
  <c r="R127" i="13"/>
  <c r="R99" i="13"/>
  <c r="R249" i="13"/>
  <c r="R213" i="13"/>
  <c r="Q191" i="13"/>
  <c r="Q205" i="13"/>
  <c r="AE205" i="13" s="1"/>
  <c r="R152" i="13"/>
  <c r="R181" i="13"/>
  <c r="Q152" i="13"/>
  <c r="R63" i="13"/>
  <c r="Q181" i="13"/>
  <c r="AE181" i="13" s="1"/>
  <c r="R72" i="13"/>
  <c r="R128" i="13"/>
  <c r="R161" i="13"/>
  <c r="Q128" i="13"/>
  <c r="R132" i="13"/>
  <c r="R129" i="13"/>
  <c r="R116" i="13"/>
  <c r="R100" i="13"/>
  <c r="R92" i="13"/>
  <c r="R89" i="13"/>
  <c r="W26" i="13"/>
  <c r="U27" i="13"/>
  <c r="B89" i="8" s="1"/>
  <c r="AJ28" i="13"/>
  <c r="AL28" i="13" s="1"/>
  <c r="W30" i="13"/>
  <c r="Q481" i="13"/>
  <c r="AE481" i="13" s="1"/>
  <c r="Q470" i="13"/>
  <c r="AE470" i="13" s="1"/>
  <c r="Q412" i="13"/>
  <c r="Q382" i="13"/>
  <c r="AE382" i="13" s="1"/>
  <c r="Q429" i="13"/>
  <c r="AE429" i="13" s="1"/>
  <c r="Q456" i="13"/>
  <c r="AE456" i="13" s="1"/>
  <c r="Q394" i="13"/>
  <c r="AE394" i="13" s="1"/>
  <c r="Q464" i="13"/>
  <c r="AE464" i="13" s="1"/>
  <c r="Q416" i="13"/>
  <c r="Q405" i="13"/>
  <c r="AE405" i="13" s="1"/>
  <c r="Q371" i="13"/>
  <c r="AE371" i="13" s="1"/>
  <c r="Q277" i="13"/>
  <c r="AE277" i="13" s="1"/>
  <c r="Q269" i="13"/>
  <c r="AE269" i="13" s="1"/>
  <c r="Q315" i="13"/>
  <c r="Q357" i="13"/>
  <c r="AE357" i="13" s="1"/>
  <c r="Q348" i="13"/>
  <c r="Q326" i="13"/>
  <c r="AE326" i="13" s="1"/>
  <c r="Q361" i="13"/>
  <c r="AE361" i="13" s="1"/>
  <c r="Q338" i="13"/>
  <c r="AE338" i="13" s="1"/>
  <c r="Q291" i="13"/>
  <c r="AE291" i="13" s="1"/>
  <c r="Q321" i="13"/>
  <c r="AE321" i="13" s="1"/>
  <c r="Q249" i="13"/>
  <c r="AE249" i="13" s="1"/>
  <c r="Q233" i="13"/>
  <c r="AE233" i="13" s="1"/>
  <c r="Q237" i="13"/>
  <c r="Q183" i="13"/>
  <c r="Q146" i="13"/>
  <c r="AE146" i="13" s="1"/>
  <c r="Q163" i="13"/>
  <c r="U31" i="13"/>
  <c r="U36" i="13"/>
  <c r="AR37" i="13"/>
  <c r="X41" i="13"/>
  <c r="Y41" i="13" s="1"/>
  <c r="Q47" i="13"/>
  <c r="U50" i="13"/>
  <c r="T51" i="13"/>
  <c r="T52" i="13"/>
  <c r="U54" i="13"/>
  <c r="T55" i="13"/>
  <c r="Q329" i="13"/>
  <c r="Q366" i="13"/>
  <c r="AE366" i="13" s="1"/>
  <c r="Q136" i="13"/>
  <c r="Q174" i="13"/>
  <c r="AE174" i="13" s="1"/>
  <c r="Q56" i="13"/>
  <c r="AE56" i="13" s="1"/>
  <c r="AB57" i="13"/>
  <c r="T57" i="13"/>
  <c r="X57" i="13"/>
  <c r="Y57" i="13" s="1"/>
  <c r="Q390" i="13"/>
  <c r="AE390" i="13" s="1"/>
  <c r="Q451" i="13"/>
  <c r="AE451" i="13" s="1"/>
  <c r="Q403" i="13"/>
  <c r="Q340" i="13"/>
  <c r="Q172" i="13"/>
  <c r="Q121" i="13"/>
  <c r="Q184" i="13"/>
  <c r="AL60" i="13"/>
  <c r="AE61" i="13"/>
  <c r="AE64" i="13"/>
  <c r="AR65" i="13"/>
  <c r="Q66" i="13"/>
  <c r="AR66" i="13"/>
  <c r="AI69" i="13"/>
  <c r="AL69" i="13" s="1"/>
  <c r="AD74" i="13"/>
  <c r="AT76" i="13"/>
  <c r="AJ76" i="13"/>
  <c r="X78" i="13"/>
  <c r="Y78" i="13" s="1"/>
  <c r="W78" i="13"/>
  <c r="AD78" i="13"/>
  <c r="X83" i="13"/>
  <c r="Y83" i="13" s="1"/>
  <c r="W83" i="13"/>
  <c r="U83" i="13"/>
  <c r="AB89" i="13"/>
  <c r="AD89" i="13" s="1"/>
  <c r="T89" i="13"/>
  <c r="X89" i="13"/>
  <c r="Y89" i="13" s="1"/>
  <c r="W89" i="13"/>
  <c r="AR92" i="13"/>
  <c r="AJ93" i="13"/>
  <c r="AT93" i="13"/>
  <c r="AI93" i="13"/>
  <c r="T96" i="13"/>
  <c r="AK4" i="16" s="1"/>
  <c r="AL96" i="13"/>
  <c r="AE98" i="13"/>
  <c r="X101" i="13"/>
  <c r="Y101" i="13" s="1"/>
  <c r="AE113" i="13"/>
  <c r="AK114" i="13"/>
  <c r="AI114" i="13"/>
  <c r="AL114" i="13" s="1"/>
  <c r="X117" i="13"/>
  <c r="Y117" i="13" s="1"/>
  <c r="AE141" i="13"/>
  <c r="AE152" i="13"/>
  <c r="AE164" i="13"/>
  <c r="AE166" i="13"/>
  <c r="AD166" i="13"/>
  <c r="AE179" i="13"/>
  <c r="AE182" i="13"/>
  <c r="AB183" i="13"/>
  <c r="AD183" i="13" s="1"/>
  <c r="Q490" i="13"/>
  <c r="Q450" i="13"/>
  <c r="Q389" i="13"/>
  <c r="AE389" i="13" s="1"/>
  <c r="Q370" i="13"/>
  <c r="AE370" i="13" s="1"/>
  <c r="Q344" i="13"/>
  <c r="AE344" i="13" s="1"/>
  <c r="Q365" i="13"/>
  <c r="Q262" i="13"/>
  <c r="Q254" i="13"/>
  <c r="Q111" i="13"/>
  <c r="AE111" i="13" s="1"/>
  <c r="Q170" i="13"/>
  <c r="AE170" i="13" s="1"/>
  <c r="AE29" i="13"/>
  <c r="W33" i="13"/>
  <c r="AR33" i="13"/>
  <c r="AI42" i="13"/>
  <c r="AL42" i="13" s="1"/>
  <c r="AI45" i="13"/>
  <c r="AL45" i="13" s="1"/>
  <c r="AI47" i="13"/>
  <c r="AL47" i="13" s="1"/>
  <c r="Q257" i="13"/>
  <c r="Q145" i="13"/>
  <c r="AE145" i="13" s="1"/>
  <c r="AE50" i="13"/>
  <c r="Q221" i="13"/>
  <c r="Q173" i="13"/>
  <c r="AE173" i="13" s="1"/>
  <c r="Q103" i="13"/>
  <c r="Q153" i="13"/>
  <c r="AE153" i="13" s="1"/>
  <c r="Q110" i="13"/>
  <c r="AE110" i="13" s="1"/>
  <c r="Q123" i="13"/>
  <c r="AE123" i="13" s="1"/>
  <c r="U51" i="13"/>
  <c r="AE51" i="13"/>
  <c r="U55" i="13"/>
  <c r="AI56" i="13"/>
  <c r="AL56" i="13" s="1"/>
  <c r="AJ57" i="13"/>
  <c r="AT57" i="13"/>
  <c r="AJ61" i="13"/>
  <c r="AI61" i="13"/>
  <c r="AL61" i="13" s="1"/>
  <c r="AT64" i="13"/>
  <c r="AJ64" i="13"/>
  <c r="AB65" i="13"/>
  <c r="T65" i="13"/>
  <c r="U65" i="13"/>
  <c r="U66" i="13"/>
  <c r="AB66" i="13"/>
  <c r="AD66" i="13" s="1"/>
  <c r="T66" i="13"/>
  <c r="W66" i="13"/>
  <c r="AI70" i="13"/>
  <c r="AL70" i="13" s="1"/>
  <c r="AE76" i="13"/>
  <c r="AB77" i="13"/>
  <c r="T77" i="13"/>
  <c r="U77" i="13"/>
  <c r="X77" i="13"/>
  <c r="Y77" i="13" s="1"/>
  <c r="R81" i="13"/>
  <c r="W86" i="13"/>
  <c r="X87" i="13"/>
  <c r="Y87" i="13" s="1"/>
  <c r="W87" i="13"/>
  <c r="X88" i="13"/>
  <c r="Y88" i="13" s="1"/>
  <c r="AI88" i="13"/>
  <c r="AL88" i="13" s="1"/>
  <c r="R91" i="13"/>
  <c r="AL92" i="13"/>
  <c r="AE95" i="13"/>
  <c r="Q99" i="13"/>
  <c r="AE99" i="13" s="1"/>
  <c r="W104" i="13"/>
  <c r="AE105" i="13"/>
  <c r="AE115" i="13"/>
  <c r="AE122" i="13"/>
  <c r="AE124" i="13"/>
  <c r="AE128" i="13"/>
  <c r="AE136" i="13"/>
  <c r="AE155" i="13"/>
  <c r="AE156" i="13"/>
  <c r="AE160" i="13"/>
  <c r="X181" i="13"/>
  <c r="Y181" i="13" s="1"/>
  <c r="AB184" i="13"/>
  <c r="AD195" i="13"/>
  <c r="R45" i="13"/>
  <c r="X47" i="13"/>
  <c r="Y47" i="13" s="1"/>
  <c r="AB47" i="13"/>
  <c r="AI48" i="13"/>
  <c r="D116" i="8" s="1"/>
  <c r="AB49" i="13"/>
  <c r="T49" i="13"/>
  <c r="W49" i="13"/>
  <c r="Q408" i="13"/>
  <c r="AE408" i="13" s="1"/>
  <c r="Q288" i="13"/>
  <c r="AE288" i="13" s="1"/>
  <c r="Q359" i="13"/>
  <c r="Q324" i="13"/>
  <c r="Q186" i="13"/>
  <c r="AE186" i="13" s="1"/>
  <c r="Q241" i="13"/>
  <c r="Q158" i="13"/>
  <c r="AE158" i="13" s="1"/>
  <c r="Q54" i="13"/>
  <c r="AE54" i="13" s="1"/>
  <c r="Q201" i="13"/>
  <c r="AE201" i="13" s="1"/>
  <c r="Q127" i="13"/>
  <c r="AE127" i="13" s="1"/>
  <c r="Q230" i="13"/>
  <c r="Q86" i="13"/>
  <c r="AE86" i="13" s="1"/>
  <c r="Q61" i="13"/>
  <c r="Q129" i="13"/>
  <c r="AE129" i="13" s="1"/>
  <c r="AD62" i="13"/>
  <c r="AB467" i="13"/>
  <c r="AB298" i="13"/>
  <c r="AD298" i="13" s="1"/>
  <c r="X63" i="13"/>
  <c r="Y63" i="13" s="1"/>
  <c r="T63" i="13"/>
  <c r="AJ65" i="13"/>
  <c r="AT65" i="13"/>
  <c r="AI65" i="13"/>
  <c r="Q75" i="13"/>
  <c r="AE75" i="13" s="1"/>
  <c r="AB81" i="13"/>
  <c r="T81" i="13"/>
  <c r="W81" i="13"/>
  <c r="U81" i="13"/>
  <c r="X82" i="13"/>
  <c r="Y82" i="13" s="1"/>
  <c r="AI90" i="13"/>
  <c r="AL90" i="13" s="1"/>
  <c r="AT90" i="13"/>
  <c r="AE92" i="13"/>
  <c r="AE94" i="13"/>
  <c r="AE97" i="13"/>
  <c r="AE101" i="13"/>
  <c r="AB106" i="13"/>
  <c r="AD106" i="13" s="1"/>
  <c r="T106" i="13"/>
  <c r="W106" i="13"/>
  <c r="U106" i="13"/>
  <c r="AK111" i="13"/>
  <c r="AI111" i="13"/>
  <c r="AL111" i="13" s="1"/>
  <c r="AE119" i="13"/>
  <c r="AD127" i="13"/>
  <c r="X157" i="13"/>
  <c r="Y157" i="13" s="1"/>
  <c r="AD191" i="13"/>
  <c r="AB485" i="13"/>
  <c r="AD485" i="13" s="1"/>
  <c r="AB480" i="13"/>
  <c r="AB373" i="13"/>
  <c r="AD373" i="13" s="1"/>
  <c r="AB292" i="13"/>
  <c r="AB278" i="13"/>
  <c r="AD278" i="13" s="1"/>
  <c r="R39" i="13"/>
  <c r="R41" i="13"/>
  <c r="AT41" i="13"/>
  <c r="AB487" i="13"/>
  <c r="AD487" i="13" s="1"/>
  <c r="AB460" i="13"/>
  <c r="AB290" i="13"/>
  <c r="AD290" i="13" s="1"/>
  <c r="X43" i="13"/>
  <c r="Y43" i="13" s="1"/>
  <c r="AB43" i="13"/>
  <c r="AD43" i="13" s="1"/>
  <c r="AB45" i="13"/>
  <c r="T45" i="13"/>
  <c r="T47" i="13"/>
  <c r="AJ48" i="13"/>
  <c r="U49" i="13"/>
  <c r="X52" i="13"/>
  <c r="Y52" i="13" s="1"/>
  <c r="U63" i="13"/>
  <c r="AB68" i="13"/>
  <c r="T68" i="13"/>
  <c r="AE71" i="13"/>
  <c r="Q72" i="13"/>
  <c r="AE72" i="13" s="1"/>
  <c r="AE74" i="13"/>
  <c r="AE77" i="13"/>
  <c r="AD79" i="13"/>
  <c r="AE83" i="13"/>
  <c r="AL83" i="13"/>
  <c r="AE96" i="13"/>
  <c r="AK98" i="13"/>
  <c r="AI98" i="13"/>
  <c r="AL98" i="13" s="1"/>
  <c r="AE103" i="13"/>
  <c r="AE116" i="13"/>
  <c r="AE140" i="13"/>
  <c r="AE142" i="13"/>
  <c r="X146" i="13"/>
  <c r="Y146" i="13" s="1"/>
  <c r="AE151" i="13"/>
  <c r="AE154" i="13"/>
  <c r="AE163" i="13"/>
  <c r="AE178" i="13"/>
  <c r="AB180" i="13"/>
  <c r="AE202" i="13"/>
  <c r="AB400" i="13"/>
  <c r="AD400" i="13" s="1"/>
  <c r="AB311" i="13"/>
  <c r="AD311" i="13" s="1"/>
  <c r="AB299" i="13"/>
  <c r="AD299" i="13" s="1"/>
  <c r="AB235" i="13"/>
  <c r="AD235" i="13" s="1"/>
  <c r="AB171" i="13"/>
  <c r="AD171" i="13" s="1"/>
  <c r="X39" i="13"/>
  <c r="Y39" i="13" s="1"/>
  <c r="AB39" i="13"/>
  <c r="T43" i="13"/>
  <c r="AI52" i="13"/>
  <c r="AL52" i="13" s="1"/>
  <c r="AB53" i="13"/>
  <c r="T53" i="13"/>
  <c r="X53" i="13"/>
  <c r="Y53" i="13" s="1"/>
  <c r="W53" i="13"/>
  <c r="AI57" i="13"/>
  <c r="AJ62" i="13"/>
  <c r="AI62" i="13"/>
  <c r="AL62" i="13" s="1"/>
  <c r="AT62" i="13"/>
  <c r="AE63" i="13"/>
  <c r="AE66" i="13"/>
  <c r="AI66" i="13"/>
  <c r="AL66" i="13" s="1"/>
  <c r="U68" i="13"/>
  <c r="AT68" i="13"/>
  <c r="AI68" i="13"/>
  <c r="AL68" i="13" s="1"/>
  <c r="U70" i="13"/>
  <c r="X70" i="13"/>
  <c r="Y70" i="13" s="1"/>
  <c r="AD70" i="13"/>
  <c r="X75" i="13"/>
  <c r="Y75" i="13" s="1"/>
  <c r="U75" i="13"/>
  <c r="T75" i="13"/>
  <c r="W75" i="13"/>
  <c r="AE78" i="13"/>
  <c r="AE81" i="13"/>
  <c r="X81" i="13"/>
  <c r="Y81" i="13" s="1"/>
  <c r="U84" i="13"/>
  <c r="AB84" i="13"/>
  <c r="T84" i="13"/>
  <c r="X84" i="13"/>
  <c r="Y84" i="13" s="1"/>
  <c r="Q305" i="13"/>
  <c r="AE87" i="13"/>
  <c r="Q130" i="13"/>
  <c r="AE130" i="13" s="1"/>
  <c r="Q114" i="13"/>
  <c r="AB88" i="13"/>
  <c r="AB98" i="13"/>
  <c r="AD98" i="13" s="1"/>
  <c r="T98" i="13"/>
  <c r="W98" i="13"/>
  <c r="U98" i="13"/>
  <c r="AL102" i="13"/>
  <c r="AJ105" i="13"/>
  <c r="AT105" i="13"/>
  <c r="AI105" i="13"/>
  <c r="AL105" i="13" s="1"/>
  <c r="X106" i="13"/>
  <c r="Y106" i="13" s="1"/>
  <c r="AR107" i="13"/>
  <c r="AE112" i="13"/>
  <c r="AE139" i="13"/>
  <c r="X141" i="13"/>
  <c r="Y141" i="13" s="1"/>
  <c r="AE147" i="13"/>
  <c r="AE165" i="13"/>
  <c r="AD175" i="13"/>
  <c r="AB179" i="13"/>
  <c r="AD179" i="13" s="1"/>
  <c r="AE183" i="13"/>
  <c r="X59" i="13"/>
  <c r="Y59" i="13" s="1"/>
  <c r="AB59" i="13"/>
  <c r="AB61" i="13"/>
  <c r="T61" i="13"/>
  <c r="Q486" i="13"/>
  <c r="Q491" i="13"/>
  <c r="Q466" i="13"/>
  <c r="Q375" i="13"/>
  <c r="Q345" i="13"/>
  <c r="AE345" i="13" s="1"/>
  <c r="Q384" i="13"/>
  <c r="AE384" i="13" s="1"/>
  <c r="Q423" i="13"/>
  <c r="AE423" i="13" s="1"/>
  <c r="Q418" i="13"/>
  <c r="AE418" i="13" s="1"/>
  <c r="Q454" i="13"/>
  <c r="AE454" i="13" s="1"/>
  <c r="Q430" i="13"/>
  <c r="Q301" i="13"/>
  <c r="Q322" i="13"/>
  <c r="AE322" i="13" s="1"/>
  <c r="Q331" i="13"/>
  <c r="AE331" i="13" s="1"/>
  <c r="Q310" i="13"/>
  <c r="AE310" i="13" s="1"/>
  <c r="Q239" i="13"/>
  <c r="AE239" i="13" s="1"/>
  <c r="Q248" i="13"/>
  <c r="Q202" i="13"/>
  <c r="Q220" i="13"/>
  <c r="AE220" i="13" s="1"/>
  <c r="Q227" i="13"/>
  <c r="Q175" i="13"/>
  <c r="AE175" i="13" s="1"/>
  <c r="Q306" i="13"/>
  <c r="AE306" i="13" s="1"/>
  <c r="Q255" i="13"/>
  <c r="AE255" i="13" s="1"/>
  <c r="Q214" i="13"/>
  <c r="Q228" i="13"/>
  <c r="AE228" i="13" s="1"/>
  <c r="AE69" i="13"/>
  <c r="AD72" i="13"/>
  <c r="AR73" i="13"/>
  <c r="W80" i="13"/>
  <c r="Q85" i="13"/>
  <c r="AE85" i="13" s="1"/>
  <c r="AT89" i="13"/>
  <c r="C58" i="7" s="1"/>
  <c r="X91" i="13"/>
  <c r="Y91" i="13" s="1"/>
  <c r="AB91" i="13"/>
  <c r="AD91" i="13" s="1"/>
  <c r="AB93" i="13"/>
  <c r="AD93" i="13" s="1"/>
  <c r="T93" i="13"/>
  <c r="AB97" i="13"/>
  <c r="T97" i="13"/>
  <c r="AD97" i="13"/>
  <c r="X99" i="13"/>
  <c r="Y99" i="13" s="1"/>
  <c r="AB99" i="13"/>
  <c r="AD99" i="13" s="1"/>
  <c r="AR101" i="13"/>
  <c r="AT102" i="13"/>
  <c r="AD104" i="13"/>
  <c r="AR110" i="13"/>
  <c r="X115" i="13"/>
  <c r="Y115" i="13" s="1"/>
  <c r="AB115" i="13"/>
  <c r="AD115" i="13" s="1"/>
  <c r="U117" i="13"/>
  <c r="AR117" i="13"/>
  <c r="AT118" i="13"/>
  <c r="T120" i="13"/>
  <c r="U122" i="13"/>
  <c r="AI125" i="13"/>
  <c r="AL125" i="13" s="1"/>
  <c r="Q131" i="13"/>
  <c r="AE131" i="13" s="1"/>
  <c r="AB133" i="13"/>
  <c r="AD133" i="13" s="1"/>
  <c r="T133" i="13"/>
  <c r="AI134" i="13"/>
  <c r="AL134" i="13" s="1"/>
  <c r="T135" i="13"/>
  <c r="AK135" i="13"/>
  <c r="X136" i="13"/>
  <c r="Y136" i="13" s="1"/>
  <c r="AB136" i="13"/>
  <c r="AK136" i="13"/>
  <c r="AL136" i="13" s="1"/>
  <c r="AJ137" i="13"/>
  <c r="AT137" i="13"/>
  <c r="AB432" i="13"/>
  <c r="AB316" i="13"/>
  <c r="AB138" i="13"/>
  <c r="T138" i="13"/>
  <c r="AB149" i="13"/>
  <c r="AD149" i="13" s="1"/>
  <c r="T149" i="13"/>
  <c r="T151" i="13"/>
  <c r="AK151" i="13"/>
  <c r="AL151" i="13" s="1"/>
  <c r="X152" i="13"/>
  <c r="Y152" i="13" s="1"/>
  <c r="AB152" i="13"/>
  <c r="AK152" i="13"/>
  <c r="AL152" i="13" s="1"/>
  <c r="AJ153" i="13"/>
  <c r="AL153" i="13" s="1"/>
  <c r="AT153" i="13"/>
  <c r="AB154" i="13"/>
  <c r="AD154" i="13" s="1"/>
  <c r="T154" i="13"/>
  <c r="U158" i="13"/>
  <c r="Q492" i="13"/>
  <c r="Q488" i="13"/>
  <c r="AE488" i="13" s="1"/>
  <c r="Q477" i="13"/>
  <c r="AE477" i="13" s="1"/>
  <c r="Q462" i="13"/>
  <c r="AE462" i="13" s="1"/>
  <c r="Q422" i="13"/>
  <c r="AE422" i="13" s="1"/>
  <c r="Q437" i="13"/>
  <c r="Q442" i="13"/>
  <c r="AE442" i="13" s="1"/>
  <c r="Q391" i="13"/>
  <c r="Q414" i="13"/>
  <c r="Q453" i="13"/>
  <c r="Q364" i="13"/>
  <c r="Q332" i="13"/>
  <c r="Q225" i="13"/>
  <c r="AE225" i="13" s="1"/>
  <c r="AR162" i="13"/>
  <c r="X167" i="13"/>
  <c r="Y167" i="13" s="1"/>
  <c r="AB167" i="13"/>
  <c r="U169" i="13"/>
  <c r="AR169" i="13"/>
  <c r="AT170" i="13"/>
  <c r="AR173" i="13"/>
  <c r="AB177" i="13"/>
  <c r="AD177" i="13" s="1"/>
  <c r="T177" i="13"/>
  <c r="U177" i="13"/>
  <c r="AB178" i="13"/>
  <c r="AD178" i="13" s="1"/>
  <c r="AJ181" i="13"/>
  <c r="AT181" i="13"/>
  <c r="AE191" i="13"/>
  <c r="AE195" i="13"/>
  <c r="U196" i="13"/>
  <c r="X196" i="13"/>
  <c r="Y196" i="13" s="1"/>
  <c r="W196" i="13"/>
  <c r="AT198" i="13"/>
  <c r="AJ198" i="13"/>
  <c r="AI198" i="13"/>
  <c r="AL198" i="13" s="1"/>
  <c r="U200" i="13"/>
  <c r="AB200" i="13"/>
  <c r="T200" i="13"/>
  <c r="X200" i="13"/>
  <c r="Y200" i="13" s="1"/>
  <c r="W200" i="13"/>
  <c r="AB205" i="13"/>
  <c r="AD205" i="13" s="1"/>
  <c r="AE207" i="13"/>
  <c r="AB211" i="13"/>
  <c r="AE212" i="13"/>
  <c r="AT221" i="13"/>
  <c r="AI221" i="13"/>
  <c r="AL221" i="13" s="1"/>
  <c r="AJ221" i="13"/>
  <c r="AE231" i="13"/>
  <c r="AE250" i="13"/>
  <c r="AB252" i="13"/>
  <c r="X95" i="13"/>
  <c r="Y95" i="13" s="1"/>
  <c r="AB95" i="13"/>
  <c r="AD95" i="13" s="1"/>
  <c r="AR97" i="13"/>
  <c r="X100" i="13"/>
  <c r="Y100" i="13" s="1"/>
  <c r="AB100" i="13"/>
  <c r="AJ101" i="13"/>
  <c r="AT101" i="13"/>
  <c r="AB102" i="13"/>
  <c r="T102" i="13"/>
  <c r="AB113" i="13"/>
  <c r="AD113" i="13" s="1"/>
  <c r="T113" i="13"/>
  <c r="X116" i="13"/>
  <c r="Y116" i="13" s="1"/>
  <c r="AB116" i="13"/>
  <c r="AJ117" i="13"/>
  <c r="AT117" i="13"/>
  <c r="AB118" i="13"/>
  <c r="AD118" i="13" s="1"/>
  <c r="T118" i="13"/>
  <c r="U120" i="13"/>
  <c r="AR126" i="13"/>
  <c r="AB443" i="13"/>
  <c r="X131" i="13"/>
  <c r="Y131" i="13" s="1"/>
  <c r="AB131" i="13"/>
  <c r="AR133" i="13"/>
  <c r="U135" i="13"/>
  <c r="AI141" i="13"/>
  <c r="AL141" i="13" s="1"/>
  <c r="AR142" i="13"/>
  <c r="X147" i="13"/>
  <c r="Y147" i="13" s="1"/>
  <c r="AB147" i="13"/>
  <c r="AR149" i="13"/>
  <c r="U151" i="13"/>
  <c r="AD152" i="13"/>
  <c r="AI157" i="13"/>
  <c r="AL157" i="13" s="1"/>
  <c r="AI163" i="13"/>
  <c r="AL163" i="13" s="1"/>
  <c r="AI164" i="13"/>
  <c r="AL164" i="13" s="1"/>
  <c r="AB165" i="13"/>
  <c r="AD165" i="13" s="1"/>
  <c r="T165" i="13"/>
  <c r="AI166" i="13"/>
  <c r="AL166" i="13" s="1"/>
  <c r="X168" i="13"/>
  <c r="Y168" i="13" s="1"/>
  <c r="AB168" i="13"/>
  <c r="AD168" i="13" s="1"/>
  <c r="AJ169" i="13"/>
  <c r="AT169" i="13"/>
  <c r="AB170" i="13"/>
  <c r="AD170" i="13" s="1"/>
  <c r="T170" i="13"/>
  <c r="AB173" i="13"/>
  <c r="T173" i="13"/>
  <c r="U173" i="13"/>
  <c r="AB174" i="13"/>
  <c r="AJ177" i="13"/>
  <c r="AT177" i="13"/>
  <c r="W181" i="13"/>
  <c r="AD184" i="13"/>
  <c r="AD192" i="13"/>
  <c r="AI200" i="13"/>
  <c r="AL200" i="13" s="1"/>
  <c r="AE222" i="13"/>
  <c r="AE235" i="13"/>
  <c r="AD260" i="13"/>
  <c r="AD261" i="13"/>
  <c r="X111" i="13"/>
  <c r="Y111" i="13" s="1"/>
  <c r="AB111" i="13"/>
  <c r="AD111" i="13" s="1"/>
  <c r="AR113" i="13"/>
  <c r="AD116" i="13"/>
  <c r="W117" i="13"/>
  <c r="W122" i="13"/>
  <c r="AL128" i="13"/>
  <c r="AB129" i="13"/>
  <c r="T129" i="13"/>
  <c r="AI130" i="13"/>
  <c r="AL130" i="13" s="1"/>
  <c r="T131" i="13"/>
  <c r="X132" i="13"/>
  <c r="Y132" i="13" s="1"/>
  <c r="AB132" i="13"/>
  <c r="AJ133" i="13"/>
  <c r="AT133" i="13"/>
  <c r="AB134" i="13"/>
  <c r="AD134" i="13" s="1"/>
  <c r="T134" i="13"/>
  <c r="AE138" i="13"/>
  <c r="AB145" i="13"/>
  <c r="T145" i="13"/>
  <c r="AI146" i="13"/>
  <c r="AL146" i="13" s="1"/>
  <c r="X148" i="13"/>
  <c r="Y148" i="13" s="1"/>
  <c r="AB148" i="13"/>
  <c r="AJ149" i="13"/>
  <c r="AT149" i="13"/>
  <c r="AB150" i="13"/>
  <c r="AD150" i="13" s="1"/>
  <c r="T150" i="13"/>
  <c r="X163" i="13"/>
  <c r="Y163" i="13" s="1"/>
  <c r="AB163" i="13"/>
  <c r="AD163" i="13" s="1"/>
  <c r="AR165" i="13"/>
  <c r="AJ173" i="13"/>
  <c r="AT173" i="13"/>
  <c r="AJ182" i="13"/>
  <c r="AI182" i="13"/>
  <c r="AL182" i="13" s="1"/>
  <c r="X183" i="13"/>
  <c r="Y183" i="13" s="1"/>
  <c r="U184" i="13"/>
  <c r="X184" i="13"/>
  <c r="Y184" i="13" s="1"/>
  <c r="W184" i="13"/>
  <c r="AR185" i="13"/>
  <c r="AB186" i="13"/>
  <c r="AD186" i="13" s="1"/>
  <c r="AB187" i="13"/>
  <c r="U188" i="13"/>
  <c r="X188" i="13"/>
  <c r="Y188" i="13" s="1"/>
  <c r="W188" i="13"/>
  <c r="AR189" i="13"/>
  <c r="AB190" i="13"/>
  <c r="AD190" i="13" s="1"/>
  <c r="U192" i="13"/>
  <c r="X192" i="13"/>
  <c r="Y192" i="13" s="1"/>
  <c r="W192" i="13"/>
  <c r="AR193" i="13"/>
  <c r="AB194" i="13"/>
  <c r="AD194" i="13" s="1"/>
  <c r="AB197" i="13"/>
  <c r="AD197" i="13" s="1"/>
  <c r="AE199" i="13"/>
  <c r="X203" i="13"/>
  <c r="Y203" i="13" s="1"/>
  <c r="W203" i="13"/>
  <c r="AB203" i="13"/>
  <c r="T203" i="13"/>
  <c r="U204" i="13"/>
  <c r="AB204" i="13"/>
  <c r="T204" i="13"/>
  <c r="X204" i="13"/>
  <c r="Y204" i="13" s="1"/>
  <c r="W204" i="13"/>
  <c r="AE209" i="13"/>
  <c r="AI217" i="13"/>
  <c r="AJ217" i="13"/>
  <c r="AI220" i="13"/>
  <c r="AL220" i="13" s="1"/>
  <c r="AK220" i="13"/>
  <c r="AE227" i="13"/>
  <c r="AE236" i="13"/>
  <c r="AE237" i="13"/>
  <c r="AE240" i="13"/>
  <c r="AE245" i="13"/>
  <c r="AB251" i="13"/>
  <c r="AD251" i="13" s="1"/>
  <c r="AE257" i="13"/>
  <c r="AB109" i="13"/>
  <c r="T109" i="13"/>
  <c r="X112" i="13"/>
  <c r="Y112" i="13" s="1"/>
  <c r="AB112" i="13"/>
  <c r="AD112" i="13" s="1"/>
  <c r="AJ113" i="13"/>
  <c r="AT113" i="13"/>
  <c r="AB114" i="13"/>
  <c r="T114" i="13"/>
  <c r="AB125" i="13"/>
  <c r="T125" i="13"/>
  <c r="AD125" i="13"/>
  <c r="X127" i="13"/>
  <c r="Y127" i="13" s="1"/>
  <c r="AB127" i="13"/>
  <c r="AT130" i="13"/>
  <c r="AD132" i="13"/>
  <c r="Q432" i="13"/>
  <c r="AE432" i="13" s="1"/>
  <c r="Q351" i="13"/>
  <c r="Q316" i="13"/>
  <c r="AE316" i="13" s="1"/>
  <c r="Q226" i="13"/>
  <c r="X143" i="13"/>
  <c r="Y143" i="13" s="1"/>
  <c r="AB143" i="13"/>
  <c r="AD148" i="13"/>
  <c r="Q159" i="13"/>
  <c r="AE159" i="13" s="1"/>
  <c r="AB161" i="13"/>
  <c r="T161" i="13"/>
  <c r="AD161" i="13"/>
  <c r="X164" i="13"/>
  <c r="Y164" i="13" s="1"/>
  <c r="AB164" i="13"/>
  <c r="AJ165" i="13"/>
  <c r="AT165" i="13"/>
  <c r="AB166" i="13"/>
  <c r="T166" i="13"/>
  <c r="AJ178" i="13"/>
  <c r="AI178" i="13"/>
  <c r="AL178" i="13" s="1"/>
  <c r="X179" i="13"/>
  <c r="Y179" i="13" s="1"/>
  <c r="X180" i="13"/>
  <c r="Y180" i="13" s="1"/>
  <c r="W180" i="13"/>
  <c r="AD180" i="13"/>
  <c r="AL181" i="13"/>
  <c r="AE196" i="13"/>
  <c r="AE200" i="13"/>
  <c r="AJ210" i="13"/>
  <c r="AI210" i="13"/>
  <c r="AL210" i="13" s="1"/>
  <c r="AT210" i="13"/>
  <c r="U223" i="13"/>
  <c r="AB223" i="13"/>
  <c r="T223" i="13"/>
  <c r="X223" i="13"/>
  <c r="Y223" i="13" s="1"/>
  <c r="W223" i="13"/>
  <c r="AD228" i="13"/>
  <c r="AE230" i="13"/>
  <c r="AE234" i="13"/>
  <c r="AE241" i="13"/>
  <c r="AE242" i="13"/>
  <c r="AD258" i="13"/>
  <c r="AB259" i="13"/>
  <c r="AD259" i="13" s="1"/>
  <c r="AD262" i="13"/>
  <c r="AB94" i="13"/>
  <c r="T94" i="13"/>
  <c r="AI101" i="13"/>
  <c r="AL101" i="13" s="1"/>
  <c r="W102" i="13"/>
  <c r="X107" i="13"/>
  <c r="Y107" i="13" s="1"/>
  <c r="AB107" i="13"/>
  <c r="AD107" i="13" s="1"/>
  <c r="U109" i="13"/>
  <c r="U111" i="13"/>
  <c r="T112" i="13"/>
  <c r="W113" i="13"/>
  <c r="U114" i="13"/>
  <c r="AI117" i="13"/>
  <c r="AL117" i="13" s="1"/>
  <c r="W118" i="13"/>
  <c r="X123" i="13"/>
  <c r="Y123" i="13" s="1"/>
  <c r="AB123" i="13"/>
  <c r="U125" i="13"/>
  <c r="AI126" i="13"/>
  <c r="AL126" i="13" s="1"/>
  <c r="T127" i="13"/>
  <c r="X128" i="13"/>
  <c r="Y128" i="13" s="1"/>
  <c r="AB128" i="13"/>
  <c r="AJ129" i="13"/>
  <c r="AT129" i="13"/>
  <c r="AB130" i="13"/>
  <c r="T130" i="13"/>
  <c r="Q443" i="13"/>
  <c r="Q353" i="13"/>
  <c r="Q187" i="13"/>
  <c r="AE187" i="13" s="1"/>
  <c r="U132" i="13"/>
  <c r="Q137" i="13"/>
  <c r="AE137" i="13" s="1"/>
  <c r="AI139" i="13"/>
  <c r="AL139" i="13" s="1"/>
  <c r="AI140" i="13"/>
  <c r="AL140" i="13" s="1"/>
  <c r="AB141" i="13"/>
  <c r="AD141" i="13" s="1"/>
  <c r="T141" i="13"/>
  <c r="AI142" i="13"/>
  <c r="AL142" i="13" s="1"/>
  <c r="T143" i="13"/>
  <c r="X144" i="13"/>
  <c r="Y144" i="13" s="1"/>
  <c r="AB144" i="13"/>
  <c r="AJ145" i="13"/>
  <c r="AT145" i="13"/>
  <c r="AB146" i="13"/>
  <c r="AD146" i="13" s="1"/>
  <c r="T146" i="13"/>
  <c r="U148" i="13"/>
  <c r="AI155" i="13"/>
  <c r="AL155" i="13" s="1"/>
  <c r="AI156" i="13"/>
  <c r="AL156" i="13" s="1"/>
  <c r="AB157" i="13"/>
  <c r="AD157" i="13" s="1"/>
  <c r="T157" i="13"/>
  <c r="X159" i="13"/>
  <c r="Y159" i="13" s="1"/>
  <c r="AB159" i="13"/>
  <c r="AD159" i="13" s="1"/>
  <c r="U161" i="13"/>
  <c r="U163" i="13"/>
  <c r="T164" i="13"/>
  <c r="W165" i="13"/>
  <c r="U166" i="13"/>
  <c r="AI169" i="13"/>
  <c r="AL169" i="13" s="1"/>
  <c r="W170" i="13"/>
  <c r="AR170" i="13"/>
  <c r="X173" i="13"/>
  <c r="Y173" i="13" s="1"/>
  <c r="AJ174" i="13"/>
  <c r="AI174" i="13"/>
  <c r="AL174" i="13" s="1"/>
  <c r="X175" i="13"/>
  <c r="Y175" i="13" s="1"/>
  <c r="X176" i="13"/>
  <c r="Y176" i="13" s="1"/>
  <c r="W176" i="13"/>
  <c r="AD176" i="13"/>
  <c r="AI177" i="13"/>
  <c r="T179" i="13"/>
  <c r="T180" i="13"/>
  <c r="U183" i="13"/>
  <c r="AE184" i="13"/>
  <c r="AB185" i="13"/>
  <c r="AJ186" i="13"/>
  <c r="AI186" i="13"/>
  <c r="X187" i="13"/>
  <c r="Y187" i="13" s="1"/>
  <c r="W187" i="13"/>
  <c r="AE188" i="13"/>
  <c r="AB189" i="13"/>
  <c r="AD189" i="13" s="1"/>
  <c r="AJ190" i="13"/>
  <c r="AI190" i="13"/>
  <c r="X191" i="13"/>
  <c r="Y191" i="13" s="1"/>
  <c r="W191" i="13"/>
  <c r="AE192" i="13"/>
  <c r="AB193" i="13"/>
  <c r="AJ194" i="13"/>
  <c r="AI194" i="13"/>
  <c r="AL194" i="13" s="1"/>
  <c r="X195" i="13"/>
  <c r="Y195" i="13" s="1"/>
  <c r="W195" i="13"/>
  <c r="AI216" i="13"/>
  <c r="AK216" i="13"/>
  <c r="AE218" i="13"/>
  <c r="AE221" i="13"/>
  <c r="AB229" i="13"/>
  <c r="X231" i="13"/>
  <c r="Y231" i="13" s="1"/>
  <c r="AR53" i="13"/>
  <c r="AB486" i="13"/>
  <c r="AD486" i="13" s="1"/>
  <c r="AB491" i="13"/>
  <c r="AD491" i="13" s="1"/>
  <c r="AB466" i="13"/>
  <c r="AB423" i="13"/>
  <c r="AD423" i="13" s="1"/>
  <c r="AB430" i="13"/>
  <c r="AB384" i="13"/>
  <c r="AD384" i="13" s="1"/>
  <c r="AB322" i="13"/>
  <c r="AB310" i="13"/>
  <c r="AD310" i="13" s="1"/>
  <c r="AB227" i="13"/>
  <c r="AD227" i="13" s="1"/>
  <c r="AB239" i="13"/>
  <c r="AD239" i="13" s="1"/>
  <c r="AB202" i="13"/>
  <c r="AD202" i="13" s="1"/>
  <c r="X71" i="13"/>
  <c r="Y71" i="13" s="1"/>
  <c r="AB71" i="13"/>
  <c r="AD71" i="13" s="1"/>
  <c r="AB73" i="13"/>
  <c r="AD73" i="13" s="1"/>
  <c r="T73" i="13"/>
  <c r="T80" i="13"/>
  <c r="AB80" i="13"/>
  <c r="AR85" i="13"/>
  <c r="W92" i="13"/>
  <c r="U94" i="13"/>
  <c r="W95" i="13"/>
  <c r="W100" i="13"/>
  <c r="X102" i="13"/>
  <c r="Y102" i="13" s="1"/>
  <c r="Q104" i="13"/>
  <c r="AE104" i="13" s="1"/>
  <c r="AB105" i="13"/>
  <c r="T105" i="13"/>
  <c r="AI106" i="13"/>
  <c r="AL106" i="13" s="1"/>
  <c r="T107" i="13"/>
  <c r="X108" i="13"/>
  <c r="Y108" i="13" s="1"/>
  <c r="AB108" i="13"/>
  <c r="AJ109" i="13"/>
  <c r="AT109" i="13"/>
  <c r="AB110" i="13"/>
  <c r="T110" i="13"/>
  <c r="U112" i="13"/>
  <c r="X113" i="13"/>
  <c r="Y113" i="13" s="1"/>
  <c r="W116" i="13"/>
  <c r="Q117" i="13"/>
  <c r="AE117" i="13" s="1"/>
  <c r="X118" i="13"/>
  <c r="Y118" i="13" s="1"/>
  <c r="AB121" i="13"/>
  <c r="T121" i="13"/>
  <c r="AD121" i="13"/>
  <c r="AI122" i="13"/>
  <c r="AL122" i="13" s="1"/>
  <c r="T123" i="13"/>
  <c r="X124" i="13"/>
  <c r="Y124" i="13" s="1"/>
  <c r="AB124" i="13"/>
  <c r="AT126" i="13"/>
  <c r="U127" i="13"/>
  <c r="T128" i="13"/>
  <c r="AD128" i="13"/>
  <c r="W129" i="13"/>
  <c r="U130" i="13"/>
  <c r="W131" i="13"/>
  <c r="AI133" i="13"/>
  <c r="AL133" i="13" s="1"/>
  <c r="W134" i="13"/>
  <c r="AR134" i="13"/>
  <c r="X139" i="13"/>
  <c r="Y139" i="13" s="1"/>
  <c r="AB139" i="13"/>
  <c r="AD139" i="13" s="1"/>
  <c r="U141" i="13"/>
  <c r="AR141" i="13"/>
  <c r="AT142" i="13"/>
  <c r="U143" i="13"/>
  <c r="T144" i="13"/>
  <c r="W145" i="13"/>
  <c r="U146" i="13"/>
  <c r="W147" i="13"/>
  <c r="AI149" i="13"/>
  <c r="AL149" i="13" s="1"/>
  <c r="W150" i="13"/>
  <c r="AR150" i="13"/>
  <c r="X155" i="13"/>
  <c r="Y155" i="13" s="1"/>
  <c r="AB155" i="13"/>
  <c r="U157" i="13"/>
  <c r="AR157" i="13"/>
  <c r="AI158" i="13"/>
  <c r="AL158" i="13" s="1"/>
  <c r="T159" i="13"/>
  <c r="X160" i="13"/>
  <c r="Y160" i="13" s="1"/>
  <c r="AB160" i="13"/>
  <c r="AJ161" i="13"/>
  <c r="AL161" i="13" s="1"/>
  <c r="AT161" i="13"/>
  <c r="AB442" i="13"/>
  <c r="AB414" i="13"/>
  <c r="AD414" i="13" s="1"/>
  <c r="AB332" i="13"/>
  <c r="AD332" i="13" s="1"/>
  <c r="AB162" i="13"/>
  <c r="AD162" i="13" s="1"/>
  <c r="T162" i="13"/>
  <c r="AB225" i="13"/>
  <c r="U164" i="13"/>
  <c r="X165" i="13"/>
  <c r="Y165" i="13" s="1"/>
  <c r="W168" i="13"/>
  <c r="Q169" i="13"/>
  <c r="AE169" i="13" s="1"/>
  <c r="X170" i="13"/>
  <c r="Y170" i="13" s="1"/>
  <c r="X171" i="13"/>
  <c r="Y171" i="13" s="1"/>
  <c r="X172" i="13"/>
  <c r="Y172" i="13" s="1"/>
  <c r="W172" i="13"/>
  <c r="AD172" i="13"/>
  <c r="AI173" i="13"/>
  <c r="AL173" i="13" s="1"/>
  <c r="T175" i="13"/>
  <c r="T176" i="13"/>
  <c r="U179" i="13"/>
  <c r="AE180" i="13"/>
  <c r="U180" i="13"/>
  <c r="AT182" i="13"/>
  <c r="AI184" i="13"/>
  <c r="AL184" i="13" s="1"/>
  <c r="AJ185" i="13"/>
  <c r="AI185" i="13"/>
  <c r="AL185" i="13" s="1"/>
  <c r="AT185" i="13"/>
  <c r="T187" i="13"/>
  <c r="AI188" i="13"/>
  <c r="AL188" i="13" s="1"/>
  <c r="AJ189" i="13"/>
  <c r="AI189" i="13"/>
  <c r="AL189" i="13" s="1"/>
  <c r="AT189" i="13"/>
  <c r="AI192" i="13"/>
  <c r="AL192" i="13" s="1"/>
  <c r="AJ193" i="13"/>
  <c r="AI193" i="13"/>
  <c r="AL193" i="13" s="1"/>
  <c r="AT193" i="13"/>
  <c r="AD200" i="13"/>
  <c r="AR200" i="13"/>
  <c r="AE204" i="13"/>
  <c r="AE243" i="13"/>
  <c r="AD252" i="13"/>
  <c r="AE254" i="13"/>
  <c r="AR49" i="13"/>
  <c r="X67" i="13"/>
  <c r="Y67" i="13" s="1"/>
  <c r="AB67" i="13"/>
  <c r="AB306" i="13"/>
  <c r="AD306" i="13" s="1"/>
  <c r="AB255" i="13"/>
  <c r="AD255" i="13" s="1"/>
  <c r="AB69" i="13"/>
  <c r="AD69" i="13" s="1"/>
  <c r="T69" i="13"/>
  <c r="T71" i="13"/>
  <c r="U73" i="13"/>
  <c r="T76" i="13"/>
  <c r="AR81" i="13"/>
  <c r="X103" i="13"/>
  <c r="Y103" i="13" s="1"/>
  <c r="AB103" i="13"/>
  <c r="AR105" i="13"/>
  <c r="AT106" i="13"/>
  <c r="U107" i="13"/>
  <c r="AD108" i="13"/>
  <c r="W109" i="13"/>
  <c r="W111" i="13"/>
  <c r="AI113" i="13"/>
  <c r="W114" i="13"/>
  <c r="X119" i="13"/>
  <c r="Y119" i="13" s="1"/>
  <c r="AB119" i="13"/>
  <c r="AD119" i="13" s="1"/>
  <c r="AR121" i="13"/>
  <c r="AT122" i="13"/>
  <c r="U123" i="13"/>
  <c r="AD124" i="13"/>
  <c r="W125" i="13"/>
  <c r="AB126" i="13"/>
  <c r="AD126" i="13" s="1"/>
  <c r="T126" i="13"/>
  <c r="U128" i="13"/>
  <c r="X129" i="13"/>
  <c r="Y129" i="13" s="1"/>
  <c r="W132" i="13"/>
  <c r="X134" i="13"/>
  <c r="Y134" i="13" s="1"/>
  <c r="AB137" i="13"/>
  <c r="T137" i="13"/>
  <c r="AD137" i="13"/>
  <c r="AI138" i="13"/>
  <c r="AL138" i="13" s="1"/>
  <c r="X140" i="13"/>
  <c r="Y140" i="13" s="1"/>
  <c r="AB140" i="13"/>
  <c r="AD140" i="13" s="1"/>
  <c r="AJ141" i="13"/>
  <c r="AT141" i="13"/>
  <c r="AB142" i="13"/>
  <c r="AD142" i="13" s="1"/>
  <c r="T142" i="13"/>
  <c r="U144" i="13"/>
  <c r="X145" i="13"/>
  <c r="Y145" i="13" s="1"/>
  <c r="W148" i="13"/>
  <c r="X150" i="13"/>
  <c r="Y150" i="13" s="1"/>
  <c r="AB153" i="13"/>
  <c r="T153" i="13"/>
  <c r="AI154" i="13"/>
  <c r="AL154" i="13" s="1"/>
  <c r="X156" i="13"/>
  <c r="Y156" i="13" s="1"/>
  <c r="AB156" i="13"/>
  <c r="AT158" i="13"/>
  <c r="U159" i="13"/>
  <c r="AD160" i="13"/>
  <c r="W161" i="13"/>
  <c r="W163" i="13"/>
  <c r="AI165" i="13"/>
  <c r="AL165" i="13" s="1"/>
  <c r="W166" i="13"/>
  <c r="U175" i="13"/>
  <c r="AE176" i="13"/>
  <c r="AT178" i="13"/>
  <c r="AD181" i="13"/>
  <c r="AR181" i="13"/>
  <c r="W183" i="13"/>
  <c r="X199" i="13"/>
  <c r="Y199" i="13" s="1"/>
  <c r="W199" i="13"/>
  <c r="AB199" i="13"/>
  <c r="AD199" i="13" s="1"/>
  <c r="T199" i="13"/>
  <c r="AB201" i="13"/>
  <c r="AD201" i="13" s="1"/>
  <c r="AI207" i="13"/>
  <c r="AL207" i="13" s="1"/>
  <c r="AJ207" i="13"/>
  <c r="X209" i="13"/>
  <c r="Y209" i="13" s="1"/>
  <c r="W209" i="13"/>
  <c r="AB209" i="13"/>
  <c r="AD209" i="13" s="1"/>
  <c r="T209" i="13"/>
  <c r="AD211" i="13"/>
  <c r="AE214" i="13"/>
  <c r="AE217" i="13"/>
  <c r="AE226" i="13"/>
  <c r="X245" i="13"/>
  <c r="Y245" i="13" s="1"/>
  <c r="AE248" i="13"/>
  <c r="AB117" i="13"/>
  <c r="T117" i="13"/>
  <c r="AD117" i="13"/>
  <c r="X120" i="13"/>
  <c r="Y120" i="13" s="1"/>
  <c r="AB120" i="13"/>
  <c r="AD120" i="13" s="1"/>
  <c r="AJ121" i="13"/>
  <c r="AL121" i="13" s="1"/>
  <c r="AT121" i="13"/>
  <c r="AB122" i="13"/>
  <c r="T122" i="13"/>
  <c r="AL129" i="13"/>
  <c r="X135" i="13"/>
  <c r="Y135" i="13" s="1"/>
  <c r="AB135" i="13"/>
  <c r="AD135" i="13" s="1"/>
  <c r="W143" i="13"/>
  <c r="AL145" i="13"/>
  <c r="X151" i="13"/>
  <c r="Y151" i="13" s="1"/>
  <c r="AB151" i="13"/>
  <c r="AD151" i="13" s="1"/>
  <c r="Q154" i="13"/>
  <c r="AD156" i="13"/>
  <c r="AB158" i="13"/>
  <c r="AD158" i="13" s="1"/>
  <c r="T158" i="13"/>
  <c r="X161" i="13"/>
  <c r="Y161" i="13" s="1"/>
  <c r="X166" i="13"/>
  <c r="Y166" i="13" s="1"/>
  <c r="Q167" i="13"/>
  <c r="AE167" i="13" s="1"/>
  <c r="AB169" i="13"/>
  <c r="T169" i="13"/>
  <c r="AD169" i="13"/>
  <c r="AE172" i="13"/>
  <c r="W179" i="13"/>
  <c r="AB181" i="13"/>
  <c r="T181" i="13"/>
  <c r="U181" i="13"/>
  <c r="AB182" i="13"/>
  <c r="AD182" i="13" s="1"/>
  <c r="AB198" i="13"/>
  <c r="AD198" i="13" s="1"/>
  <c r="AD203" i="13"/>
  <c r="AE210" i="13"/>
  <c r="AD223" i="13"/>
  <c r="X230" i="13"/>
  <c r="Y230" i="13" s="1"/>
  <c r="AE232" i="13"/>
  <c r="AD232" i="13"/>
  <c r="X234" i="13"/>
  <c r="Y234" i="13" s="1"/>
  <c r="AE238" i="13"/>
  <c r="AE246" i="13"/>
  <c r="AB247" i="13"/>
  <c r="AD247" i="13" s="1"/>
  <c r="AE261" i="13"/>
  <c r="U185" i="13"/>
  <c r="U189" i="13"/>
  <c r="U193" i="13"/>
  <c r="U197" i="13"/>
  <c r="U201" i="13"/>
  <c r="AI202" i="13"/>
  <c r="AL202" i="13" s="1"/>
  <c r="U205" i="13"/>
  <c r="AI206" i="13"/>
  <c r="AL206" i="13" s="1"/>
  <c r="U211" i="13"/>
  <c r="X212" i="13"/>
  <c r="Y212" i="13" s="1"/>
  <c r="AB212" i="13"/>
  <c r="AD212" i="13" s="1"/>
  <c r="AI213" i="13"/>
  <c r="AB214" i="13"/>
  <c r="AD214" i="13" s="1"/>
  <c r="T214" i="13"/>
  <c r="AT215" i="13"/>
  <c r="AB218" i="13"/>
  <c r="AD218" i="13" s="1"/>
  <c r="T218" i="13"/>
  <c r="AT219" i="13"/>
  <c r="X227" i="13"/>
  <c r="Y227" i="13" s="1"/>
  <c r="U229" i="13"/>
  <c r="AD229" i="13"/>
  <c r="W230" i="13"/>
  <c r="AR230" i="13"/>
  <c r="W237" i="13"/>
  <c r="AI239" i="13"/>
  <c r="AL239" i="13" s="1"/>
  <c r="X241" i="13"/>
  <c r="Y241" i="13" s="1"/>
  <c r="AI242" i="13"/>
  <c r="AL242" i="13" s="1"/>
  <c r="AJ243" i="13"/>
  <c r="AT246" i="13"/>
  <c r="U247" i="13"/>
  <c r="X248" i="13"/>
  <c r="Y248" i="13" s="1"/>
  <c r="AB248" i="13"/>
  <c r="AD248" i="13" s="1"/>
  <c r="AJ249" i="13"/>
  <c r="AI251" i="13"/>
  <c r="AL251" i="13" s="1"/>
  <c r="AJ253" i="13"/>
  <c r="AR266" i="13"/>
  <c r="AD268" i="13"/>
  <c r="AB269" i="13"/>
  <c r="AD269" i="13"/>
  <c r="AB270" i="13"/>
  <c r="AD270" i="13" s="1"/>
  <c r="AI272" i="13"/>
  <c r="AJ272" i="13"/>
  <c r="AT272" i="13"/>
  <c r="AI287" i="13"/>
  <c r="AT287" i="13"/>
  <c r="AJ287" i="13"/>
  <c r="AD289" i="13"/>
  <c r="T174" i="13"/>
  <c r="T178" i="13"/>
  <c r="T182" i="13"/>
  <c r="T186" i="13"/>
  <c r="T190" i="13"/>
  <c r="T194" i="13"/>
  <c r="AT197" i="13"/>
  <c r="T198" i="13"/>
  <c r="AT201" i="13"/>
  <c r="AJ202" i="13"/>
  <c r="AT205" i="13"/>
  <c r="AT206" i="13"/>
  <c r="X208" i="13"/>
  <c r="Y208" i="13" s="1"/>
  <c r="AB208" i="13"/>
  <c r="AD208" i="13" s="1"/>
  <c r="AI209" i="13"/>
  <c r="AL209" i="13" s="1"/>
  <c r="AB210" i="13"/>
  <c r="AD210" i="13" s="1"/>
  <c r="T210" i="13"/>
  <c r="AT211" i="13"/>
  <c r="AK212" i="13"/>
  <c r="AL212" i="13" s="1"/>
  <c r="AJ213" i="13"/>
  <c r="W215" i="13"/>
  <c r="W219" i="13"/>
  <c r="AD225" i="13"/>
  <c r="AR226" i="13"/>
  <c r="W233" i="13"/>
  <c r="X237" i="13"/>
  <c r="Y237" i="13" s="1"/>
  <c r="AI238" i="13"/>
  <c r="AL238" i="13" s="1"/>
  <c r="AJ239" i="13"/>
  <c r="AT242" i="13"/>
  <c r="X244" i="13"/>
  <c r="Y244" i="13" s="1"/>
  <c r="AB244" i="13"/>
  <c r="AD244" i="13" s="1"/>
  <c r="AI245" i="13"/>
  <c r="AL245" i="13" s="1"/>
  <c r="AB246" i="13"/>
  <c r="AD246" i="13" s="1"/>
  <c r="T246" i="13"/>
  <c r="AT247" i="13"/>
  <c r="T248" i="13"/>
  <c r="AK248" i="13"/>
  <c r="AB249" i="13"/>
  <c r="AJ250" i="13"/>
  <c r="AI250" i="13"/>
  <c r="AL250" i="13" s="1"/>
  <c r="AJ251" i="13"/>
  <c r="AK252" i="13"/>
  <c r="AL252" i="13" s="1"/>
  <c r="AB253" i="13"/>
  <c r="AJ254" i="13"/>
  <c r="AI254" i="13"/>
  <c r="AJ257" i="13"/>
  <c r="AI257" i="13"/>
  <c r="AL257" i="13" s="1"/>
  <c r="W258" i="13"/>
  <c r="X258" i="13"/>
  <c r="Y258" i="13" s="1"/>
  <c r="AE260" i="13"/>
  <c r="X261" i="13"/>
  <c r="Y261" i="13" s="1"/>
  <c r="W261" i="13"/>
  <c r="AB265" i="13"/>
  <c r="AD217" i="13"/>
  <c r="AR222" i="13"/>
  <c r="X240" i="13"/>
  <c r="Y240" i="13" s="1"/>
  <c r="AB240" i="13"/>
  <c r="AD240" i="13" s="1"/>
  <c r="AL241" i="13"/>
  <c r="AB242" i="13"/>
  <c r="AD242" i="13" s="1"/>
  <c r="T242" i="13"/>
  <c r="AT243" i="13"/>
  <c r="AD249" i="13"/>
  <c r="X252" i="13"/>
  <c r="Y252" i="13" s="1"/>
  <c r="W252" i="13"/>
  <c r="AD253" i="13"/>
  <c r="AJ258" i="13"/>
  <c r="AI258" i="13"/>
  <c r="AL258" i="13" s="1"/>
  <c r="U259" i="13"/>
  <c r="X259" i="13"/>
  <c r="Y259" i="13" s="1"/>
  <c r="AE262" i="13"/>
  <c r="W266" i="13"/>
  <c r="T266" i="13"/>
  <c r="X266" i="13"/>
  <c r="Y266" i="13" s="1"/>
  <c r="U266" i="13"/>
  <c r="U267" i="13"/>
  <c r="T267" i="13"/>
  <c r="X267" i="13"/>
  <c r="Y267" i="13" s="1"/>
  <c r="W267" i="13"/>
  <c r="AD273" i="13"/>
  <c r="AD277" i="13"/>
  <c r="AE280" i="13"/>
  <c r="AE284" i="13"/>
  <c r="AB286" i="13"/>
  <c r="AD286" i="13" s="1"/>
  <c r="AD213" i="13"/>
  <c r="AR214" i="13"/>
  <c r="AR218" i="13"/>
  <c r="T231" i="13"/>
  <c r="AB231" i="13"/>
  <c r="AD231" i="13" s="1"/>
  <c r="X236" i="13"/>
  <c r="Y236" i="13" s="1"/>
  <c r="AB236" i="13"/>
  <c r="AD236" i="13" s="1"/>
  <c r="AL237" i="13"/>
  <c r="AB238" i="13"/>
  <c r="AD238" i="13" s="1"/>
  <c r="T238" i="13"/>
  <c r="T240" i="13"/>
  <c r="U242" i="13"/>
  <c r="T245" i="13"/>
  <c r="AB245" i="13"/>
  <c r="T252" i="13"/>
  <c r="AJ255" i="13"/>
  <c r="AI255" i="13"/>
  <c r="AE272" i="13"/>
  <c r="AI281" i="13"/>
  <c r="AT281" i="13"/>
  <c r="AJ281" i="13"/>
  <c r="X293" i="13"/>
  <c r="Y293" i="13" s="1"/>
  <c r="X232" i="13"/>
  <c r="Y232" i="13" s="1"/>
  <c r="AB232" i="13"/>
  <c r="AL233" i="13"/>
  <c r="AB234" i="13"/>
  <c r="AD234" i="13" s="1"/>
  <c r="T234" i="13"/>
  <c r="AD245" i="13"/>
  <c r="AE252" i="13"/>
  <c r="AE265" i="13"/>
  <c r="AE268" i="13"/>
  <c r="AE270" i="13"/>
  <c r="W285" i="13"/>
  <c r="U285" i="13"/>
  <c r="T285" i="13"/>
  <c r="AB285" i="13"/>
  <c r="AD285" i="13" s="1"/>
  <c r="X285" i="13"/>
  <c r="Y285" i="13" s="1"/>
  <c r="AI215" i="13"/>
  <c r="AL215" i="13" s="1"/>
  <c r="AI219" i="13"/>
  <c r="AL219" i="13" s="1"/>
  <c r="X228" i="13"/>
  <c r="Y228" i="13" s="1"/>
  <c r="AB228" i="13"/>
  <c r="AI229" i="13"/>
  <c r="AL229" i="13" s="1"/>
  <c r="AB230" i="13"/>
  <c r="T230" i="13"/>
  <c r="T232" i="13"/>
  <c r="U234" i="13"/>
  <c r="T237" i="13"/>
  <c r="AB237" i="13"/>
  <c r="AD237" i="13" s="1"/>
  <c r="AD241" i="13"/>
  <c r="W242" i="13"/>
  <c r="AE258" i="13"/>
  <c r="AD264" i="13"/>
  <c r="AE296" i="13"/>
  <c r="AI197" i="13"/>
  <c r="AL197" i="13" s="1"/>
  <c r="AI201" i="13"/>
  <c r="AL201" i="13" s="1"/>
  <c r="AI205" i="13"/>
  <c r="AL205" i="13" s="1"/>
  <c r="AI211" i="13"/>
  <c r="AL211" i="13" s="1"/>
  <c r="AI214" i="13"/>
  <c r="AL214" i="13" s="1"/>
  <c r="T215" i="13"/>
  <c r="AB215" i="13"/>
  <c r="AD215" i="13" s="1"/>
  <c r="AI218" i="13"/>
  <c r="AL218" i="13" s="1"/>
  <c r="T219" i="13"/>
  <c r="AB219" i="13"/>
  <c r="AD219" i="13" s="1"/>
  <c r="AT222" i="13"/>
  <c r="X224" i="13"/>
  <c r="Y224" i="13" s="1"/>
  <c r="AB224" i="13"/>
  <c r="AD224" i="13" s="1"/>
  <c r="AI225" i="13"/>
  <c r="AL225" i="13" s="1"/>
  <c r="AB226" i="13"/>
  <c r="T226" i="13"/>
  <c r="T228" i="13"/>
  <c r="AJ229" i="13"/>
  <c r="U230" i="13"/>
  <c r="W231" i="13"/>
  <c r="U232" i="13"/>
  <c r="T233" i="13"/>
  <c r="AB233" i="13"/>
  <c r="AD233" i="13" s="1"/>
  <c r="W238" i="13"/>
  <c r="W240" i="13"/>
  <c r="X242" i="13"/>
  <c r="Y242" i="13" s="1"/>
  <c r="W245" i="13"/>
  <c r="AI247" i="13"/>
  <c r="AL247" i="13" s="1"/>
  <c r="AB250" i="13"/>
  <c r="AD250" i="13" s="1"/>
  <c r="AB254" i="13"/>
  <c r="AD254" i="13" s="1"/>
  <c r="W273" i="13"/>
  <c r="T273" i="13"/>
  <c r="AB273" i="13"/>
  <c r="X273" i="13"/>
  <c r="Y273" i="13" s="1"/>
  <c r="U273" i="13"/>
  <c r="AD280" i="13"/>
  <c r="AI284" i="13"/>
  <c r="AL284" i="13" s="1"/>
  <c r="AJ284" i="13"/>
  <c r="AT284" i="13"/>
  <c r="T185" i="13"/>
  <c r="T189" i="13"/>
  <c r="T193" i="13"/>
  <c r="T197" i="13"/>
  <c r="T201" i="13"/>
  <c r="T205" i="13"/>
  <c r="T211" i="13"/>
  <c r="AT214" i="13"/>
  <c r="X216" i="13"/>
  <c r="Y216" i="13" s="1"/>
  <c r="AB216" i="13"/>
  <c r="AD216" i="13" s="1"/>
  <c r="AT218" i="13"/>
  <c r="X220" i="13"/>
  <c r="Y220" i="13" s="1"/>
  <c r="AB220" i="13"/>
  <c r="AD220" i="13" s="1"/>
  <c r="AB222" i="13"/>
  <c r="AD222" i="13" s="1"/>
  <c r="T222" i="13"/>
  <c r="T224" i="13"/>
  <c r="AJ225" i="13"/>
  <c r="U226" i="13"/>
  <c r="U228" i="13"/>
  <c r="T229" i="13"/>
  <c r="W234" i="13"/>
  <c r="AR234" i="13"/>
  <c r="W236" i="13"/>
  <c r="X238" i="13"/>
  <c r="Y238" i="13" s="1"/>
  <c r="AI246" i="13"/>
  <c r="AL246" i="13" s="1"/>
  <c r="T247" i="13"/>
  <c r="AI249" i="13"/>
  <c r="AL249" i="13" s="1"/>
  <c r="AI253" i="13"/>
  <c r="AR254" i="13"/>
  <c r="AB257" i="13"/>
  <c r="AD265" i="13"/>
  <c r="AD266" i="13"/>
  <c r="AB274" i="13"/>
  <c r="AD274" i="13" s="1"/>
  <c r="X257" i="13"/>
  <c r="Y257" i="13" s="1"/>
  <c r="W263" i="13"/>
  <c r="AE266" i="13"/>
  <c r="AI269" i="13"/>
  <c r="AI276" i="13"/>
  <c r="AJ276" i="13"/>
  <c r="AT277" i="13"/>
  <c r="AE285" i="13"/>
  <c r="T289" i="13"/>
  <c r="AE290" i="13"/>
  <c r="AI292" i="13"/>
  <c r="AL292" i="13" s="1"/>
  <c r="AT292" i="13"/>
  <c r="AJ292" i="13"/>
  <c r="W294" i="13"/>
  <c r="U294" i="13"/>
  <c r="X294" i="13"/>
  <c r="Y294" i="13" s="1"/>
  <c r="AE300" i="13"/>
  <c r="AT301" i="13"/>
  <c r="AK302" i="13"/>
  <c r="AI302" i="13"/>
  <c r="AL302" i="13" s="1"/>
  <c r="AJ305" i="13"/>
  <c r="AI305" i="13"/>
  <c r="AL305" i="13" s="1"/>
  <c r="AD320" i="13"/>
  <c r="AR320" i="13"/>
  <c r="X336" i="13"/>
  <c r="Y336" i="13" s="1"/>
  <c r="AE350" i="13"/>
  <c r="T250" i="13"/>
  <c r="T254" i="13"/>
  <c r="AI260" i="13"/>
  <c r="AL260" i="13" s="1"/>
  <c r="X262" i="13"/>
  <c r="Y262" i="13" s="1"/>
  <c r="X263" i="13"/>
  <c r="Y263" i="13" s="1"/>
  <c r="W265" i="13"/>
  <c r="AI268" i="13"/>
  <c r="AL268" i="13" s="1"/>
  <c r="AJ268" i="13"/>
  <c r="AJ269" i="13"/>
  <c r="AI274" i="13"/>
  <c r="AL274" i="13" s="1"/>
  <c r="T277" i="13"/>
  <c r="AE278" i="13"/>
  <c r="AB281" i="13"/>
  <c r="AD281" i="13" s="1"/>
  <c r="W282" i="13"/>
  <c r="U282" i="13"/>
  <c r="X282" i="13"/>
  <c r="Y282" i="13" s="1"/>
  <c r="AI283" i="13"/>
  <c r="AL283" i="13" s="1"/>
  <c r="AT283" i="13"/>
  <c r="AI285" i="13"/>
  <c r="AL285" i="13" s="1"/>
  <c r="U289" i="13"/>
  <c r="AI293" i="13"/>
  <c r="AL293" i="13" s="1"/>
  <c r="T294" i="13"/>
  <c r="AI296" i="13"/>
  <c r="AT296" i="13"/>
  <c r="AJ296" i="13"/>
  <c r="AE301" i="13"/>
  <c r="AE302" i="13"/>
  <c r="AI312" i="13"/>
  <c r="AL312" i="13" s="1"/>
  <c r="AK312" i="13"/>
  <c r="AI317" i="13"/>
  <c r="AL317" i="13" s="1"/>
  <c r="AK317" i="13"/>
  <c r="AE319" i="13"/>
  <c r="AL325" i="13"/>
  <c r="AB365" i="13"/>
  <c r="AD365" i="13" s="1"/>
  <c r="AD372" i="13"/>
  <c r="X265" i="13"/>
  <c r="Y265" i="13" s="1"/>
  <c r="W270" i="13"/>
  <c r="X270" i="13"/>
  <c r="Y270" i="13" s="1"/>
  <c r="AI280" i="13"/>
  <c r="AL280" i="13" s="1"/>
  <c r="AJ280" i="13"/>
  <c r="AE293" i="13"/>
  <c r="AT293" i="13"/>
  <c r="AJ309" i="13"/>
  <c r="AI309" i="13"/>
  <c r="AL309" i="13" s="1"/>
  <c r="AB312" i="13"/>
  <c r="AD312" i="13" s="1"/>
  <c r="AE313" i="13"/>
  <c r="AE329" i="13"/>
  <c r="X331" i="13"/>
  <c r="Y331" i="13" s="1"/>
  <c r="AE334" i="13"/>
  <c r="AD344" i="13"/>
  <c r="AE349" i="13"/>
  <c r="AE353" i="13"/>
  <c r="AD371" i="13"/>
  <c r="AB374" i="13"/>
  <c r="AD374" i="13" s="1"/>
  <c r="AI271" i="13"/>
  <c r="AL271" i="13" s="1"/>
  <c r="AT271" i="13"/>
  <c r="T281" i="13"/>
  <c r="AE282" i="13"/>
  <c r="W286" i="13"/>
  <c r="U286" i="13"/>
  <c r="X286" i="13"/>
  <c r="Y286" i="13" s="1"/>
  <c r="AE289" i="13"/>
  <c r="AE294" i="13"/>
  <c r="AE297" i="13"/>
  <c r="AK298" i="13"/>
  <c r="AI298" i="13"/>
  <c r="AI304" i="13"/>
  <c r="AL304" i="13" s="1"/>
  <c r="AT304" i="13"/>
  <c r="AJ304" i="13"/>
  <c r="AT305" i="13"/>
  <c r="AD308" i="13"/>
  <c r="AK315" i="13"/>
  <c r="AI315" i="13"/>
  <c r="AL315" i="13" s="1"/>
  <c r="AE324" i="13"/>
  <c r="AE343" i="13"/>
  <c r="AL348" i="13"/>
  <c r="AB364" i="13"/>
  <c r="AD364" i="13" s="1"/>
  <c r="AE298" i="13"/>
  <c r="AI308" i="13"/>
  <c r="AL308" i="13" s="1"/>
  <c r="AT308" i="13"/>
  <c r="AJ308" i="13"/>
  <c r="U320" i="13"/>
  <c r="AB320" i="13"/>
  <c r="T320" i="13"/>
  <c r="X320" i="13"/>
  <c r="Y320" i="13" s="1"/>
  <c r="W320" i="13"/>
  <c r="X323" i="13"/>
  <c r="Y323" i="13" s="1"/>
  <c r="AE332" i="13"/>
  <c r="AE337" i="13"/>
  <c r="AE339" i="13"/>
  <c r="AE346" i="13"/>
  <c r="X350" i="13"/>
  <c r="Y350" i="13" s="1"/>
  <c r="AE354" i="13"/>
  <c r="X359" i="13"/>
  <c r="Y359" i="13" s="1"/>
  <c r="AE375" i="13"/>
  <c r="AE377" i="13"/>
  <c r="AE383" i="13"/>
  <c r="AB262" i="13"/>
  <c r="AB263" i="13"/>
  <c r="AD263" i="13" s="1"/>
  <c r="AR272" i="13"/>
  <c r="W274" i="13"/>
  <c r="U274" i="13"/>
  <c r="X274" i="13"/>
  <c r="Y274" i="13" s="1"/>
  <c r="AI275" i="13"/>
  <c r="AL275" i="13" s="1"/>
  <c r="AT275" i="13"/>
  <c r="AT280" i="13"/>
  <c r="AI282" i="13"/>
  <c r="AL282" i="13" s="1"/>
  <c r="AE286" i="13"/>
  <c r="AD300" i="13"/>
  <c r="W301" i="13"/>
  <c r="U301" i="13"/>
  <c r="AB301" i="13"/>
  <c r="AD301" i="13" s="1"/>
  <c r="T301" i="13"/>
  <c r="AE304" i="13"/>
  <c r="AE305" i="13"/>
  <c r="AD325" i="13"/>
  <c r="AR325" i="13"/>
  <c r="AE327" i="13"/>
  <c r="AE335" i="13"/>
  <c r="W290" i="13"/>
  <c r="U290" i="13"/>
  <c r="X290" i="13"/>
  <c r="Y290" i="13" s="1"/>
  <c r="AI291" i="13"/>
  <c r="AL291" i="13" s="1"/>
  <c r="AT291" i="13"/>
  <c r="AD292" i="13"/>
  <c r="W293" i="13"/>
  <c r="AB293" i="13"/>
  <c r="AD293" i="13" s="1"/>
  <c r="T293" i="13"/>
  <c r="AI300" i="13"/>
  <c r="AL300" i="13" s="1"/>
  <c r="AJ300" i="13"/>
  <c r="AE308" i="13"/>
  <c r="AE309" i="13"/>
  <c r="AB326" i="13"/>
  <c r="AD331" i="13"/>
  <c r="AE341" i="13"/>
  <c r="AE342" i="13"/>
  <c r="AE348" i="13"/>
  <c r="AE351" i="13"/>
  <c r="AD360" i="13"/>
  <c r="AE367" i="13"/>
  <c r="AD368" i="13"/>
  <c r="AE376" i="13"/>
  <c r="AI270" i="13"/>
  <c r="AL270" i="13" s="1"/>
  <c r="AE274" i="13"/>
  <c r="W278" i="13"/>
  <c r="U278" i="13"/>
  <c r="X278" i="13"/>
  <c r="Y278" i="13" s="1"/>
  <c r="AI279" i="13"/>
  <c r="AL279" i="13" s="1"/>
  <c r="AT279" i="13"/>
  <c r="AI286" i="13"/>
  <c r="AL286" i="13" s="1"/>
  <c r="AI288" i="13"/>
  <c r="AJ288" i="13"/>
  <c r="T290" i="13"/>
  <c r="U293" i="13"/>
  <c r="AI295" i="13"/>
  <c r="AL295" i="13" s="1"/>
  <c r="AD296" i="13"/>
  <c r="W297" i="13"/>
  <c r="AB297" i="13"/>
  <c r="AD297" i="13" s="1"/>
  <c r="T297" i="13"/>
  <c r="X301" i="13"/>
  <c r="Y301" i="13" s="1"/>
  <c r="AI301" i="13"/>
  <c r="AL301" i="13" s="1"/>
  <c r="AE315" i="13"/>
  <c r="X318" i="13"/>
  <c r="Y318" i="13" s="1"/>
  <c r="AT318" i="13"/>
  <c r="AI318" i="13"/>
  <c r="AJ318" i="13"/>
  <c r="AI322" i="13"/>
  <c r="AL322" i="13" s="1"/>
  <c r="AK322" i="13"/>
  <c r="AE323" i="13"/>
  <c r="X328" i="13"/>
  <c r="Y328" i="13" s="1"/>
  <c r="AD336" i="13"/>
  <c r="AE340" i="13"/>
  <c r="AE364" i="13"/>
  <c r="AB366" i="13"/>
  <c r="AT295" i="13"/>
  <c r="X298" i="13"/>
  <c r="Y298" i="13" s="1"/>
  <c r="AT299" i="13"/>
  <c r="X302" i="13"/>
  <c r="Y302" i="13" s="1"/>
  <c r="AT303" i="13"/>
  <c r="AT307" i="13"/>
  <c r="AT311" i="13"/>
  <c r="U312" i="13"/>
  <c r="X313" i="13"/>
  <c r="Y313" i="13" s="1"/>
  <c r="AB313" i="13"/>
  <c r="AD313" i="13" s="1"/>
  <c r="AI314" i="13"/>
  <c r="AL314" i="13" s="1"/>
  <c r="AB315" i="13"/>
  <c r="AD315" i="13" s="1"/>
  <c r="T315" i="13"/>
  <c r="AT316" i="13"/>
  <c r="U321" i="13"/>
  <c r="U326" i="13"/>
  <c r="AD326" i="13"/>
  <c r="AR327" i="13"/>
  <c r="W334" i="13"/>
  <c r="AI339" i="13"/>
  <c r="AL339" i="13" s="1"/>
  <c r="AJ340" i="13"/>
  <c r="AL340" i="13" s="1"/>
  <c r="X341" i="13"/>
  <c r="Y341" i="13" s="1"/>
  <c r="AB341" i="13"/>
  <c r="AD341" i="13" s="1"/>
  <c r="AJ342" i="13"/>
  <c r="AB343" i="13"/>
  <c r="AD343" i="13" s="1"/>
  <c r="T343" i="13"/>
  <c r="AB350" i="13"/>
  <c r="AD354" i="13"/>
  <c r="AI358" i="13"/>
  <c r="AL358" i="13" s="1"/>
  <c r="AE359" i="13"/>
  <c r="AL361" i="13"/>
  <c r="W364" i="13"/>
  <c r="AK366" i="13"/>
  <c r="AL366" i="13" s="1"/>
  <c r="AB371" i="13"/>
  <c r="T371" i="13"/>
  <c r="X371" i="13"/>
  <c r="Y371" i="13" s="1"/>
  <c r="AL374" i="13"/>
  <c r="AE378" i="13"/>
  <c r="U380" i="13"/>
  <c r="AB380" i="13"/>
  <c r="AD380" i="13" s="1"/>
  <c r="T380" i="13"/>
  <c r="X380" i="13"/>
  <c r="Y380" i="13" s="1"/>
  <c r="AD386" i="13"/>
  <c r="X391" i="13"/>
  <c r="Y391" i="13" s="1"/>
  <c r="AE395" i="13"/>
  <c r="AE399" i="13"/>
  <c r="AL431" i="13"/>
  <c r="AD322" i="13"/>
  <c r="W323" i="13"/>
  <c r="AR323" i="13"/>
  <c r="X334" i="13"/>
  <c r="Y334" i="13" s="1"/>
  <c r="T341" i="13"/>
  <c r="X342" i="13"/>
  <c r="Y342" i="13" s="1"/>
  <c r="AB342" i="13"/>
  <c r="U343" i="13"/>
  <c r="AI344" i="13"/>
  <c r="AL344" i="13" s="1"/>
  <c r="AD350" i="13"/>
  <c r="AR355" i="13"/>
  <c r="U362" i="13"/>
  <c r="AB362" i="13"/>
  <c r="AD362" i="13" s="1"/>
  <c r="T362" i="13"/>
  <c r="AL370" i="13"/>
  <c r="U371" i="13"/>
  <c r="AJ371" i="13"/>
  <c r="AI371" i="13"/>
  <c r="AL371" i="13" s="1"/>
  <c r="AJ376" i="13"/>
  <c r="AI376" i="13"/>
  <c r="AL376" i="13" s="1"/>
  <c r="AE381" i="13"/>
  <c r="AE430" i="13"/>
  <c r="AE435" i="13"/>
  <c r="AD435" i="13"/>
  <c r="AB440" i="13"/>
  <c r="AB458" i="13"/>
  <c r="T305" i="13"/>
  <c r="AB305" i="13"/>
  <c r="W312" i="13"/>
  <c r="AD318" i="13"/>
  <c r="AR319" i="13"/>
  <c r="X337" i="13"/>
  <c r="Y337" i="13" s="1"/>
  <c r="AB337" i="13"/>
  <c r="AD337" i="13" s="1"/>
  <c r="AL338" i="13"/>
  <c r="AB339" i="13"/>
  <c r="AD339" i="13" s="1"/>
  <c r="T339" i="13"/>
  <c r="AT340" i="13"/>
  <c r="AD342" i="13"/>
  <c r="AB347" i="13"/>
  <c r="AD347" i="13" s="1"/>
  <c r="T347" i="13"/>
  <c r="AT354" i="13"/>
  <c r="AJ354" i="13"/>
  <c r="AI354" i="13"/>
  <c r="AL354" i="13" s="1"/>
  <c r="AE360" i="13"/>
  <c r="U366" i="13"/>
  <c r="W366" i="13"/>
  <c r="AE387" i="13"/>
  <c r="X396" i="13"/>
  <c r="Y396" i="13" s="1"/>
  <c r="AE403" i="13"/>
  <c r="AD403" i="13"/>
  <c r="AB408" i="13"/>
  <c r="AD408" i="13" s="1"/>
  <c r="AB413" i="13"/>
  <c r="AD413" i="13" s="1"/>
  <c r="AE415" i="13"/>
  <c r="AE443" i="13"/>
  <c r="AD466" i="13"/>
  <c r="U305" i="13"/>
  <c r="U309" i="13"/>
  <c r="X312" i="13"/>
  <c r="Y312" i="13" s="1"/>
  <c r="U314" i="13"/>
  <c r="W315" i="13"/>
  <c r="AR315" i="13"/>
  <c r="X326" i="13"/>
  <c r="Y326" i="13" s="1"/>
  <c r="T328" i="13"/>
  <c r="AB328" i="13"/>
  <c r="AD328" i="13" s="1"/>
  <c r="AI329" i="13"/>
  <c r="AL329" i="13" s="1"/>
  <c r="U332" i="13"/>
  <c r="X333" i="13"/>
  <c r="Y333" i="13" s="1"/>
  <c r="AB333" i="13"/>
  <c r="AD333" i="13" s="1"/>
  <c r="AI334" i="13"/>
  <c r="AL334" i="13" s="1"/>
  <c r="AB335" i="13"/>
  <c r="AD335" i="13" s="1"/>
  <c r="T335" i="13"/>
  <c r="T337" i="13"/>
  <c r="U339" i="13"/>
  <c r="U342" i="13"/>
  <c r="W343" i="13"/>
  <c r="AI345" i="13"/>
  <c r="AL345" i="13" s="1"/>
  <c r="AI346" i="13"/>
  <c r="AL346" i="13" s="1"/>
  <c r="U347" i="13"/>
  <c r="X349" i="13"/>
  <c r="Y349" i="13" s="1"/>
  <c r="AB349" i="13"/>
  <c r="AD349" i="13" s="1"/>
  <c r="AK349" i="13"/>
  <c r="AT350" i="13"/>
  <c r="AI350" i="13"/>
  <c r="AL350" i="13" s="1"/>
  <c r="AI352" i="13"/>
  <c r="AL352" i="13" s="1"/>
  <c r="AE355" i="13"/>
  <c r="W356" i="13"/>
  <c r="X356" i="13"/>
  <c r="Y356" i="13" s="1"/>
  <c r="AD356" i="13"/>
  <c r="W362" i="13"/>
  <c r="AB363" i="13"/>
  <c r="AD363" i="13" s="1"/>
  <c r="T363" i="13"/>
  <c r="W363" i="13"/>
  <c r="X363" i="13"/>
  <c r="Y363" i="13" s="1"/>
  <c r="T366" i="13"/>
  <c r="W371" i="13"/>
  <c r="AT378" i="13"/>
  <c r="AI378" i="13"/>
  <c r="AL378" i="13" s="1"/>
  <c r="AL383" i="13"/>
  <c r="AE386" i="13"/>
  <c r="X392" i="13"/>
  <c r="Y392" i="13" s="1"/>
  <c r="AD411" i="13"/>
  <c r="AE437" i="13"/>
  <c r="X329" i="13"/>
  <c r="Y329" i="13" s="1"/>
  <c r="AB329" i="13"/>
  <c r="AB331" i="13"/>
  <c r="T331" i="13"/>
  <c r="X345" i="13"/>
  <c r="Y345" i="13" s="1"/>
  <c r="AB345" i="13"/>
  <c r="AD345" i="13" s="1"/>
  <c r="AD359" i="13"/>
  <c r="AD361" i="13"/>
  <c r="X364" i="13"/>
  <c r="Y364" i="13" s="1"/>
  <c r="X365" i="13"/>
  <c r="Y365" i="13" s="1"/>
  <c r="W365" i="13"/>
  <c r="X374" i="13"/>
  <c r="Y374" i="13" s="1"/>
  <c r="W374" i="13"/>
  <c r="X378" i="13"/>
  <c r="Y378" i="13" s="1"/>
  <c r="AB378" i="13"/>
  <c r="AD378" i="13" s="1"/>
  <c r="T378" i="13"/>
  <c r="AE391" i="13"/>
  <c r="X395" i="13"/>
  <c r="Y395" i="13" s="1"/>
  <c r="AE397" i="13"/>
  <c r="AE402" i="13"/>
  <c r="AE410" i="13"/>
  <c r="AB416" i="13"/>
  <c r="AD416" i="13" s="1"/>
  <c r="AD429" i="13"/>
  <c r="AD430" i="13"/>
  <c r="U298" i="13"/>
  <c r="U302" i="13"/>
  <c r="U306" i="13"/>
  <c r="U310" i="13"/>
  <c r="AI319" i="13"/>
  <c r="AL319" i="13" s="1"/>
  <c r="AJ320" i="13"/>
  <c r="AL320" i="13" s="1"/>
  <c r="AI321" i="13"/>
  <c r="AL321" i="13" s="1"/>
  <c r="AT323" i="13"/>
  <c r="U324" i="13"/>
  <c r="X325" i="13"/>
  <c r="Y325" i="13" s="1"/>
  <c r="AB325" i="13"/>
  <c r="AI326" i="13"/>
  <c r="AB327" i="13"/>
  <c r="AD327" i="13" s="1"/>
  <c r="T327" i="13"/>
  <c r="T329" i="13"/>
  <c r="AJ330" i="13"/>
  <c r="U331" i="13"/>
  <c r="U333" i="13"/>
  <c r="T334" i="13"/>
  <c r="AB334" i="13"/>
  <c r="AD334" i="13" s="1"/>
  <c r="U338" i="13"/>
  <c r="AD338" i="13"/>
  <c r="W339" i="13"/>
  <c r="AR339" i="13"/>
  <c r="W342" i="13"/>
  <c r="AI343" i="13"/>
  <c r="AL343" i="13" s="1"/>
  <c r="T345" i="13"/>
  <c r="X346" i="13"/>
  <c r="Y346" i="13" s="1"/>
  <c r="AB346" i="13"/>
  <c r="AD346" i="13" s="1"/>
  <c r="W347" i="13"/>
  <c r="AJ347" i="13"/>
  <c r="AI347" i="13"/>
  <c r="AL347" i="13" s="1"/>
  <c r="AT348" i="13"/>
  <c r="U349" i="13"/>
  <c r="AB352" i="13"/>
  <c r="AD352" i="13" s="1"/>
  <c r="AR353" i="13"/>
  <c r="AI355" i="13"/>
  <c r="AL355" i="13" s="1"/>
  <c r="U356" i="13"/>
  <c r="AT358" i="13"/>
  <c r="AJ358" i="13"/>
  <c r="X361" i="13"/>
  <c r="Y361" i="13" s="1"/>
  <c r="U361" i="13"/>
  <c r="W361" i="13"/>
  <c r="AJ362" i="13"/>
  <c r="AE363" i="13"/>
  <c r="T364" i="13"/>
  <c r="T365" i="13"/>
  <c r="X366" i="13"/>
  <c r="Y366" i="13" s="1"/>
  <c r="W370" i="13"/>
  <c r="X370" i="13"/>
  <c r="Y370" i="13" s="1"/>
  <c r="AD370" i="13"/>
  <c r="AI372" i="13"/>
  <c r="AJ372" i="13"/>
  <c r="X373" i="13"/>
  <c r="Y373" i="13" s="1"/>
  <c r="T374" i="13"/>
  <c r="U378" i="13"/>
  <c r="AR380" i="13"/>
  <c r="AE400" i="13"/>
  <c r="AE406" i="13"/>
  <c r="AL412" i="13"/>
  <c r="AE414" i="13"/>
  <c r="AE421" i="13"/>
  <c r="AB462" i="13"/>
  <c r="X321" i="13"/>
  <c r="Y321" i="13" s="1"/>
  <c r="AB321" i="13"/>
  <c r="AD321" i="13" s="1"/>
  <c r="AB323" i="13"/>
  <c r="AD323" i="13" s="1"/>
  <c r="T323" i="13"/>
  <c r="AJ326" i="13"/>
  <c r="W328" i="13"/>
  <c r="U329" i="13"/>
  <c r="W337" i="13"/>
  <c r="X339" i="13"/>
  <c r="Y339" i="13" s="1"/>
  <c r="U345" i="13"/>
  <c r="X347" i="13"/>
  <c r="Y347" i="13" s="1"/>
  <c r="AB348" i="13"/>
  <c r="AD348" i="13" s="1"/>
  <c r="T348" i="13"/>
  <c r="AJ351" i="13"/>
  <c r="AT351" i="13"/>
  <c r="AB359" i="13"/>
  <c r="T359" i="13"/>
  <c r="U359" i="13"/>
  <c r="W359" i="13"/>
  <c r="U364" i="13"/>
  <c r="AE365" i="13"/>
  <c r="U365" i="13"/>
  <c r="AB367" i="13"/>
  <c r="AD367" i="13" s="1"/>
  <c r="T367" i="13"/>
  <c r="X367" i="13"/>
  <c r="Y367" i="13" s="1"/>
  <c r="W367" i="13"/>
  <c r="X369" i="13"/>
  <c r="Y369" i="13" s="1"/>
  <c r="W369" i="13"/>
  <c r="U374" i="13"/>
  <c r="AB375" i="13"/>
  <c r="AD375" i="13" s="1"/>
  <c r="T375" i="13"/>
  <c r="W375" i="13"/>
  <c r="AE379" i="13"/>
  <c r="AT384" i="13"/>
  <c r="AI384" i="13"/>
  <c r="AL384" i="13" s="1"/>
  <c r="AD396" i="13"/>
  <c r="X415" i="13"/>
  <c r="Y415" i="13" s="1"/>
  <c r="AE474" i="13"/>
  <c r="T312" i="13"/>
  <c r="AT315" i="13"/>
  <c r="X317" i="13"/>
  <c r="Y317" i="13" s="1"/>
  <c r="AB317" i="13"/>
  <c r="AD317" i="13" s="1"/>
  <c r="AB319" i="13"/>
  <c r="AD319" i="13" s="1"/>
  <c r="T319" i="13"/>
  <c r="T321" i="13"/>
  <c r="AJ322" i="13"/>
  <c r="U323" i="13"/>
  <c r="U325" i="13"/>
  <c r="T326" i="13"/>
  <c r="AD330" i="13"/>
  <c r="W331" i="13"/>
  <c r="AR331" i="13"/>
  <c r="W333" i="13"/>
  <c r="X335" i="13"/>
  <c r="Y335" i="13" s="1"/>
  <c r="U346" i="13"/>
  <c r="U348" i="13"/>
  <c r="W349" i="13"/>
  <c r="AR349" i="13"/>
  <c r="AR354" i="13"/>
  <c r="X357" i="13"/>
  <c r="Y357" i="13" s="1"/>
  <c r="U357" i="13"/>
  <c r="T357" i="13"/>
  <c r="X360" i="13"/>
  <c r="Y360" i="13" s="1"/>
  <c r="W360" i="13"/>
  <c r="U367" i="13"/>
  <c r="T369" i="13"/>
  <c r="U370" i="13"/>
  <c r="U373" i="13"/>
  <c r="U375" i="13"/>
  <c r="AK377" i="13"/>
  <c r="W378" i="13"/>
  <c r="AR382" i="13"/>
  <c r="AE392" i="13"/>
  <c r="AE404" i="13"/>
  <c r="AB431" i="13"/>
  <c r="AD431" i="13" s="1"/>
  <c r="AE449" i="13"/>
  <c r="AD358" i="13"/>
  <c r="AR359" i="13"/>
  <c r="AT375" i="13"/>
  <c r="X377" i="13"/>
  <c r="Y377" i="13" s="1"/>
  <c r="AB377" i="13"/>
  <c r="AD377" i="13" s="1"/>
  <c r="AB379" i="13"/>
  <c r="AD379" i="13" s="1"/>
  <c r="T379" i="13"/>
  <c r="AT380" i="13"/>
  <c r="AK381" i="13"/>
  <c r="AJ382" i="13"/>
  <c r="W384" i="13"/>
  <c r="X388" i="13"/>
  <c r="Y388" i="13" s="1"/>
  <c r="AD390" i="13"/>
  <c r="W391" i="13"/>
  <c r="AR391" i="13"/>
  <c r="W398" i="13"/>
  <c r="AI400" i="13"/>
  <c r="AL400" i="13" s="1"/>
  <c r="X402" i="13"/>
  <c r="Y402" i="13" s="1"/>
  <c r="AI404" i="13"/>
  <c r="AL404" i="13" s="1"/>
  <c r="AI407" i="13"/>
  <c r="AL407" i="13" s="1"/>
  <c r="X412" i="13"/>
  <c r="Y412" i="13" s="1"/>
  <c r="W412" i="13"/>
  <c r="W415" i="13"/>
  <c r="X417" i="13"/>
  <c r="Y417" i="13" s="1"/>
  <c r="U417" i="13"/>
  <c r="AD424" i="13"/>
  <c r="AD425" i="13"/>
  <c r="AL428" i="13"/>
  <c r="T431" i="13"/>
  <c r="AT434" i="13"/>
  <c r="AT442" i="13"/>
  <c r="AJ442" i="13"/>
  <c r="AI442" i="13"/>
  <c r="AL442" i="13" s="1"/>
  <c r="AD445" i="13"/>
  <c r="W446" i="13"/>
  <c r="U446" i="13"/>
  <c r="AB446" i="13"/>
  <c r="AD446" i="13" s="1"/>
  <c r="T446" i="13"/>
  <c r="AK447" i="13"/>
  <c r="AI447" i="13"/>
  <c r="AL447" i="13" s="1"/>
  <c r="AR452" i="13"/>
  <c r="AR453" i="13"/>
  <c r="AE457" i="13"/>
  <c r="AL458" i="13"/>
  <c r="U462" i="13"/>
  <c r="X467" i="13"/>
  <c r="Y467" i="13" s="1"/>
  <c r="W467" i="13"/>
  <c r="U467" i="13"/>
  <c r="AB471" i="13"/>
  <c r="AD471" i="13" s="1"/>
  <c r="AE486" i="13"/>
  <c r="AT407" i="13"/>
  <c r="X416" i="13"/>
  <c r="Y416" i="13" s="1"/>
  <c r="W416" i="13"/>
  <c r="AE424" i="13"/>
  <c r="AT424" i="13"/>
  <c r="AJ424" i="13"/>
  <c r="AK426" i="13"/>
  <c r="X427" i="13"/>
  <c r="Y427" i="13" s="1"/>
  <c r="U427" i="13"/>
  <c r="AB433" i="13"/>
  <c r="AD433" i="13" s="1"/>
  <c r="T433" i="13"/>
  <c r="X433" i="13"/>
  <c r="Y433" i="13" s="1"/>
  <c r="W433" i="13"/>
  <c r="X440" i="13"/>
  <c r="Y440" i="13" s="1"/>
  <c r="W440" i="13"/>
  <c r="AD440" i="13"/>
  <c r="AR451" i="13"/>
  <c r="X454" i="13"/>
  <c r="Y454" i="13" s="1"/>
  <c r="W454" i="13"/>
  <c r="U454" i="13"/>
  <c r="AT460" i="13"/>
  <c r="AJ460" i="13"/>
  <c r="AI460" i="13"/>
  <c r="AL460" i="13" s="1"/>
  <c r="AI474" i="13"/>
  <c r="AJ474" i="13"/>
  <c r="AD490" i="13"/>
  <c r="AD382" i="13"/>
  <c r="AR383" i="13"/>
  <c r="X394" i="13"/>
  <c r="Y394" i="13" s="1"/>
  <c r="T396" i="13"/>
  <c r="AB396" i="13"/>
  <c r="X401" i="13"/>
  <c r="Y401" i="13" s="1"/>
  <c r="AB401" i="13"/>
  <c r="AD401" i="13" s="1"/>
  <c r="AL402" i="13"/>
  <c r="U404" i="13"/>
  <c r="X405" i="13"/>
  <c r="Y405" i="13" s="1"/>
  <c r="AB405" i="13"/>
  <c r="AD405" i="13" s="1"/>
  <c r="U412" i="13"/>
  <c r="T416" i="13"/>
  <c r="AB418" i="13"/>
  <c r="AD418" i="13" s="1"/>
  <c r="AI419" i="13"/>
  <c r="AL419" i="13" s="1"/>
  <c r="AI421" i="13"/>
  <c r="AL421" i="13" s="1"/>
  <c r="U422" i="13"/>
  <c r="AB425" i="13"/>
  <c r="T425" i="13"/>
  <c r="X425" i="13"/>
  <c r="Y425" i="13" s="1"/>
  <c r="U425" i="13"/>
  <c r="X426" i="13"/>
  <c r="Y426" i="13" s="1"/>
  <c r="W426" i="13"/>
  <c r="T427" i="13"/>
  <c r="AE431" i="13"/>
  <c r="U433" i="13"/>
  <c r="AB434" i="13"/>
  <c r="AD434" i="13" s="1"/>
  <c r="T434" i="13"/>
  <c r="AB436" i="13"/>
  <c r="AD436" i="13" s="1"/>
  <c r="AI438" i="13"/>
  <c r="AL438" i="13" s="1"/>
  <c r="T440" i="13"/>
  <c r="AK443" i="13"/>
  <c r="AI443" i="13"/>
  <c r="AL443" i="13" s="1"/>
  <c r="AJ445" i="13"/>
  <c r="AT445" i="13"/>
  <c r="AI445" i="13"/>
  <c r="AL445" i="13" s="1"/>
  <c r="AL446" i="13"/>
  <c r="AB452" i="13"/>
  <c r="AD452" i="13" s="1"/>
  <c r="AJ453" i="13"/>
  <c r="AT453" i="13"/>
  <c r="AE460" i="13"/>
  <c r="X463" i="13"/>
  <c r="Y463" i="13" s="1"/>
  <c r="W463" i="13"/>
  <c r="U463" i="13"/>
  <c r="T463" i="13"/>
  <c r="AB473" i="13"/>
  <c r="AD473" i="13" s="1"/>
  <c r="T473" i="13"/>
  <c r="U473" i="13"/>
  <c r="X473" i="13"/>
  <c r="Y473" i="13" s="1"/>
  <c r="W473" i="13"/>
  <c r="AB488" i="13"/>
  <c r="AD488" i="13" s="1"/>
  <c r="AR379" i="13"/>
  <c r="AI391" i="13"/>
  <c r="AL391" i="13" s="1"/>
  <c r="AI393" i="13"/>
  <c r="AL393" i="13" s="1"/>
  <c r="U396" i="13"/>
  <c r="X397" i="13"/>
  <c r="Y397" i="13" s="1"/>
  <c r="AB397" i="13"/>
  <c r="AD397" i="13" s="1"/>
  <c r="AI398" i="13"/>
  <c r="AL398" i="13" s="1"/>
  <c r="AB399" i="13"/>
  <c r="AD399" i="13" s="1"/>
  <c r="T399" i="13"/>
  <c r="AB403" i="13"/>
  <c r="T403" i="13"/>
  <c r="AD406" i="13"/>
  <c r="AB407" i="13"/>
  <c r="AD407" i="13" s="1"/>
  <c r="T407" i="13"/>
  <c r="AI409" i="13"/>
  <c r="AL409" i="13" s="1"/>
  <c r="AE412" i="13"/>
  <c r="U416" i="13"/>
  <c r="U440" i="13"/>
  <c r="AR441" i="13"/>
  <c r="AT444" i="13"/>
  <c r="AJ444" i="13"/>
  <c r="AI444" i="13"/>
  <c r="AL444" i="13" s="1"/>
  <c r="AE446" i="13"/>
  <c r="AR449" i="13"/>
  <c r="AT450" i="13"/>
  <c r="AJ450" i="13"/>
  <c r="AT452" i="13"/>
  <c r="AJ452" i="13"/>
  <c r="AI452" i="13"/>
  <c r="AL452" i="13" s="1"/>
  <c r="AR455" i="13"/>
  <c r="AE467" i="13"/>
  <c r="X468" i="13"/>
  <c r="Y468" i="13" s="1"/>
  <c r="W468" i="13"/>
  <c r="U468" i="13"/>
  <c r="AB468" i="13"/>
  <c r="AD468" i="13" s="1"/>
  <c r="T468" i="13"/>
  <c r="AB469" i="13"/>
  <c r="AD469" i="13" s="1"/>
  <c r="T469" i="13"/>
  <c r="X469" i="13"/>
  <c r="Y469" i="13" s="1"/>
  <c r="W469" i="13"/>
  <c r="AI470" i="13"/>
  <c r="AT470" i="13"/>
  <c r="AJ470" i="13"/>
  <c r="AI472" i="13"/>
  <c r="AL472" i="13" s="1"/>
  <c r="AR375" i="13"/>
  <c r="AI387" i="13"/>
  <c r="AL387" i="13" s="1"/>
  <c r="T388" i="13"/>
  <c r="AB388" i="13"/>
  <c r="AD388" i="13" s="1"/>
  <c r="U392" i="13"/>
  <c r="X393" i="13"/>
  <c r="Y393" i="13" s="1"/>
  <c r="AB393" i="13"/>
  <c r="AD393" i="13" s="1"/>
  <c r="AI394" i="13"/>
  <c r="AB395" i="13"/>
  <c r="AD395" i="13" s="1"/>
  <c r="T395" i="13"/>
  <c r="T397" i="13"/>
  <c r="U399" i="13"/>
  <c r="U401" i="13"/>
  <c r="T402" i="13"/>
  <c r="AB402" i="13"/>
  <c r="AD402" i="13" s="1"/>
  <c r="U403" i="13"/>
  <c r="U407" i="13"/>
  <c r="AD410" i="13"/>
  <c r="AR410" i="13"/>
  <c r="AB411" i="13"/>
  <c r="T411" i="13"/>
  <c r="AL413" i="13"/>
  <c r="AE416" i="13"/>
  <c r="T418" i="13"/>
  <c r="AE420" i="13"/>
  <c r="X422" i="13"/>
  <c r="Y422" i="13" s="1"/>
  <c r="AI422" i="13"/>
  <c r="AL422" i="13" s="1"/>
  <c r="X423" i="13"/>
  <c r="Y423" i="13" s="1"/>
  <c r="W423" i="13"/>
  <c r="U423" i="13"/>
  <c r="T423" i="13"/>
  <c r="AI424" i="13"/>
  <c r="AE425" i="13"/>
  <c r="AI425" i="13"/>
  <c r="AL425" i="13" s="1"/>
  <c r="W427" i="13"/>
  <c r="T436" i="13"/>
  <c r="AR448" i="13"/>
  <c r="W450" i="13"/>
  <c r="U450" i="13"/>
  <c r="AB450" i="13"/>
  <c r="AD450" i="13" s="1"/>
  <c r="T450" i="13"/>
  <c r="AK451" i="13"/>
  <c r="AI451" i="13"/>
  <c r="AL451" i="13" s="1"/>
  <c r="AE453" i="13"/>
  <c r="AI454" i="13"/>
  <c r="AL454" i="13" s="1"/>
  <c r="AR456" i="13"/>
  <c r="AD457" i="13"/>
  <c r="AD458" i="13"/>
  <c r="AE471" i="13"/>
  <c r="X483" i="13"/>
  <c r="Y483" i="13" s="1"/>
  <c r="X389" i="13"/>
  <c r="Y389" i="13" s="1"/>
  <c r="AB389" i="13"/>
  <c r="AD389" i="13" s="1"/>
  <c r="AB391" i="13"/>
  <c r="AD391" i="13" s="1"/>
  <c r="T391" i="13"/>
  <c r="AJ394" i="13"/>
  <c r="W396" i="13"/>
  <c r="AT406" i="13"/>
  <c r="AJ406" i="13"/>
  <c r="AI406" i="13"/>
  <c r="AL406" i="13" s="1"/>
  <c r="AB415" i="13"/>
  <c r="AD415" i="13" s="1"/>
  <c r="T415" i="13"/>
  <c r="AL417" i="13"/>
  <c r="W428" i="13"/>
  <c r="U428" i="13"/>
  <c r="AB428" i="13"/>
  <c r="T428" i="13"/>
  <c r="W434" i="13"/>
  <c r="U436" i="13"/>
  <c r="AJ438" i="13"/>
  <c r="AJ441" i="13"/>
  <c r="AI441" i="13"/>
  <c r="AL441" i="13" s="1"/>
  <c r="AI453" i="13"/>
  <c r="AL453" i="13" s="1"/>
  <c r="AR459" i="13"/>
  <c r="AD461" i="13"/>
  <c r="AD462" i="13"/>
  <c r="AB465" i="13"/>
  <c r="AD465" i="13" s="1"/>
  <c r="T465" i="13"/>
  <c r="X465" i="13"/>
  <c r="Y465" i="13" s="1"/>
  <c r="W465" i="13"/>
  <c r="U465" i="13"/>
  <c r="AI478" i="13"/>
  <c r="AL478" i="13" s="1"/>
  <c r="AT478" i="13"/>
  <c r="AJ478" i="13"/>
  <c r="X353" i="13"/>
  <c r="Y353" i="13" s="1"/>
  <c r="AB353" i="13"/>
  <c r="AB355" i="13"/>
  <c r="AD355" i="13" s="1"/>
  <c r="T355" i="13"/>
  <c r="AR367" i="13"/>
  <c r="AI379" i="13"/>
  <c r="AL379" i="13" s="1"/>
  <c r="AT383" i="13"/>
  <c r="X385" i="13"/>
  <c r="Y385" i="13" s="1"/>
  <c r="AB385" i="13"/>
  <c r="AD385" i="13" s="1"/>
  <c r="AI386" i="13"/>
  <c r="AL386" i="13" s="1"/>
  <c r="AB387" i="13"/>
  <c r="AD387" i="13" s="1"/>
  <c r="T387" i="13"/>
  <c r="T389" i="13"/>
  <c r="AJ390" i="13"/>
  <c r="AL390" i="13" s="1"/>
  <c r="U391" i="13"/>
  <c r="W392" i="13"/>
  <c r="U393" i="13"/>
  <c r="T394" i="13"/>
  <c r="AB394" i="13"/>
  <c r="AD398" i="13"/>
  <c r="W399" i="13"/>
  <c r="AR399" i="13"/>
  <c r="W401" i="13"/>
  <c r="W403" i="13"/>
  <c r="AR403" i="13"/>
  <c r="W405" i="13"/>
  <c r="W407" i="13"/>
  <c r="X409" i="13"/>
  <c r="Y409" i="13" s="1"/>
  <c r="U409" i="13"/>
  <c r="AT410" i="13"/>
  <c r="AJ410" i="13"/>
  <c r="AI410" i="13"/>
  <c r="AL410" i="13" s="1"/>
  <c r="AR411" i="13"/>
  <c r="U415" i="13"/>
  <c r="AE426" i="13"/>
  <c r="X432" i="13"/>
  <c r="Y432" i="13" s="1"/>
  <c r="U432" i="13"/>
  <c r="X434" i="13"/>
  <c r="Y434" i="13" s="1"/>
  <c r="X435" i="13"/>
  <c r="Y435" i="13" s="1"/>
  <c r="W435" i="13"/>
  <c r="AE436" i="13"/>
  <c r="AB437" i="13"/>
  <c r="AD437" i="13" s="1"/>
  <c r="T437" i="13"/>
  <c r="X437" i="13"/>
  <c r="Y437" i="13" s="1"/>
  <c r="AT438" i="13"/>
  <c r="AD442" i="13"/>
  <c r="X443" i="13"/>
  <c r="Y443" i="13" s="1"/>
  <c r="T443" i="13"/>
  <c r="AB448" i="13"/>
  <c r="AD448" i="13" s="1"/>
  <c r="AJ449" i="13"/>
  <c r="AT449" i="13"/>
  <c r="AI449" i="13"/>
  <c r="AL449" i="13" s="1"/>
  <c r="X450" i="13"/>
  <c r="Y450" i="13" s="1"/>
  <c r="AI450" i="13"/>
  <c r="AL450" i="13" s="1"/>
  <c r="AE455" i="13"/>
  <c r="X458" i="13"/>
  <c r="Y458" i="13" s="1"/>
  <c r="W458" i="13"/>
  <c r="U458" i="13"/>
  <c r="X462" i="13"/>
  <c r="Y462" i="13" s="1"/>
  <c r="W462" i="13"/>
  <c r="AB463" i="13"/>
  <c r="AD467" i="13"/>
  <c r="AE469" i="13"/>
  <c r="AD475" i="13"/>
  <c r="AB351" i="13"/>
  <c r="T351" i="13"/>
  <c r="AR363" i="13"/>
  <c r="AI375" i="13"/>
  <c r="AL375" i="13" s="1"/>
  <c r="AT379" i="13"/>
  <c r="X381" i="13"/>
  <c r="Y381" i="13" s="1"/>
  <c r="AB381" i="13"/>
  <c r="AD381" i="13" s="1"/>
  <c r="AI382" i="13"/>
  <c r="AL382" i="13" s="1"/>
  <c r="AB383" i="13"/>
  <c r="AD383" i="13" s="1"/>
  <c r="T383" i="13"/>
  <c r="AJ386" i="13"/>
  <c r="U389" i="13"/>
  <c r="AD394" i="13"/>
  <c r="W395" i="13"/>
  <c r="AR395" i="13"/>
  <c r="W397" i="13"/>
  <c r="X399" i="13"/>
  <c r="Y399" i="13" s="1"/>
  <c r="X403" i="13"/>
  <c r="Y403" i="13" s="1"/>
  <c r="X407" i="13"/>
  <c r="Y407" i="13" s="1"/>
  <c r="X408" i="13"/>
  <c r="Y408" i="13" s="1"/>
  <c r="W408" i="13"/>
  <c r="W411" i="13"/>
  <c r="AB412" i="13"/>
  <c r="AD412" i="13" s="1"/>
  <c r="X413" i="13"/>
  <c r="Y413" i="13" s="1"/>
  <c r="U413" i="13"/>
  <c r="AT414" i="13"/>
  <c r="AJ414" i="13"/>
  <c r="AI414" i="13"/>
  <c r="AL414" i="13" s="1"/>
  <c r="AR415" i="13"/>
  <c r="AB417" i="13"/>
  <c r="AD417" i="13" s="1"/>
  <c r="X418" i="13"/>
  <c r="Y418" i="13" s="1"/>
  <c r="AI418" i="13"/>
  <c r="AL418" i="13" s="1"/>
  <c r="X419" i="13"/>
  <c r="Y419" i="13" s="1"/>
  <c r="W419" i="13"/>
  <c r="U419" i="13"/>
  <c r="T419" i="13"/>
  <c r="AI420" i="13"/>
  <c r="AL420" i="13" s="1"/>
  <c r="AB422" i="13"/>
  <c r="AD422" i="13" s="1"/>
  <c r="AI423" i="13"/>
  <c r="AL423" i="13" s="1"/>
  <c r="AB427" i="13"/>
  <c r="AD427" i="13" s="1"/>
  <c r="X428" i="13"/>
  <c r="Y428" i="13" s="1"/>
  <c r="AB429" i="13"/>
  <c r="T429" i="13"/>
  <c r="W429" i="13"/>
  <c r="X431" i="13"/>
  <c r="Y431" i="13" s="1"/>
  <c r="W431" i="13"/>
  <c r="AI434" i="13"/>
  <c r="AL434" i="13" s="1"/>
  <c r="T435" i="13"/>
  <c r="X436" i="13"/>
  <c r="Y436" i="13" s="1"/>
  <c r="U437" i="13"/>
  <c r="AJ437" i="13"/>
  <c r="AT437" i="13"/>
  <c r="AR439" i="13"/>
  <c r="AT441" i="13"/>
  <c r="U443" i="13"/>
  <c r="AR445" i="13"/>
  <c r="AT446" i="13"/>
  <c r="AJ446" i="13"/>
  <c r="AJ448" i="13"/>
  <c r="AI448" i="13"/>
  <c r="AL448" i="13" s="1"/>
  <c r="AE450" i="13"/>
  <c r="AB454" i="13"/>
  <c r="AD454" i="13" s="1"/>
  <c r="AI455" i="13"/>
  <c r="AL455" i="13" s="1"/>
  <c r="AT456" i="13"/>
  <c r="AJ456" i="13"/>
  <c r="AI456" i="13"/>
  <c r="AL456" i="13" s="1"/>
  <c r="T458" i="13"/>
  <c r="T462" i="13"/>
  <c r="AD463" i="13"/>
  <c r="AE465" i="13"/>
  <c r="AE466" i="13"/>
  <c r="X459" i="13"/>
  <c r="Y459" i="13" s="1"/>
  <c r="AB459" i="13"/>
  <c r="AD459" i="13" s="1"/>
  <c r="AB461" i="13"/>
  <c r="T461" i="13"/>
  <c r="AD476" i="13"/>
  <c r="AD480" i="13"/>
  <c r="AJ482" i="13"/>
  <c r="AI482" i="13"/>
  <c r="AL482" i="13" s="1"/>
  <c r="AB421" i="13"/>
  <c r="AD421" i="13" s="1"/>
  <c r="T421" i="13"/>
  <c r="AR433" i="13"/>
  <c r="X455" i="13"/>
  <c r="Y455" i="13" s="1"/>
  <c r="AB455" i="13"/>
  <c r="AD455" i="13" s="1"/>
  <c r="AB457" i="13"/>
  <c r="T457" i="13"/>
  <c r="T459" i="13"/>
  <c r="U461" i="13"/>
  <c r="T464" i="13"/>
  <c r="AB464" i="13"/>
  <c r="AD464" i="13" s="1"/>
  <c r="X475" i="13"/>
  <c r="Y475" i="13" s="1"/>
  <c r="T476" i="13"/>
  <c r="AR477" i="13"/>
  <c r="X479" i="13"/>
  <c r="Y479" i="13" s="1"/>
  <c r="AT480" i="13"/>
  <c r="AI480" i="13"/>
  <c r="AJ481" i="13"/>
  <c r="AI481" i="13"/>
  <c r="AT481" i="13"/>
  <c r="AD428" i="13"/>
  <c r="AR429" i="13"/>
  <c r="X447" i="13"/>
  <c r="Y447" i="13" s="1"/>
  <c r="AB447" i="13"/>
  <c r="AD447" i="13" s="1"/>
  <c r="X451" i="13"/>
  <c r="Y451" i="13" s="1"/>
  <c r="AB451" i="13"/>
  <c r="AD451" i="13" s="1"/>
  <c r="AB453" i="13"/>
  <c r="AD453" i="13" s="1"/>
  <c r="T453" i="13"/>
  <c r="T455" i="13"/>
  <c r="U457" i="13"/>
  <c r="U459" i="13"/>
  <c r="U464" i="13"/>
  <c r="AR465" i="13"/>
  <c r="X471" i="13"/>
  <c r="Y471" i="13" s="1"/>
  <c r="AB472" i="13"/>
  <c r="U476" i="13"/>
  <c r="AB481" i="13"/>
  <c r="AD481" i="13" s="1"/>
  <c r="AB445" i="13"/>
  <c r="T445" i="13"/>
  <c r="AB449" i="13"/>
  <c r="AD449" i="13" s="1"/>
  <c r="T449" i="13"/>
  <c r="AD460" i="13"/>
  <c r="W461" i="13"/>
  <c r="AR461" i="13"/>
  <c r="AD472" i="13"/>
  <c r="AE476" i="13"/>
  <c r="AB477" i="13"/>
  <c r="AD477" i="13" s="1"/>
  <c r="T477" i="13"/>
  <c r="W477" i="13"/>
  <c r="U477" i="13"/>
  <c r="AE480" i="13"/>
  <c r="AE490" i="13"/>
  <c r="AR417" i="13"/>
  <c r="W421" i="13"/>
  <c r="AR421" i="13"/>
  <c r="AI433" i="13"/>
  <c r="AL433" i="13" s="1"/>
  <c r="X439" i="13"/>
  <c r="Y439" i="13" s="1"/>
  <c r="AB439" i="13"/>
  <c r="AD439" i="13" s="1"/>
  <c r="AI440" i="13"/>
  <c r="AL440" i="13" s="1"/>
  <c r="AB441" i="13"/>
  <c r="AD441" i="13" s="1"/>
  <c r="T441" i="13"/>
  <c r="U445" i="13"/>
  <c r="U447" i="13"/>
  <c r="T448" i="13"/>
  <c r="U449" i="13"/>
  <c r="U451" i="13"/>
  <c r="T452" i="13"/>
  <c r="AD456" i="13"/>
  <c r="W457" i="13"/>
  <c r="AR457" i="13"/>
  <c r="W459" i="13"/>
  <c r="X461" i="13"/>
  <c r="Y461" i="13" s="1"/>
  <c r="AI469" i="13"/>
  <c r="AL469" i="13" s="1"/>
  <c r="AT469" i="13"/>
  <c r="U471" i="13"/>
  <c r="AE472" i="13"/>
  <c r="U472" i="13"/>
  <c r="AI473" i="13"/>
  <c r="AL473" i="13" s="1"/>
  <c r="AT473" i="13"/>
  <c r="X476" i="13"/>
  <c r="Y476" i="13" s="1"/>
  <c r="AI476" i="13"/>
  <c r="AL476" i="13" s="1"/>
  <c r="AJ480" i="13"/>
  <c r="AE485" i="13"/>
  <c r="U481" i="13"/>
  <c r="X484" i="13"/>
  <c r="Y484" i="13" s="1"/>
  <c r="AT488" i="13"/>
  <c r="U488" i="13"/>
  <c r="W488" i="13"/>
  <c r="X492" i="13"/>
  <c r="Y492" i="13" s="1"/>
  <c r="W492" i="13"/>
  <c r="W481" i="13"/>
  <c r="AT487" i="13"/>
  <c r="T488" i="13"/>
  <c r="T492" i="13"/>
  <c r="AI484" i="13"/>
  <c r="AL484" i="13" s="1"/>
  <c r="U492" i="13"/>
  <c r="AB484" i="13"/>
  <c r="AD484" i="13" s="1"/>
  <c r="AJ485" i="13"/>
  <c r="AL485" i="13" s="1"/>
  <c r="U487" i="13"/>
  <c r="X488" i="13"/>
  <c r="Y488" i="13" s="1"/>
  <c r="AI489" i="13"/>
  <c r="AL489" i="13" s="1"/>
  <c r="AJ490" i="13"/>
  <c r="AL490" i="13" s="1"/>
  <c r="W491" i="13"/>
  <c r="X491" i="13"/>
  <c r="Y491" i="13" s="1"/>
  <c r="AE492" i="13"/>
  <c r="AE487" i="13"/>
  <c r="AD493" i="13"/>
  <c r="AI488" i="13"/>
  <c r="AL488" i="13" s="1"/>
  <c r="AT490" i="13"/>
  <c r="T481" i="13"/>
  <c r="W484" i="13"/>
  <c r="AJ489" i="13"/>
  <c r="AE491" i="13"/>
  <c r="AB492" i="13"/>
  <c r="AD492" i="13" s="1"/>
  <c r="X493" i="13"/>
  <c r="Y493" i="13" s="1"/>
  <c r="AB493" i="13"/>
  <c r="AE493" i="13"/>
  <c r="U493" i="13"/>
  <c r="I4" i="16"/>
  <c r="K4" i="16"/>
  <c r="U4" i="16"/>
  <c r="AD4" i="16"/>
  <c r="AF4" i="16" s="1"/>
  <c r="B5" i="16" a="1"/>
  <c r="B5" i="16" s="1"/>
  <c r="C27" i="20"/>
  <c r="H30" i="20"/>
  <c r="C183" i="16"/>
  <c r="D183" i="16" s="1"/>
  <c r="C191" i="16"/>
  <c r="D191" i="16" s="1"/>
  <c r="C137" i="16"/>
  <c r="D137" i="16" s="1"/>
  <c r="C131" i="16"/>
  <c r="D131" i="16" s="1"/>
  <c r="C153" i="16"/>
  <c r="D153" i="16" s="1"/>
  <c r="C161" i="16"/>
  <c r="D161" i="16" s="1"/>
  <c r="C124" i="16"/>
  <c r="D124" i="16" s="1"/>
  <c r="C154" i="16"/>
  <c r="D154" i="16" s="1"/>
  <c r="G11" i="20"/>
  <c r="H11" i="20"/>
  <c r="C178" i="16"/>
  <c r="D178" i="16" s="1"/>
  <c r="H13" i="20"/>
  <c r="G24" i="20"/>
  <c r="C127" i="16"/>
  <c r="D127" i="16" s="1"/>
  <c r="C143" i="16"/>
  <c r="D143" i="16" s="1"/>
  <c r="C142" i="16"/>
  <c r="D142" i="16" s="1"/>
  <c r="C170" i="16"/>
  <c r="D170" i="16" s="1"/>
  <c r="C202" i="16"/>
  <c r="D202" i="16" s="1"/>
  <c r="D29" i="19"/>
  <c r="C10" i="20"/>
  <c r="I10" i="20"/>
  <c r="H16" i="20"/>
  <c r="G30" i="20"/>
  <c r="H27" i="20"/>
  <c r="G27" i="20"/>
  <c r="I29" i="20"/>
  <c r="C138" i="16"/>
  <c r="D138" i="16" s="1"/>
  <c r="C23" i="20"/>
  <c r="I23" i="20"/>
  <c r="C179" i="16"/>
  <c r="D179" i="16" s="1"/>
  <c r="C122" i="16"/>
  <c r="D122" i="16" s="1"/>
  <c r="C139" i="16"/>
  <c r="D139" i="16" s="1"/>
  <c r="C150" i="16"/>
  <c r="D150" i="16" s="1"/>
  <c r="C123" i="16"/>
  <c r="D123" i="16" s="1"/>
  <c r="C134" i="16"/>
  <c r="D134" i="16" s="1"/>
  <c r="C146" i="16"/>
  <c r="D146" i="16" s="1"/>
  <c r="C151" i="16"/>
  <c r="D151" i="16" s="1"/>
  <c r="C188" i="16"/>
  <c r="D188" i="16" s="1"/>
  <c r="C118" i="16"/>
  <c r="D118" i="16" s="1"/>
  <c r="C175" i="16"/>
  <c r="D175" i="16" s="1"/>
  <c r="C182" i="16"/>
  <c r="D182" i="16" s="1"/>
  <c r="C207" i="16"/>
  <c r="D207" i="16" s="1"/>
  <c r="H17" i="20"/>
  <c r="G17" i="20"/>
  <c r="C132" i="16"/>
  <c r="D132" i="16" s="1"/>
  <c r="C147" i="16"/>
  <c r="D147" i="16" s="1"/>
  <c r="C158" i="16"/>
  <c r="D158" i="16" s="1"/>
  <c r="C162" i="16"/>
  <c r="D162" i="16" s="1"/>
  <c r="C171" i="16"/>
  <c r="D171" i="16" s="1"/>
  <c r="C193" i="16"/>
  <c r="D193" i="16" s="1"/>
  <c r="C203" i="16"/>
  <c r="D203" i="16" s="1"/>
  <c r="C12" i="20"/>
  <c r="I12" i="20"/>
  <c r="H23" i="20"/>
  <c r="C140" i="16"/>
  <c r="D140" i="16" s="1"/>
  <c r="C155" i="16"/>
  <c r="D155" i="16" s="1"/>
  <c r="C166" i="16"/>
  <c r="D166" i="16" s="1"/>
  <c r="C194" i="16"/>
  <c r="D194" i="16" s="1"/>
  <c r="C198" i="16"/>
  <c r="D198" i="16" s="1"/>
  <c r="H12" i="20"/>
  <c r="G23" i="20"/>
  <c r="C148" i="16"/>
  <c r="D148" i="16" s="1"/>
  <c r="C163" i="16"/>
  <c r="D163" i="16" s="1"/>
  <c r="C167" i="16"/>
  <c r="D167" i="16" s="1"/>
  <c r="C172" i="16"/>
  <c r="D172" i="16" s="1"/>
  <c r="C199" i="16"/>
  <c r="D199" i="16" s="1"/>
  <c r="C204" i="16"/>
  <c r="D204" i="16" s="1"/>
  <c r="H15" i="20"/>
  <c r="I22" i="20"/>
  <c r="C22" i="20"/>
  <c r="C156" i="16"/>
  <c r="D156" i="16" s="1"/>
  <c r="C186" i="16"/>
  <c r="D186" i="16" s="1"/>
  <c r="C195" i="16"/>
  <c r="D195" i="16" s="1"/>
  <c r="I14" i="20"/>
  <c r="G15" i="20"/>
  <c r="C126" i="16"/>
  <c r="D126" i="16" s="1"/>
  <c r="C130" i="16"/>
  <c r="D130" i="16" s="1"/>
  <c r="C177" i="16"/>
  <c r="D177" i="16" s="1"/>
  <c r="C187" i="16"/>
  <c r="D187" i="16" s="1"/>
  <c r="C14" i="20"/>
  <c r="C128" i="16"/>
  <c r="D128" i="16" s="1"/>
  <c r="C144" i="16"/>
  <c r="D144" i="16" s="1"/>
  <c r="C160" i="16"/>
  <c r="D160" i="16" s="1"/>
  <c r="C176" i="16"/>
  <c r="D176" i="16" s="1"/>
  <c r="C192" i="16"/>
  <c r="D192" i="16" s="1"/>
  <c r="C208" i="16"/>
  <c r="D208" i="16" s="1"/>
  <c r="D30" i="19"/>
  <c r="H10" i="20"/>
  <c r="G14" i="20"/>
  <c r="I21" i="20"/>
  <c r="I26" i="20"/>
  <c r="C26" i="20"/>
  <c r="H29" i="20"/>
  <c r="C20" i="20"/>
  <c r="H22" i="20"/>
  <c r="I25" i="20"/>
  <c r="G29" i="20"/>
  <c r="C31" i="20"/>
  <c r="C164" i="16"/>
  <c r="D164" i="16" s="1"/>
  <c r="C180" i="16"/>
  <c r="D180" i="16" s="1"/>
  <c r="C196" i="16"/>
  <c r="D196" i="16" s="1"/>
  <c r="H21" i="20"/>
  <c r="G22" i="20"/>
  <c r="C28" i="20"/>
  <c r="H31" i="20"/>
  <c r="C174" i="16"/>
  <c r="D174" i="16" s="1"/>
  <c r="C190" i="16"/>
  <c r="D190" i="16" s="1"/>
  <c r="C206" i="16"/>
  <c r="D206" i="16" s="1"/>
  <c r="I17" i="20"/>
  <c r="C18" i="20"/>
  <c r="H28" i="20"/>
  <c r="G31" i="20"/>
  <c r="C120" i="16"/>
  <c r="D120" i="16" s="1"/>
  <c r="C136" i="16"/>
  <c r="D136" i="16" s="1"/>
  <c r="C152" i="16"/>
  <c r="D152" i="16" s="1"/>
  <c r="C168" i="16"/>
  <c r="D168" i="16" s="1"/>
  <c r="C184" i="16"/>
  <c r="D184" i="16" s="1"/>
  <c r="C200" i="16"/>
  <c r="D200" i="16" s="1"/>
  <c r="C15" i="20"/>
  <c r="C17" i="20"/>
  <c r="H18" i="20"/>
  <c r="G19" i="20"/>
  <c r="G28" i="20"/>
  <c r="I30" i="20"/>
  <c r="I20" i="20"/>
  <c r="I28" i="20"/>
  <c r="I31" i="20"/>
  <c r="C110" i="5" l="1"/>
  <c r="C109" i="5"/>
  <c r="C82" i="6"/>
  <c r="C83" i="6"/>
  <c r="D84" i="6"/>
  <c r="B84" i="6"/>
  <c r="D82" i="6"/>
  <c r="C84" i="6"/>
  <c r="B83" i="6"/>
  <c r="B82" i="6"/>
  <c r="C108" i="5"/>
  <c r="AL63" i="13"/>
  <c r="B115" i="8"/>
  <c r="B114" i="8"/>
  <c r="B55" i="17"/>
  <c r="E27" i="17"/>
  <c r="AL23" i="13"/>
  <c r="D16" i="8"/>
  <c r="C16" i="8"/>
  <c r="B16" i="8"/>
  <c r="B58" i="7"/>
  <c r="B26" i="18"/>
  <c r="C37" i="8"/>
  <c r="D59" i="7"/>
  <c r="AJ4" i="16"/>
  <c r="C116" i="8"/>
  <c r="C39" i="8"/>
  <c r="B62" i="8"/>
  <c r="D63" i="8"/>
  <c r="B61" i="8"/>
  <c r="C84" i="5"/>
  <c r="C82" i="5"/>
  <c r="D61" i="8"/>
  <c r="C83" i="5"/>
  <c r="D82" i="5"/>
  <c r="C61" i="8"/>
  <c r="B83" i="5"/>
  <c r="D83" i="5"/>
  <c r="B84" i="5"/>
  <c r="C62" i="8"/>
  <c r="C63" i="8"/>
  <c r="D84" i="5"/>
  <c r="B82" i="5"/>
  <c r="B63" i="8"/>
  <c r="D62" i="8"/>
  <c r="B15" i="7"/>
  <c r="E30" i="17" s="1"/>
  <c r="D85" i="8"/>
  <c r="D8" i="18"/>
  <c r="B178" i="7"/>
  <c r="AL269" i="13"/>
  <c r="AL272" i="13"/>
  <c r="AL424" i="13"/>
  <c r="AL394" i="13"/>
  <c r="AL474" i="13"/>
  <c r="AL372" i="13"/>
  <c r="AL326" i="13"/>
  <c r="AL318" i="13"/>
  <c r="AL296" i="13"/>
  <c r="AL253" i="13"/>
  <c r="AL281" i="13"/>
  <c r="AL217" i="13"/>
  <c r="AL97" i="13"/>
  <c r="D117" i="8"/>
  <c r="C110" i="8"/>
  <c r="D113" i="8"/>
  <c r="B11" i="7"/>
  <c r="B15" i="18"/>
  <c r="D10" i="18"/>
  <c r="C12" i="5"/>
  <c r="E26" i="18"/>
  <c r="B10" i="5"/>
  <c r="C48" i="17"/>
  <c r="B14" i="7"/>
  <c r="C26" i="18"/>
  <c r="T4" i="16"/>
  <c r="D112" i="8"/>
  <c r="H26" i="20"/>
  <c r="D34" i="20" s="1"/>
  <c r="G26" i="20"/>
  <c r="H25" i="20"/>
  <c r="G16" i="20"/>
  <c r="G10" i="20"/>
  <c r="H14" i="20"/>
  <c r="D36" i="20" s="1"/>
  <c r="G13" i="20"/>
  <c r="G12" i="20"/>
  <c r="G18" i="20"/>
  <c r="H20" i="20"/>
  <c r="H19" i="20"/>
  <c r="F35" i="17" s="1"/>
  <c r="G20" i="20"/>
  <c r="H24" i="20"/>
  <c r="G21" i="20"/>
  <c r="G25" i="20"/>
  <c r="D83" i="6"/>
  <c r="C34" i="5"/>
  <c r="B49" i="17"/>
  <c r="C178" i="7"/>
  <c r="C117" i="8"/>
  <c r="AL288" i="13"/>
  <c r="AL216" i="13"/>
  <c r="D110" i="8"/>
  <c r="D89" i="8"/>
  <c r="C107" i="5"/>
  <c r="D37" i="5"/>
  <c r="C35" i="5"/>
  <c r="B39" i="5"/>
  <c r="C39" i="5"/>
  <c r="B37" i="5"/>
  <c r="B36" i="5"/>
  <c r="C90" i="8"/>
  <c r="D86" i="8"/>
  <c r="D35" i="5"/>
  <c r="D88" i="8"/>
  <c r="B85" i="8"/>
  <c r="D34" i="5"/>
  <c r="C91" i="8"/>
  <c r="D38" i="5"/>
  <c r="B40" i="5"/>
  <c r="D90" i="8"/>
  <c r="D40" i="5"/>
  <c r="B38" i="5"/>
  <c r="B110" i="8"/>
  <c r="C84" i="7"/>
  <c r="C56" i="12" s="1"/>
  <c r="E56" i="12" s="1"/>
  <c r="C28" i="18"/>
  <c r="V4" i="16"/>
  <c r="X4" i="16" s="1"/>
  <c r="B109" i="8"/>
  <c r="D115" i="8"/>
  <c r="AE12" i="13"/>
  <c r="C62" i="7"/>
  <c r="B59" i="7"/>
  <c r="C36" i="5"/>
  <c r="B91" i="8"/>
  <c r="C112" i="8"/>
  <c r="AL298" i="13"/>
  <c r="AL255" i="13"/>
  <c r="AL254" i="13"/>
  <c r="AL287" i="13"/>
  <c r="AL113" i="13"/>
  <c r="AL177" i="13"/>
  <c r="AL65" i="13"/>
  <c r="C113" i="8"/>
  <c r="C86" i="8"/>
  <c r="J4" i="16"/>
  <c r="C158" i="8"/>
  <c r="B158" i="8"/>
  <c r="C157" i="8"/>
  <c r="B157" i="8"/>
  <c r="B113" i="8"/>
  <c r="B61" i="7"/>
  <c r="D11" i="5"/>
  <c r="C15" i="18"/>
  <c r="D11" i="18"/>
  <c r="C11" i="5"/>
  <c r="AE4" i="16"/>
  <c r="C40" i="8"/>
  <c r="B112" i="8"/>
  <c r="C115" i="8"/>
  <c r="C38" i="5"/>
  <c r="D12" i="5"/>
  <c r="B40" i="8"/>
  <c r="AD5" i="16"/>
  <c r="AF5" i="16" s="1"/>
  <c r="V5" i="16"/>
  <c r="X5" i="16" s="1"/>
  <c r="N5" i="16"/>
  <c r="P5" i="16" s="1"/>
  <c r="E5" i="16"/>
  <c r="AE5" i="16"/>
  <c r="U5" i="16"/>
  <c r="K5" i="16"/>
  <c r="AK5" i="16"/>
  <c r="AB5" i="16"/>
  <c r="I5" i="16"/>
  <c r="O5" i="16"/>
  <c r="D5" i="16"/>
  <c r="W5" i="16"/>
  <c r="L5" i="16"/>
  <c r="C5" i="16"/>
  <c r="F5" i="16"/>
  <c r="B6" i="16" a="1"/>
  <c r="B6" i="16" s="1"/>
  <c r="T5" i="16"/>
  <c r="AJ5" i="16"/>
  <c r="AC5" i="16"/>
  <c r="J5" i="16"/>
  <c r="H5" i="16"/>
  <c r="G5" i="16"/>
  <c r="AL481" i="13"/>
  <c r="AL470" i="13"/>
  <c r="AL186" i="13"/>
  <c r="AL57" i="13"/>
  <c r="AL48" i="13"/>
  <c r="AL54" i="13"/>
  <c r="B116" i="8"/>
  <c r="B38" i="8"/>
  <c r="B86" i="8"/>
  <c r="D39" i="5"/>
  <c r="C109" i="8"/>
  <c r="D60" i="7"/>
  <c r="B10" i="7"/>
  <c r="B28" i="18"/>
  <c r="B82" i="7"/>
  <c r="N4" i="16"/>
  <c r="P4" i="16" s="1"/>
  <c r="B37" i="8"/>
  <c r="B53" i="17"/>
  <c r="C60" i="7"/>
  <c r="D91" i="8"/>
  <c r="D36" i="5"/>
  <c r="G5" i="17"/>
  <c r="D39" i="8"/>
  <c r="C40" i="5"/>
  <c r="B39" i="8"/>
  <c r="C10" i="5"/>
  <c r="B179" i="7"/>
  <c r="B117" i="8"/>
  <c r="AH4" i="16"/>
  <c r="AI4" i="16"/>
  <c r="AG4" i="16"/>
  <c r="B12" i="5"/>
  <c r="D37" i="8"/>
  <c r="C37" i="5"/>
  <c r="C130" i="5"/>
  <c r="B130" i="5"/>
  <c r="D130" i="5"/>
  <c r="C131" i="5"/>
  <c r="D131" i="5"/>
  <c r="B131" i="5"/>
  <c r="C83" i="7"/>
  <c r="W4" i="16"/>
  <c r="B88" i="8"/>
  <c r="B34" i="5"/>
  <c r="D15" i="8"/>
  <c r="B13" i="7"/>
  <c r="D62" i="7"/>
  <c r="C179" i="7"/>
  <c r="AL480" i="13"/>
  <c r="AL276" i="13"/>
  <c r="AL213" i="13"/>
  <c r="AL190" i="13"/>
  <c r="AL93" i="13"/>
  <c r="AL50" i="13"/>
  <c r="B15" i="8"/>
  <c r="AL11" i="13"/>
  <c r="D109" i="8"/>
  <c r="B62" i="7"/>
  <c r="E28" i="18"/>
  <c r="B35" i="5"/>
  <c r="AL5" i="13"/>
  <c r="B13" i="8"/>
  <c r="D13" i="8"/>
  <c r="B111" i="8"/>
  <c r="D38" i="8"/>
  <c r="C13" i="8"/>
  <c r="D111" i="8"/>
  <c r="D87" i="8"/>
  <c r="C111" i="8"/>
  <c r="B87" i="8"/>
  <c r="C61" i="12"/>
  <c r="E61" i="12" s="1"/>
  <c r="C85" i="8"/>
  <c r="AL30" i="13"/>
  <c r="C27" i="18"/>
  <c r="AC4" i="16"/>
  <c r="AB4" i="16"/>
  <c r="D58" i="7"/>
  <c r="B83" i="7"/>
  <c r="B14" i="8"/>
  <c r="D14" i="8"/>
  <c r="C14" i="8"/>
  <c r="C114" i="8"/>
  <c r="AL10" i="13"/>
  <c r="D10" i="5"/>
  <c r="C87" i="8"/>
  <c r="C59" i="7"/>
  <c r="C60" i="12" s="1"/>
  <c r="E60" i="12" s="1"/>
  <c r="B27" i="18"/>
  <c r="D27" i="18" s="1"/>
  <c r="D179" i="7"/>
  <c r="C50" i="17"/>
  <c r="C36" i="12"/>
  <c r="E36" i="12" s="1"/>
  <c r="D61" i="7"/>
  <c r="D40" i="8"/>
  <c r="O4" i="16"/>
  <c r="C61" i="7"/>
  <c r="C59" i="12" s="1"/>
  <c r="E59" i="12" s="1"/>
  <c r="C49" i="17"/>
  <c r="B90" i="8"/>
  <c r="Y5" i="16" l="1"/>
  <c r="AA5" i="16"/>
  <c r="Z5" i="16"/>
  <c r="D28" i="18"/>
  <c r="S5" i="16"/>
  <c r="R5" i="16"/>
  <c r="Q5" i="16"/>
  <c r="F34" i="17"/>
  <c r="D26" i="18"/>
  <c r="B56" i="17"/>
  <c r="E28" i="17"/>
  <c r="AG5" i="16"/>
  <c r="AI5" i="16"/>
  <c r="AH5" i="16"/>
  <c r="D35" i="20"/>
  <c r="B7" i="16" a="1"/>
  <c r="B7" i="16" s="1"/>
  <c r="B17" i="18"/>
  <c r="B18" i="18" s="1"/>
  <c r="B20" i="18" s="1"/>
  <c r="B19" i="18"/>
  <c r="C136" i="8"/>
  <c r="D133" i="8"/>
  <c r="C135" i="8"/>
  <c r="C52" i="12" s="1"/>
  <c r="E52" i="12" s="1"/>
  <c r="B136" i="8"/>
  <c r="D135" i="8"/>
  <c r="B135" i="8"/>
  <c r="D136" i="8"/>
  <c r="B133" i="8"/>
  <c r="D134" i="8"/>
  <c r="C134" i="8"/>
  <c r="C53" i="12" s="1"/>
  <c r="E53" i="12" s="1"/>
  <c r="B134" i="8"/>
  <c r="C133" i="8"/>
  <c r="C17" i="18"/>
  <c r="C18" i="18" s="1"/>
  <c r="C20" i="18" s="1"/>
  <c r="C19" i="18"/>
  <c r="Z4" i="16"/>
  <c r="AA4" i="16"/>
  <c r="Y4" i="16"/>
  <c r="B57" i="17"/>
  <c r="E29" i="17"/>
  <c r="R4" i="16"/>
  <c r="S4" i="16"/>
  <c r="Q4" i="16"/>
  <c r="I6" i="16"/>
  <c r="AE6" i="16"/>
  <c r="V6" i="16"/>
  <c r="X6" i="16" s="1"/>
  <c r="L6" i="16"/>
  <c r="C6" i="16"/>
  <c r="AC6" i="16"/>
  <c r="T6" i="16"/>
  <c r="J6" i="16"/>
  <c r="O6" i="16"/>
  <c r="E6" i="16"/>
  <c r="W6" i="16"/>
  <c r="N6" i="16"/>
  <c r="P6" i="16" s="1"/>
  <c r="D6" i="16"/>
  <c r="F6" i="16"/>
  <c r="U6" i="16"/>
  <c r="AK6" i="16"/>
  <c r="AJ6" i="16"/>
  <c r="AD6" i="16"/>
  <c r="AF6" i="16" s="1"/>
  <c r="K6" i="16"/>
  <c r="AB6" i="16"/>
  <c r="H6" i="16"/>
  <c r="G6" i="16"/>
  <c r="B8" i="16" a="1"/>
  <c r="B8" i="16" s="1"/>
  <c r="I8" i="16" l="1"/>
  <c r="W8" i="16"/>
  <c r="N8" i="16"/>
  <c r="P8" i="16" s="1"/>
  <c r="D8" i="16"/>
  <c r="AE8" i="16"/>
  <c r="V8" i="16"/>
  <c r="X8" i="16" s="1"/>
  <c r="L8" i="16"/>
  <c r="C8" i="16"/>
  <c r="AD8" i="16"/>
  <c r="AF8" i="16" s="1"/>
  <c r="U8" i="16"/>
  <c r="K8" i="16"/>
  <c r="F8" i="16"/>
  <c r="O8" i="16"/>
  <c r="E8" i="16"/>
  <c r="T8" i="16"/>
  <c r="AK8" i="16"/>
  <c r="J8" i="16"/>
  <c r="AJ8" i="16"/>
  <c r="H8" i="16"/>
  <c r="AC8" i="16"/>
  <c r="G8" i="16"/>
  <c r="AB8" i="16"/>
  <c r="AD7" i="16"/>
  <c r="AF7" i="16" s="1"/>
  <c r="V7" i="16"/>
  <c r="X7" i="16" s="1"/>
  <c r="N7" i="16"/>
  <c r="P7" i="16" s="1"/>
  <c r="E7" i="16"/>
  <c r="W7" i="16"/>
  <c r="L7" i="16"/>
  <c r="C7" i="16"/>
  <c r="AE7" i="16"/>
  <c r="U7" i="16"/>
  <c r="K7" i="16"/>
  <c r="AC7" i="16"/>
  <c r="T7" i="16"/>
  <c r="J7" i="16"/>
  <c r="F7" i="16"/>
  <c r="O7" i="16"/>
  <c r="D7" i="16"/>
  <c r="H7" i="16"/>
  <c r="AB7" i="16"/>
  <c r="G7" i="16"/>
  <c r="AK7" i="16"/>
  <c r="AJ7" i="16"/>
  <c r="I7" i="16"/>
  <c r="B9" i="16" a="1"/>
  <c r="B9" i="16" s="1"/>
  <c r="AD9" i="16" l="1"/>
  <c r="AF9" i="16" s="1"/>
  <c r="V9" i="16"/>
  <c r="X9" i="16" s="1"/>
  <c r="N9" i="16"/>
  <c r="P9" i="16" s="1"/>
  <c r="E9" i="16"/>
  <c r="O9" i="16"/>
  <c r="D9" i="16"/>
  <c r="W9" i="16"/>
  <c r="L9" i="16"/>
  <c r="C9" i="16"/>
  <c r="AE9" i="16"/>
  <c r="U9" i="16"/>
  <c r="K9" i="16"/>
  <c r="G9" i="16"/>
  <c r="F9" i="16"/>
  <c r="AJ9" i="16"/>
  <c r="I9" i="16"/>
  <c r="AC9" i="16"/>
  <c r="H9" i="16"/>
  <c r="AB9" i="16"/>
  <c r="T9" i="16"/>
  <c r="AK9" i="16"/>
  <c r="J9" i="16"/>
  <c r="R8" i="16"/>
  <c r="S8" i="16"/>
  <c r="Q8" i="16"/>
  <c r="B10" i="16" a="1"/>
  <c r="B10" i="16" s="1"/>
  <c r="AH8" i="16"/>
  <c r="AI8" i="16"/>
  <c r="AG8" i="16"/>
  <c r="Z8" i="16"/>
  <c r="Y8" i="16"/>
  <c r="AA8" i="16"/>
  <c r="I10" i="16" l="1"/>
  <c r="O10" i="16"/>
  <c r="E10" i="16"/>
  <c r="W10" i="16"/>
  <c r="N10" i="16"/>
  <c r="P10" i="16" s="1"/>
  <c r="D10" i="16"/>
  <c r="AE10" i="16"/>
  <c r="V10" i="16"/>
  <c r="X10" i="16" s="1"/>
  <c r="L10" i="16"/>
  <c r="C10" i="16"/>
  <c r="AJ10" i="16"/>
  <c r="G10" i="16"/>
  <c r="F10" i="16"/>
  <c r="U10" i="16"/>
  <c r="T10" i="16"/>
  <c r="K10" i="16"/>
  <c r="AK10" i="16"/>
  <c r="J10" i="16"/>
  <c r="AD10" i="16"/>
  <c r="AF10" i="16" s="1"/>
  <c r="H10" i="16"/>
  <c r="AC10" i="16"/>
  <c r="AB10" i="16"/>
  <c r="B11" i="16" a="1"/>
  <c r="B11" i="16" s="1"/>
  <c r="R10" i="16" l="1"/>
  <c r="Q10" i="16"/>
  <c r="S10" i="16"/>
  <c r="AD11" i="16"/>
  <c r="AF11" i="16" s="1"/>
  <c r="V11" i="16"/>
  <c r="X11" i="16" s="1"/>
  <c r="N11" i="16"/>
  <c r="P11" i="16" s="1"/>
  <c r="E11" i="16"/>
  <c r="F11" i="16"/>
  <c r="O11" i="16"/>
  <c r="D11" i="16"/>
  <c r="W11" i="16"/>
  <c r="L11" i="16"/>
  <c r="C11" i="16"/>
  <c r="AE11" i="16"/>
  <c r="U11" i="16"/>
  <c r="K11" i="16"/>
  <c r="AJ11" i="16"/>
  <c r="H11" i="16"/>
  <c r="G11" i="16"/>
  <c r="J11" i="16"/>
  <c r="I11" i="16"/>
  <c r="AK11" i="16"/>
  <c r="AC11" i="16"/>
  <c r="AB11" i="16"/>
  <c r="T11" i="16"/>
  <c r="B12" i="16" a="1"/>
  <c r="B12" i="16" s="1"/>
  <c r="AH10" i="16"/>
  <c r="AG10" i="16"/>
  <c r="AI10" i="16"/>
  <c r="Z10" i="16"/>
  <c r="AA10" i="16"/>
  <c r="Y10" i="16"/>
  <c r="I12" i="16" l="1"/>
  <c r="F12" i="16"/>
  <c r="O12" i="16"/>
  <c r="E12" i="16"/>
  <c r="W12" i="16"/>
  <c r="N12" i="16"/>
  <c r="P12" i="16" s="1"/>
  <c r="D12" i="16"/>
  <c r="AE12" i="16"/>
  <c r="V12" i="16"/>
  <c r="X12" i="16" s="1"/>
  <c r="L12" i="16"/>
  <c r="C12" i="16"/>
  <c r="AD12" i="16"/>
  <c r="AF12" i="16" s="1"/>
  <c r="U12" i="16"/>
  <c r="K12" i="16"/>
  <c r="AK12" i="16"/>
  <c r="AB12" i="16"/>
  <c r="H12" i="16"/>
  <c r="AJ12" i="16"/>
  <c r="G12" i="16"/>
  <c r="AC12" i="16"/>
  <c r="T12" i="16"/>
  <c r="J12" i="16"/>
  <c r="B13" i="16" a="1"/>
  <c r="B13" i="16" s="1"/>
  <c r="AD13" i="16" l="1"/>
  <c r="AF13" i="16" s="1"/>
  <c r="V13" i="16"/>
  <c r="X13" i="16" s="1"/>
  <c r="N13" i="16"/>
  <c r="P13" i="16" s="1"/>
  <c r="E13" i="16"/>
  <c r="G13" i="16"/>
  <c r="F13" i="16"/>
  <c r="O13" i="16"/>
  <c r="D13" i="16"/>
  <c r="W13" i="16"/>
  <c r="L13" i="16"/>
  <c r="C13" i="16"/>
  <c r="AE13" i="16"/>
  <c r="U13" i="16"/>
  <c r="K13" i="16"/>
  <c r="AK13" i="16"/>
  <c r="AB13" i="16"/>
  <c r="I13" i="16"/>
  <c r="AJ13" i="16"/>
  <c r="H13" i="16"/>
  <c r="AC13" i="16"/>
  <c r="T13" i="16"/>
  <c r="J13" i="16"/>
  <c r="B14" i="16" a="1"/>
  <c r="B14" i="16" s="1"/>
  <c r="I14" i="16" l="1"/>
  <c r="AJ14" i="16"/>
  <c r="G14" i="16"/>
  <c r="F14" i="16"/>
  <c r="O14" i="16"/>
  <c r="E14" i="16"/>
  <c r="W14" i="16"/>
  <c r="N14" i="16"/>
  <c r="P14" i="16" s="1"/>
  <c r="D14" i="16"/>
  <c r="AE14" i="16"/>
  <c r="V14" i="16"/>
  <c r="X14" i="16" s="1"/>
  <c r="L14" i="16"/>
  <c r="C14" i="16"/>
  <c r="AC14" i="16"/>
  <c r="T14" i="16"/>
  <c r="J14" i="16"/>
  <c r="AK14" i="16"/>
  <c r="AB14" i="16"/>
  <c r="H14" i="16"/>
  <c r="AD14" i="16"/>
  <c r="AF14" i="16" s="1"/>
  <c r="U14" i="16"/>
  <c r="K14" i="16"/>
  <c r="B15" i="16" a="1"/>
  <c r="B15" i="16" s="1"/>
  <c r="AH14" i="16" l="1"/>
  <c r="AI14" i="16"/>
  <c r="AG14" i="16"/>
  <c r="Z14" i="16"/>
  <c r="AA14" i="16"/>
  <c r="Y14" i="16"/>
  <c r="R14" i="16"/>
  <c r="Q14" i="16"/>
  <c r="S14" i="16"/>
  <c r="W15" i="16"/>
  <c r="N15" i="16"/>
  <c r="P15" i="16" s="1"/>
  <c r="E15" i="16"/>
  <c r="AC15" i="16"/>
  <c r="H15" i="16"/>
  <c r="AB15" i="16"/>
  <c r="G15" i="16"/>
  <c r="AK15" i="16"/>
  <c r="F15" i="16"/>
  <c r="AJ15" i="16"/>
  <c r="O15" i="16"/>
  <c r="D15" i="16"/>
  <c r="L15" i="16"/>
  <c r="C15" i="16"/>
  <c r="V15" i="16"/>
  <c r="X15" i="16" s="1"/>
  <c r="K15" i="16"/>
  <c r="AE15" i="16"/>
  <c r="U15" i="16"/>
  <c r="J15" i="16"/>
  <c r="AD15" i="16"/>
  <c r="AF15" i="16" s="1"/>
  <c r="T15" i="16"/>
  <c r="I15" i="16"/>
  <c r="B16" i="16" a="1"/>
  <c r="B16" i="16" s="1"/>
  <c r="AA15" i="16" l="1"/>
  <c r="Z15" i="16"/>
  <c r="Y15" i="16"/>
  <c r="AJ16" i="16"/>
  <c r="AB16" i="16"/>
  <c r="T16" i="16"/>
  <c r="K16" i="16"/>
  <c r="C16" i="16"/>
  <c r="AE16" i="16"/>
  <c r="V16" i="16"/>
  <c r="X16" i="16" s="1"/>
  <c r="L16" i="16"/>
  <c r="O16" i="16"/>
  <c r="E16" i="16"/>
  <c r="AC16" i="16"/>
  <c r="D16" i="16"/>
  <c r="N16" i="16"/>
  <c r="P16" i="16" s="1"/>
  <c r="AK16" i="16"/>
  <c r="J16" i="16"/>
  <c r="W16" i="16"/>
  <c r="I16" i="16"/>
  <c r="U16" i="16"/>
  <c r="H16" i="16"/>
  <c r="G16" i="16"/>
  <c r="AD16" i="16"/>
  <c r="AF16" i="16" s="1"/>
  <c r="F16" i="16"/>
  <c r="B17" i="16" a="1"/>
  <c r="B17" i="16" s="1"/>
  <c r="S15" i="16"/>
  <c r="R15" i="16"/>
  <c r="Q15" i="16"/>
  <c r="AG15" i="16"/>
  <c r="AI15" i="16"/>
  <c r="AH15" i="16"/>
  <c r="Q16" i="16" l="1"/>
  <c r="S16" i="16"/>
  <c r="R16" i="16"/>
  <c r="AG16" i="16"/>
  <c r="AI16" i="16"/>
  <c r="AH16" i="16"/>
  <c r="G17" i="16"/>
  <c r="AE17" i="16"/>
  <c r="V17" i="16"/>
  <c r="X17" i="16" s="1"/>
  <c r="L17" i="16"/>
  <c r="C17" i="16"/>
  <c r="O17" i="16"/>
  <c r="E17" i="16"/>
  <c r="AC17" i="16"/>
  <c r="D17" i="16"/>
  <c r="AB17" i="16"/>
  <c r="N17" i="16"/>
  <c r="P17" i="16" s="1"/>
  <c r="AK17" i="16"/>
  <c r="K17" i="16"/>
  <c r="AJ17" i="16"/>
  <c r="W17" i="16"/>
  <c r="J17" i="16"/>
  <c r="U17" i="16"/>
  <c r="I17" i="16"/>
  <c r="T17" i="16"/>
  <c r="H17" i="16"/>
  <c r="AD17" i="16"/>
  <c r="AF17" i="16" s="1"/>
  <c r="F17" i="16"/>
  <c r="B18" i="16" a="1"/>
  <c r="B18" i="16" s="1"/>
  <c r="AA16" i="16"/>
  <c r="Z16" i="16"/>
  <c r="Y16" i="16"/>
  <c r="AJ18" i="16" l="1"/>
  <c r="AB18" i="16"/>
  <c r="T18" i="16"/>
  <c r="K18" i="16"/>
  <c r="C18" i="16"/>
  <c r="W18" i="16"/>
  <c r="N18" i="16"/>
  <c r="P18" i="16" s="1"/>
  <c r="D18" i="16"/>
  <c r="F18" i="16"/>
  <c r="AD18" i="16"/>
  <c r="AF18" i="16" s="1"/>
  <c r="E18" i="16"/>
  <c r="AC18" i="16"/>
  <c r="O18" i="16"/>
  <c r="L18" i="16"/>
  <c r="AK18" i="16"/>
  <c r="J18" i="16"/>
  <c r="V18" i="16"/>
  <c r="X18" i="16" s="1"/>
  <c r="I18" i="16"/>
  <c r="U18" i="16"/>
  <c r="H18" i="16"/>
  <c r="AE18" i="16"/>
  <c r="G18" i="16"/>
  <c r="B19" i="16" a="1"/>
  <c r="B19" i="16" s="1"/>
  <c r="AH17" i="16"/>
  <c r="AI17" i="16"/>
  <c r="AG17" i="16"/>
  <c r="R17" i="16"/>
  <c r="Q17" i="16"/>
  <c r="S17" i="16"/>
  <c r="Y17" i="16"/>
  <c r="AA17" i="16"/>
  <c r="Z17" i="16"/>
  <c r="G19" i="16" l="1"/>
  <c r="W19" i="16"/>
  <c r="N19" i="16"/>
  <c r="P19" i="16" s="1"/>
  <c r="D19" i="16"/>
  <c r="AE19" i="16"/>
  <c r="V19" i="16"/>
  <c r="X19" i="16" s="1"/>
  <c r="L19" i="16"/>
  <c r="C19" i="16"/>
  <c r="AD19" i="16"/>
  <c r="AF19" i="16" s="1"/>
  <c r="U19" i="16"/>
  <c r="K19" i="16"/>
  <c r="F19" i="16"/>
  <c r="AB19" i="16"/>
  <c r="I19" i="16"/>
  <c r="H19" i="16"/>
  <c r="E19" i="16"/>
  <c r="T19" i="16"/>
  <c r="AK19" i="16"/>
  <c r="AJ19" i="16"/>
  <c r="O19" i="16"/>
  <c r="AC19" i="16"/>
  <c r="J19" i="16"/>
  <c r="B20" i="16" a="1"/>
  <c r="B20" i="16" s="1"/>
  <c r="AG19" i="16" l="1"/>
  <c r="AI19" i="16"/>
  <c r="AH19" i="16"/>
  <c r="AJ20" i="16"/>
  <c r="AB20" i="16"/>
  <c r="T20" i="16"/>
  <c r="K20" i="16"/>
  <c r="C20" i="16"/>
  <c r="O20" i="16"/>
  <c r="E20" i="16"/>
  <c r="W20" i="16"/>
  <c r="N20" i="16"/>
  <c r="P20" i="16" s="1"/>
  <c r="D20" i="16"/>
  <c r="AE20" i="16"/>
  <c r="V20" i="16"/>
  <c r="X20" i="16" s="1"/>
  <c r="L20" i="16"/>
  <c r="G20" i="16"/>
  <c r="AC20" i="16"/>
  <c r="I20" i="16"/>
  <c r="H20" i="16"/>
  <c r="F20" i="16"/>
  <c r="U20" i="16"/>
  <c r="AK20" i="16"/>
  <c r="AD20" i="16"/>
  <c r="AF20" i="16" s="1"/>
  <c r="J20" i="16"/>
  <c r="B21" i="16" a="1"/>
  <c r="B21" i="16" s="1"/>
  <c r="Z19" i="16"/>
  <c r="AA19" i="16"/>
  <c r="Y19" i="16"/>
  <c r="Q19" i="16"/>
  <c r="S19" i="16"/>
  <c r="R19" i="16"/>
  <c r="AG20" i="16" l="1"/>
  <c r="AI20" i="16"/>
  <c r="AH20" i="16"/>
  <c r="Z20" i="16"/>
  <c r="AA20" i="16"/>
  <c r="Y20" i="16"/>
  <c r="Q20" i="16"/>
  <c r="S20" i="16"/>
  <c r="R20" i="16"/>
  <c r="G21" i="16"/>
  <c r="O21" i="16"/>
  <c r="E21" i="16"/>
  <c r="W21" i="16"/>
  <c r="N21" i="16"/>
  <c r="P21" i="16" s="1"/>
  <c r="D21" i="16"/>
  <c r="AE21" i="16"/>
  <c r="V21" i="16"/>
  <c r="X21" i="16" s="1"/>
  <c r="L21" i="16"/>
  <c r="C21" i="16"/>
  <c r="AJ21" i="16"/>
  <c r="H21" i="16"/>
  <c r="AC21" i="16"/>
  <c r="J21" i="16"/>
  <c r="AB21" i="16"/>
  <c r="I21" i="16"/>
  <c r="F21" i="16"/>
  <c r="U21" i="16"/>
  <c r="T21" i="16"/>
  <c r="AK21" i="16"/>
  <c r="AD21" i="16"/>
  <c r="AF21" i="16" s="1"/>
  <c r="K21" i="16"/>
  <c r="B22" i="16" a="1"/>
  <c r="B22" i="16" s="1"/>
  <c r="AH21" i="16" l="1"/>
  <c r="AG21" i="16"/>
  <c r="AI21" i="16"/>
  <c r="R21" i="16"/>
  <c r="S21" i="16"/>
  <c r="Q21" i="16"/>
  <c r="Y21" i="16"/>
  <c r="AA21" i="16"/>
  <c r="Z21" i="16"/>
  <c r="AJ22" i="16"/>
  <c r="AB22" i="16"/>
  <c r="T22" i="16"/>
  <c r="K22" i="16"/>
  <c r="C22" i="16"/>
  <c r="F22" i="16"/>
  <c r="O22" i="16"/>
  <c r="E22" i="16"/>
  <c r="W22" i="16"/>
  <c r="N22" i="16"/>
  <c r="P22" i="16" s="1"/>
  <c r="D22" i="16"/>
  <c r="AK22" i="16"/>
  <c r="H22" i="16"/>
  <c r="AD22" i="16"/>
  <c r="AF22" i="16" s="1"/>
  <c r="J22" i="16"/>
  <c r="AC22" i="16"/>
  <c r="I22" i="16"/>
  <c r="G22" i="16"/>
  <c r="V22" i="16"/>
  <c r="X22" i="16" s="1"/>
  <c r="U22" i="16"/>
  <c r="AE22" i="16"/>
  <c r="L22" i="16"/>
  <c r="B23" i="16" a="1"/>
  <c r="B23" i="16" s="1"/>
  <c r="G23" i="16" l="1"/>
  <c r="F23" i="16"/>
  <c r="O23" i="16"/>
  <c r="E23" i="16"/>
  <c r="W23" i="16"/>
  <c r="N23" i="16"/>
  <c r="P23" i="16" s="1"/>
  <c r="D23" i="16"/>
  <c r="AK23" i="16"/>
  <c r="AB23" i="16"/>
  <c r="I23" i="16"/>
  <c r="AD23" i="16"/>
  <c r="AF23" i="16" s="1"/>
  <c r="K23" i="16"/>
  <c r="AC23" i="16"/>
  <c r="J23" i="16"/>
  <c r="H23" i="16"/>
  <c r="V23" i="16"/>
  <c r="X23" i="16" s="1"/>
  <c r="C23" i="16"/>
  <c r="U23" i="16"/>
  <c r="T23" i="16"/>
  <c r="AJ23" i="16"/>
  <c r="AE23" i="16"/>
  <c r="L23" i="16"/>
  <c r="B24" i="16" a="1"/>
  <c r="B24" i="16" s="1"/>
  <c r="AI23" i="16" l="1"/>
  <c r="AH23" i="16"/>
  <c r="AG23" i="16"/>
  <c r="Q23" i="16"/>
  <c r="S23" i="16"/>
  <c r="R23" i="16"/>
  <c r="Z23" i="16"/>
  <c r="Y23" i="16"/>
  <c r="AA23" i="16"/>
  <c r="AJ24" i="16"/>
  <c r="AB24" i="16"/>
  <c r="T24" i="16"/>
  <c r="K24" i="16"/>
  <c r="C24" i="16"/>
  <c r="G24" i="16"/>
  <c r="F24" i="16"/>
  <c r="O24" i="16"/>
  <c r="E24" i="16"/>
  <c r="AC24" i="16"/>
  <c r="I24" i="16"/>
  <c r="AE24" i="16"/>
  <c r="L24" i="16"/>
  <c r="AD24" i="16"/>
  <c r="AF24" i="16" s="1"/>
  <c r="J24" i="16"/>
  <c r="H24" i="16"/>
  <c r="W24" i="16"/>
  <c r="D24" i="16"/>
  <c r="V24" i="16"/>
  <c r="X24" i="16" s="1"/>
  <c r="U24" i="16"/>
  <c r="AK24" i="16"/>
  <c r="N24" i="16"/>
  <c r="P24" i="16" s="1"/>
  <c r="B25" i="16" a="1"/>
  <c r="B25" i="16" s="1"/>
  <c r="G25" i="16" l="1"/>
  <c r="AJ25" i="16"/>
  <c r="H25" i="16"/>
  <c r="F25" i="16"/>
  <c r="O25" i="16"/>
  <c r="E25" i="16"/>
  <c r="AC25" i="16"/>
  <c r="T25" i="16"/>
  <c r="J25" i="16"/>
  <c r="AE25" i="16"/>
  <c r="L25" i="16"/>
  <c r="AD25" i="16"/>
  <c r="AF25" i="16" s="1"/>
  <c r="K25" i="16"/>
  <c r="AB25" i="16"/>
  <c r="I25" i="16"/>
  <c r="W25" i="16"/>
  <c r="D25" i="16"/>
  <c r="V25" i="16"/>
  <c r="X25" i="16" s="1"/>
  <c r="C25" i="16"/>
  <c r="U25" i="16"/>
  <c r="AK25" i="16"/>
  <c r="N25" i="16"/>
  <c r="P25" i="16" s="1"/>
  <c r="B26" i="16" a="1"/>
  <c r="B26" i="16" s="1"/>
  <c r="Q24" i="16"/>
  <c r="S24" i="16"/>
  <c r="R24" i="16"/>
  <c r="AI24" i="16"/>
  <c r="AH24" i="16"/>
  <c r="AG24" i="16"/>
  <c r="Z24" i="16"/>
  <c r="Y24" i="16"/>
  <c r="AA24" i="16"/>
  <c r="AJ26" i="16" l="1"/>
  <c r="AB26" i="16"/>
  <c r="T26" i="16"/>
  <c r="K26" i="16"/>
  <c r="C26" i="16"/>
  <c r="AE26" i="16"/>
  <c r="V26" i="16"/>
  <c r="X26" i="16" s="1"/>
  <c r="AC26" i="16"/>
  <c r="H26" i="16"/>
  <c r="G26" i="16"/>
  <c r="AK26" i="16"/>
  <c r="F26" i="16"/>
  <c r="U26" i="16"/>
  <c r="J26" i="16"/>
  <c r="N26" i="16"/>
  <c r="P26" i="16" s="1"/>
  <c r="L26" i="16"/>
  <c r="AD26" i="16"/>
  <c r="AF26" i="16" s="1"/>
  <c r="I26" i="16"/>
  <c r="E26" i="16"/>
  <c r="D26" i="16"/>
  <c r="W26" i="16"/>
  <c r="O26" i="16"/>
  <c r="B27" i="16" a="1"/>
  <c r="B27" i="16" s="1"/>
  <c r="G27" i="16" l="1"/>
  <c r="AE27" i="16"/>
  <c r="V27" i="16"/>
  <c r="X27" i="16" s="1"/>
  <c r="L27" i="16"/>
  <c r="C27" i="16"/>
  <c r="N27" i="16"/>
  <c r="P27" i="16" s="1"/>
  <c r="W27" i="16"/>
  <c r="K27" i="16"/>
  <c r="U27" i="16"/>
  <c r="J27" i="16"/>
  <c r="AK27" i="16"/>
  <c r="E27" i="16"/>
  <c r="AJ27" i="16"/>
  <c r="O27" i="16"/>
  <c r="AD27" i="16"/>
  <c r="AF27" i="16" s="1"/>
  <c r="I27" i="16"/>
  <c r="AC27" i="16"/>
  <c r="H27" i="16"/>
  <c r="AB27" i="16"/>
  <c r="F27" i="16"/>
  <c r="D27" i="16"/>
  <c r="T27" i="16"/>
  <c r="B28" i="16" a="1"/>
  <c r="B28" i="16" s="1"/>
  <c r="AH26" i="16"/>
  <c r="AG26" i="16"/>
  <c r="AI26" i="16"/>
  <c r="R26" i="16"/>
  <c r="Q26" i="16"/>
  <c r="S26" i="16"/>
  <c r="AA26" i="16"/>
  <c r="Z26" i="16"/>
  <c r="Y26" i="16"/>
  <c r="AJ28" i="16" l="1"/>
  <c r="AB28" i="16"/>
  <c r="T28" i="16"/>
  <c r="K28" i="16"/>
  <c r="C28" i="16"/>
  <c r="W28" i="16"/>
  <c r="N28" i="16"/>
  <c r="P28" i="16" s="1"/>
  <c r="D28" i="16"/>
  <c r="AD28" i="16"/>
  <c r="AF28" i="16" s="1"/>
  <c r="H28" i="16"/>
  <c r="AC28" i="16"/>
  <c r="G28" i="16"/>
  <c r="F28" i="16"/>
  <c r="V28" i="16"/>
  <c r="X28" i="16" s="1"/>
  <c r="J28" i="16"/>
  <c r="U28" i="16"/>
  <c r="AK28" i="16"/>
  <c r="O28" i="16"/>
  <c r="L28" i="16"/>
  <c r="AE28" i="16"/>
  <c r="I28" i="16"/>
  <c r="E28" i="16"/>
  <c r="B29" i="16" a="1"/>
  <c r="B29" i="16" s="1"/>
  <c r="AI27" i="16"/>
  <c r="AH27" i="16"/>
  <c r="AG27" i="16"/>
  <c r="Q27" i="16"/>
  <c r="S27" i="16"/>
  <c r="R27" i="16"/>
  <c r="Y27" i="16"/>
  <c r="AA27" i="16"/>
  <c r="Z27" i="16"/>
  <c r="G29" i="16" l="1"/>
  <c r="W29" i="16"/>
  <c r="N29" i="16"/>
  <c r="P29" i="16" s="1"/>
  <c r="D29" i="16"/>
  <c r="AJ29" i="16"/>
  <c r="O29" i="16"/>
  <c r="C29" i="16"/>
  <c r="L29" i="16"/>
  <c r="V29" i="16"/>
  <c r="X29" i="16" s="1"/>
  <c r="K29" i="16"/>
  <c r="AB29" i="16"/>
  <c r="F29" i="16"/>
  <c r="AD29" i="16"/>
  <c r="AF29" i="16" s="1"/>
  <c r="I29" i="16"/>
  <c r="AC29" i="16"/>
  <c r="H29" i="16"/>
  <c r="E29" i="16"/>
  <c r="U29" i="16"/>
  <c r="T29" i="16"/>
  <c r="AK29" i="16"/>
  <c r="AE29" i="16"/>
  <c r="J29" i="16"/>
  <c r="B30" i="16" a="1"/>
  <c r="B30" i="16" s="1"/>
  <c r="Z29" i="16" l="1"/>
  <c r="Y29" i="16"/>
  <c r="AA29" i="16"/>
  <c r="AJ30" i="16"/>
  <c r="AB30" i="16"/>
  <c r="T30" i="16"/>
  <c r="K30" i="16"/>
  <c r="C30" i="16"/>
  <c r="O30" i="16"/>
  <c r="E30" i="16"/>
  <c r="AE30" i="16"/>
  <c r="U30" i="16"/>
  <c r="I30" i="16"/>
  <c r="AD30" i="16"/>
  <c r="AF30" i="16" s="1"/>
  <c r="H30" i="16"/>
  <c r="AC30" i="16"/>
  <c r="G30" i="16"/>
  <c r="N30" i="16"/>
  <c r="P30" i="16" s="1"/>
  <c r="W30" i="16"/>
  <c r="L30" i="16"/>
  <c r="V30" i="16"/>
  <c r="X30" i="16" s="1"/>
  <c r="J30" i="16"/>
  <c r="AK30" i="16"/>
  <c r="F30" i="16"/>
  <c r="D30" i="16"/>
  <c r="B31" i="16" a="1"/>
  <c r="B31" i="16" s="1"/>
  <c r="AG29" i="16"/>
  <c r="AI29" i="16"/>
  <c r="AH29" i="16"/>
  <c r="R29" i="16"/>
  <c r="S29" i="16"/>
  <c r="Q29" i="16"/>
  <c r="G31" i="16" l="1"/>
  <c r="AD31" i="16"/>
  <c r="AF31" i="16" s="1"/>
  <c r="U31" i="16"/>
  <c r="K31" i="16"/>
  <c r="O31" i="16"/>
  <c r="E31" i="16"/>
  <c r="AE31" i="16"/>
  <c r="F31" i="16"/>
  <c r="AC31" i="16"/>
  <c r="D31" i="16"/>
  <c r="AB31" i="16"/>
  <c r="C31" i="16"/>
  <c r="AJ31" i="16"/>
  <c r="W31" i="16"/>
  <c r="J31" i="16"/>
  <c r="V31" i="16"/>
  <c r="X31" i="16" s="1"/>
  <c r="I31" i="16"/>
  <c r="N31" i="16"/>
  <c r="P31" i="16" s="1"/>
  <c r="L31" i="16"/>
  <c r="H31" i="16"/>
  <c r="AK31" i="16"/>
  <c r="T31" i="16"/>
  <c r="B32" i="16" a="1"/>
  <c r="B32" i="16" s="1"/>
  <c r="Y31" i="16" l="1"/>
  <c r="AA31" i="16"/>
  <c r="Z31" i="16"/>
  <c r="AJ32" i="16"/>
  <c r="AB32" i="16"/>
  <c r="T32" i="16"/>
  <c r="K32" i="16"/>
  <c r="C32" i="16"/>
  <c r="AE32" i="16"/>
  <c r="V32" i="16"/>
  <c r="X32" i="16" s="1"/>
  <c r="L32" i="16"/>
  <c r="F32" i="16"/>
  <c r="G32" i="16"/>
  <c r="AD32" i="16"/>
  <c r="AF32" i="16" s="1"/>
  <c r="E32" i="16"/>
  <c r="AC32" i="16"/>
  <c r="D32" i="16"/>
  <c r="AK32" i="16"/>
  <c r="J32" i="16"/>
  <c r="W32" i="16"/>
  <c r="I32" i="16"/>
  <c r="N32" i="16"/>
  <c r="P32" i="16" s="1"/>
  <c r="H32" i="16"/>
  <c r="U32" i="16"/>
  <c r="O32" i="16"/>
  <c r="B33" i="16" a="1"/>
  <c r="B33" i="16" s="1"/>
  <c r="S31" i="16"/>
  <c r="R31" i="16"/>
  <c r="Q31" i="16"/>
  <c r="AH31" i="16"/>
  <c r="AI31" i="16"/>
  <c r="AG31" i="16"/>
  <c r="Y32" i="16" l="1"/>
  <c r="AA32" i="16"/>
  <c r="Z32" i="16"/>
  <c r="AH32" i="16"/>
  <c r="AI32" i="16"/>
  <c r="AG32" i="16"/>
  <c r="S32" i="16"/>
  <c r="R32" i="16"/>
  <c r="Q32" i="16"/>
  <c r="G33" i="16"/>
  <c r="AE33" i="16"/>
  <c r="V33" i="16"/>
  <c r="X33" i="16" s="1"/>
  <c r="L33" i="16"/>
  <c r="C33" i="16"/>
  <c r="F33" i="16"/>
  <c r="T33" i="16"/>
  <c r="H33" i="16"/>
  <c r="AD33" i="16"/>
  <c r="AF33" i="16" s="1"/>
  <c r="E33" i="16"/>
  <c r="AC33" i="16"/>
  <c r="D33" i="16"/>
  <c r="AB33" i="16"/>
  <c r="O33" i="16"/>
  <c r="AK33" i="16"/>
  <c r="K33" i="16"/>
  <c r="AJ33" i="16"/>
  <c r="W33" i="16"/>
  <c r="J33" i="16"/>
  <c r="N33" i="16"/>
  <c r="P33" i="16" s="1"/>
  <c r="I33" i="16"/>
  <c r="U33" i="16"/>
  <c r="B34" i="16" a="1"/>
  <c r="B34" i="16" s="1"/>
  <c r="AJ34" i="16" l="1"/>
  <c r="AB34" i="16"/>
  <c r="T34" i="16"/>
  <c r="K34" i="16"/>
  <c r="C34" i="16"/>
  <c r="W34" i="16"/>
  <c r="N34" i="16"/>
  <c r="P34" i="16" s="1"/>
  <c r="D34" i="16"/>
  <c r="G34" i="16"/>
  <c r="U34" i="16"/>
  <c r="H34" i="16"/>
  <c r="AE34" i="16"/>
  <c r="F34" i="16"/>
  <c r="AD34" i="16"/>
  <c r="AF34" i="16" s="1"/>
  <c r="E34" i="16"/>
  <c r="AC34" i="16"/>
  <c r="L34" i="16"/>
  <c r="AK34" i="16"/>
  <c r="J34" i="16"/>
  <c r="V34" i="16"/>
  <c r="X34" i="16" s="1"/>
  <c r="O34" i="16"/>
  <c r="I34" i="16"/>
  <c r="B35" i="16" a="1"/>
  <c r="B35" i="16" s="1"/>
  <c r="Z34" i="16" l="1"/>
  <c r="Y34" i="16"/>
  <c r="AA34" i="16"/>
  <c r="Q34" i="16"/>
  <c r="S34" i="16"/>
  <c r="R34" i="16"/>
  <c r="G35" i="16"/>
  <c r="W35" i="16"/>
  <c r="N35" i="16"/>
  <c r="P35" i="16" s="1"/>
  <c r="D35" i="16"/>
  <c r="AJ35" i="16"/>
  <c r="H35" i="16"/>
  <c r="U35" i="16"/>
  <c r="I35" i="16"/>
  <c r="AE35" i="16"/>
  <c r="T35" i="16"/>
  <c r="F35" i="16"/>
  <c r="AD35" i="16"/>
  <c r="AF35" i="16" s="1"/>
  <c r="E35" i="16"/>
  <c r="AC35" i="16"/>
  <c r="C35" i="16"/>
  <c r="AB35" i="16"/>
  <c r="O35" i="16"/>
  <c r="L35" i="16"/>
  <c r="AK35" i="16"/>
  <c r="K35" i="16"/>
  <c r="V35" i="16"/>
  <c r="X35" i="16" s="1"/>
  <c r="J35" i="16"/>
  <c r="B36" i="16" a="1"/>
  <c r="B36" i="16" s="1"/>
  <c r="AI34" i="16"/>
  <c r="AG34" i="16"/>
  <c r="AH34" i="16"/>
  <c r="AG35" i="16" l="1"/>
  <c r="AH35" i="16"/>
  <c r="AI35" i="16"/>
  <c r="AA35" i="16"/>
  <c r="Z35" i="16"/>
  <c r="Y35" i="16"/>
  <c r="R35" i="16"/>
  <c r="S35" i="16"/>
  <c r="Q35" i="16"/>
  <c r="AJ36" i="16"/>
  <c r="AB36" i="16"/>
  <c r="T36" i="16"/>
  <c r="K36" i="16"/>
  <c r="C36" i="16"/>
  <c r="J36" i="16"/>
  <c r="AC36" i="16"/>
  <c r="F36" i="16"/>
  <c r="V36" i="16"/>
  <c r="X36" i="16" s="1"/>
  <c r="I36" i="16"/>
  <c r="L36" i="16"/>
  <c r="H36" i="16"/>
  <c r="AK36" i="16"/>
  <c r="W36" i="16"/>
  <c r="G36" i="16"/>
  <c r="U36" i="16"/>
  <c r="E36" i="16"/>
  <c r="D36" i="16"/>
  <c r="AE36" i="16"/>
  <c r="AD36" i="16"/>
  <c r="AF36" i="16" s="1"/>
  <c r="O36" i="16"/>
  <c r="N36" i="16"/>
  <c r="P36" i="16" s="1"/>
  <c r="B37" i="16" a="1"/>
  <c r="B37" i="16" s="1"/>
  <c r="AI36" i="16" l="1"/>
  <c r="AH36" i="16"/>
  <c r="AG36" i="16"/>
  <c r="G37" i="16"/>
  <c r="AE37" i="16"/>
  <c r="W37" i="16"/>
  <c r="O37" i="16"/>
  <c r="F37" i="16"/>
  <c r="L37" i="16"/>
  <c r="AB37" i="16"/>
  <c r="E37" i="16"/>
  <c r="C37" i="16"/>
  <c r="AD37" i="16"/>
  <c r="AF37" i="16" s="1"/>
  <c r="AC37" i="16"/>
  <c r="N37" i="16"/>
  <c r="P37" i="16" s="1"/>
  <c r="K37" i="16"/>
  <c r="J37" i="16"/>
  <c r="AK37" i="16"/>
  <c r="V37" i="16"/>
  <c r="X37" i="16" s="1"/>
  <c r="I37" i="16"/>
  <c r="AJ37" i="16"/>
  <c r="U37" i="16"/>
  <c r="H37" i="16"/>
  <c r="T37" i="16"/>
  <c r="D37" i="16"/>
  <c r="B38" i="16" a="1"/>
  <c r="B38" i="16" s="1"/>
  <c r="S36" i="16"/>
  <c r="Q36" i="16"/>
  <c r="R36" i="16"/>
  <c r="AJ38" i="16" l="1"/>
  <c r="AB38" i="16"/>
  <c r="T38" i="16"/>
  <c r="K38" i="16"/>
  <c r="C38" i="16"/>
  <c r="J38" i="16"/>
  <c r="AE38" i="16"/>
  <c r="U38" i="16"/>
  <c r="H38" i="16"/>
  <c r="N38" i="16"/>
  <c r="P38" i="16" s="1"/>
  <c r="I38" i="16"/>
  <c r="W38" i="16"/>
  <c r="G38" i="16"/>
  <c r="AK38" i="16"/>
  <c r="V38" i="16"/>
  <c r="X38" i="16" s="1"/>
  <c r="F38" i="16"/>
  <c r="E38" i="16"/>
  <c r="D38" i="16"/>
  <c r="AD38" i="16"/>
  <c r="AF38" i="16" s="1"/>
  <c r="AC38" i="16"/>
  <c r="O38" i="16"/>
  <c r="L38" i="16"/>
  <c r="B39" i="16" a="1"/>
  <c r="B39" i="16" s="1"/>
  <c r="Y37" i="16"/>
  <c r="AA37" i="16"/>
  <c r="Z37" i="16"/>
  <c r="AI38" i="16" l="1"/>
  <c r="AH38" i="16"/>
  <c r="AG38" i="16"/>
  <c r="S38" i="16"/>
  <c r="R38" i="16"/>
  <c r="Q38" i="16"/>
  <c r="G39" i="16"/>
  <c r="AE39" i="16"/>
  <c r="W39" i="16"/>
  <c r="O39" i="16"/>
  <c r="F39" i="16"/>
  <c r="AK39" i="16"/>
  <c r="D39" i="16"/>
  <c r="L39" i="16"/>
  <c r="AD39" i="16"/>
  <c r="AF39" i="16" s="1"/>
  <c r="T39" i="16"/>
  <c r="I39" i="16"/>
  <c r="U39" i="16"/>
  <c r="C39" i="16"/>
  <c r="AJ39" i="16"/>
  <c r="N39" i="16"/>
  <c r="P39" i="16" s="1"/>
  <c r="AC39" i="16"/>
  <c r="K39" i="16"/>
  <c r="AB39" i="16"/>
  <c r="J39" i="16"/>
  <c r="H39" i="16"/>
  <c r="V39" i="16"/>
  <c r="X39" i="16" s="1"/>
  <c r="E39" i="16"/>
  <c r="B40" i="16" a="1"/>
  <c r="B40" i="16" s="1"/>
  <c r="AA38" i="16"/>
  <c r="Y38" i="16"/>
  <c r="Z38" i="16"/>
  <c r="AJ40" i="16" l="1"/>
  <c r="AB40" i="16"/>
  <c r="T40" i="16"/>
  <c r="K40" i="16"/>
  <c r="C40" i="16"/>
  <c r="J40" i="16"/>
  <c r="W40" i="16"/>
  <c r="L40" i="16"/>
  <c r="AE40" i="16"/>
  <c r="U40" i="16"/>
  <c r="H40" i="16"/>
  <c r="E40" i="16"/>
  <c r="AK40" i="16"/>
  <c r="O40" i="16"/>
  <c r="AD40" i="16"/>
  <c r="AF40" i="16" s="1"/>
  <c r="N40" i="16"/>
  <c r="P40" i="16" s="1"/>
  <c r="AC40" i="16"/>
  <c r="I40" i="16"/>
  <c r="G40" i="16"/>
  <c r="F40" i="16"/>
  <c r="V40" i="16"/>
  <c r="X40" i="16" s="1"/>
  <c r="D40" i="16"/>
  <c r="B41" i="16" a="1"/>
  <c r="B41" i="16" s="1"/>
  <c r="G41" i="16" l="1"/>
  <c r="AE41" i="16"/>
  <c r="W41" i="16"/>
  <c r="O41" i="16"/>
  <c r="F41" i="16"/>
  <c r="AC41" i="16"/>
  <c r="H41" i="16"/>
  <c r="D41" i="16"/>
  <c r="V41" i="16"/>
  <c r="X41" i="16" s="1"/>
  <c r="K41" i="16"/>
  <c r="AJ41" i="16"/>
  <c r="N41" i="16"/>
  <c r="P41" i="16" s="1"/>
  <c r="AD41" i="16"/>
  <c r="AF41" i="16" s="1"/>
  <c r="L41" i="16"/>
  <c r="AB41" i="16"/>
  <c r="J41" i="16"/>
  <c r="I41" i="16"/>
  <c r="E41" i="16"/>
  <c r="U41" i="16"/>
  <c r="C41" i="16"/>
  <c r="AK41" i="16"/>
  <c r="T41" i="16"/>
  <c r="B42" i="16" a="1"/>
  <c r="B42" i="16" s="1"/>
  <c r="AA41" i="16" l="1"/>
  <c r="Z41" i="16"/>
  <c r="Y41" i="16"/>
  <c r="AD42" i="16"/>
  <c r="AF42" i="16" s="1"/>
  <c r="V42" i="16"/>
  <c r="X42" i="16" s="1"/>
  <c r="N42" i="16"/>
  <c r="P42" i="16" s="1"/>
  <c r="E42" i="16"/>
  <c r="AK42" i="16"/>
  <c r="AC42" i="16"/>
  <c r="U42" i="16"/>
  <c r="L42" i="16"/>
  <c r="D42" i="16"/>
  <c r="F42" i="16"/>
  <c r="AJ42" i="16"/>
  <c r="C42" i="16"/>
  <c r="T42" i="16"/>
  <c r="G42" i="16"/>
  <c r="J42" i="16"/>
  <c r="AB42" i="16"/>
  <c r="W42" i="16"/>
  <c r="O42" i="16"/>
  <c r="K42" i="16"/>
  <c r="I42" i="16"/>
  <c r="H42" i="16"/>
  <c r="AE42" i="16"/>
  <c r="B43" i="16" a="1"/>
  <c r="B43" i="16" s="1"/>
  <c r="AH41" i="16"/>
  <c r="AI41" i="16"/>
  <c r="AG41" i="16"/>
  <c r="S41" i="16"/>
  <c r="Q41" i="16"/>
  <c r="R41" i="16"/>
  <c r="I43" i="16" l="1"/>
  <c r="H43" i="16"/>
  <c r="W43" i="16"/>
  <c r="L43" i="16"/>
  <c r="V43" i="16"/>
  <c r="X43" i="16" s="1"/>
  <c r="K43" i="16"/>
  <c r="AB43" i="16"/>
  <c r="N43" i="16"/>
  <c r="P43" i="16" s="1"/>
  <c r="J43" i="16"/>
  <c r="G43" i="16"/>
  <c r="AE43" i="16"/>
  <c r="D43" i="16"/>
  <c r="T43" i="16"/>
  <c r="O43" i="16"/>
  <c r="AK43" i="16"/>
  <c r="F43" i="16"/>
  <c r="AJ43" i="16"/>
  <c r="E43" i="16"/>
  <c r="AD43" i="16"/>
  <c r="AF43" i="16" s="1"/>
  <c r="C43" i="16"/>
  <c r="AC43" i="16"/>
  <c r="U43" i="16"/>
  <c r="B44" i="16" a="1"/>
  <c r="B44" i="16" s="1"/>
  <c r="Z43" i="16" l="1"/>
  <c r="Y43" i="16"/>
  <c r="AA43" i="16"/>
  <c r="AH43" i="16"/>
  <c r="AG43" i="16"/>
  <c r="AI43" i="16"/>
  <c r="R43" i="16"/>
  <c r="Q43" i="16"/>
  <c r="S43" i="16"/>
  <c r="AD44" i="16"/>
  <c r="AF44" i="16" s="1"/>
  <c r="V44" i="16"/>
  <c r="X44" i="16" s="1"/>
  <c r="N44" i="16"/>
  <c r="P44" i="16" s="1"/>
  <c r="E44" i="16"/>
  <c r="AK44" i="16"/>
  <c r="AC44" i="16"/>
  <c r="U44" i="16"/>
  <c r="L44" i="16"/>
  <c r="D44" i="16"/>
  <c r="AE44" i="16"/>
  <c r="H44" i="16"/>
  <c r="AB44" i="16"/>
  <c r="G44" i="16"/>
  <c r="T44" i="16"/>
  <c r="C44" i="16"/>
  <c r="J44" i="16"/>
  <c r="K44" i="16"/>
  <c r="AJ44" i="16"/>
  <c r="I44" i="16"/>
  <c r="F44" i="16"/>
  <c r="W44" i="16"/>
  <c r="O44" i="16"/>
  <c r="B45" i="16" a="1"/>
  <c r="B45" i="16" s="1"/>
  <c r="Y44" i="16" l="1"/>
  <c r="AA44" i="16"/>
  <c r="Z44" i="16"/>
  <c r="AH44" i="16"/>
  <c r="AG44" i="16"/>
  <c r="AI44" i="16"/>
  <c r="S44" i="16"/>
  <c r="R44" i="16"/>
  <c r="Q44" i="16"/>
  <c r="I45" i="16"/>
  <c r="H45" i="16"/>
  <c r="AK45" i="16"/>
  <c r="O45" i="16"/>
  <c r="D45" i="16"/>
  <c r="AJ45" i="16"/>
  <c r="N45" i="16"/>
  <c r="P45" i="16" s="1"/>
  <c r="C45" i="16"/>
  <c r="AB45" i="16"/>
  <c r="K45" i="16"/>
  <c r="W45" i="16"/>
  <c r="J45" i="16"/>
  <c r="V45" i="16"/>
  <c r="X45" i="16" s="1"/>
  <c r="G45" i="16"/>
  <c r="AE45" i="16"/>
  <c r="E45" i="16"/>
  <c r="AD45" i="16"/>
  <c r="AF45" i="16" s="1"/>
  <c r="AC45" i="16"/>
  <c r="U45" i="16"/>
  <c r="T45" i="16"/>
  <c r="L45" i="16"/>
  <c r="F45" i="16"/>
  <c r="B46" i="16" a="1"/>
  <c r="B46" i="16" s="1"/>
  <c r="R45" i="16" l="1"/>
  <c r="Q45" i="16"/>
  <c r="S45" i="16"/>
  <c r="Z45" i="16"/>
  <c r="Y45" i="16"/>
  <c r="AA45" i="16"/>
  <c r="AD46" i="16"/>
  <c r="AF46" i="16" s="1"/>
  <c r="V46" i="16"/>
  <c r="X46" i="16" s="1"/>
  <c r="N46" i="16"/>
  <c r="P46" i="16" s="1"/>
  <c r="E46" i="16"/>
  <c r="AK46" i="16"/>
  <c r="AC46" i="16"/>
  <c r="U46" i="16"/>
  <c r="L46" i="16"/>
  <c r="D46" i="16"/>
  <c r="AJ46" i="16"/>
  <c r="O46" i="16"/>
  <c r="W46" i="16"/>
  <c r="J46" i="16"/>
  <c r="T46" i="16"/>
  <c r="I46" i="16"/>
  <c r="F46" i="16"/>
  <c r="C46" i="16"/>
  <c r="AB46" i="16"/>
  <c r="K46" i="16"/>
  <c r="AE46" i="16"/>
  <c r="H46" i="16"/>
  <c r="G46" i="16"/>
  <c r="B47" i="16" a="1"/>
  <c r="B47" i="16" s="1"/>
  <c r="AH45" i="16"/>
  <c r="AG45" i="16"/>
  <c r="AI45" i="16"/>
  <c r="S46" i="16" l="1"/>
  <c r="R46" i="16"/>
  <c r="Q46" i="16"/>
  <c r="Y46" i="16"/>
  <c r="AA46" i="16"/>
  <c r="Z46" i="16"/>
  <c r="AI46" i="16"/>
  <c r="AG46" i="16"/>
  <c r="AH46" i="16"/>
  <c r="I47" i="16"/>
  <c r="H47" i="16"/>
  <c r="G47" i="16"/>
  <c r="L47" i="16"/>
  <c r="AJ47" i="16"/>
  <c r="V47" i="16"/>
  <c r="X47" i="16" s="1"/>
  <c r="J47" i="16"/>
  <c r="U47" i="16"/>
  <c r="F47" i="16"/>
  <c r="AB47" i="16"/>
  <c r="D47" i="16"/>
  <c r="W47" i="16"/>
  <c r="C47" i="16"/>
  <c r="T47" i="16"/>
  <c r="AE47" i="16"/>
  <c r="N47" i="16"/>
  <c r="P47" i="16" s="1"/>
  <c r="AK47" i="16"/>
  <c r="AD47" i="16"/>
  <c r="AF47" i="16" s="1"/>
  <c r="AC47" i="16"/>
  <c r="O47" i="16"/>
  <c r="K47" i="16"/>
  <c r="E47" i="16"/>
  <c r="B48" i="16" a="1"/>
  <c r="B48" i="16" s="1"/>
  <c r="AD48" i="16" l="1"/>
  <c r="AF48" i="16" s="1"/>
  <c r="V48" i="16"/>
  <c r="X48" i="16" s="1"/>
  <c r="N48" i="16"/>
  <c r="P48" i="16" s="1"/>
  <c r="E48" i="16"/>
  <c r="AK48" i="16"/>
  <c r="AC48" i="16"/>
  <c r="U48" i="16"/>
  <c r="L48" i="16"/>
  <c r="D48" i="16"/>
  <c r="AJ48" i="16"/>
  <c r="AB48" i="16"/>
  <c r="T48" i="16"/>
  <c r="K48" i="16"/>
  <c r="C48" i="16"/>
  <c r="J48" i="16"/>
  <c r="I48" i="16"/>
  <c r="H48" i="16"/>
  <c r="AE48" i="16"/>
  <c r="G48" i="16"/>
  <c r="F48" i="16"/>
  <c r="W48" i="16"/>
  <c r="O48" i="16"/>
  <c r="B49" i="16" a="1"/>
  <c r="B49" i="16" s="1"/>
  <c r="R47" i="16"/>
  <c r="Q47" i="16"/>
  <c r="S47" i="16"/>
  <c r="Z47" i="16"/>
  <c r="Y47" i="16"/>
  <c r="AA47" i="16"/>
  <c r="AH47" i="16"/>
  <c r="AG47" i="16"/>
  <c r="AI47" i="16"/>
  <c r="R48" i="16" l="1"/>
  <c r="S48" i="16"/>
  <c r="Q48" i="16"/>
  <c r="AA48" i="16"/>
  <c r="Y48" i="16"/>
  <c r="Z48" i="16"/>
  <c r="AI48" i="16"/>
  <c r="AH48" i="16"/>
  <c r="AG48" i="16"/>
  <c r="AK49" i="16"/>
  <c r="AC49" i="16"/>
  <c r="I49" i="16"/>
  <c r="H49" i="16"/>
  <c r="G49" i="16"/>
  <c r="AE49" i="16"/>
  <c r="D49" i="16"/>
  <c r="AB49" i="16"/>
  <c r="N49" i="16"/>
  <c r="P49" i="16" s="1"/>
  <c r="L49" i="16"/>
  <c r="O49" i="16"/>
  <c r="AJ49" i="16"/>
  <c r="K49" i="16"/>
  <c r="J49" i="16"/>
  <c r="AD49" i="16"/>
  <c r="AF49" i="16" s="1"/>
  <c r="F49" i="16"/>
  <c r="V49" i="16"/>
  <c r="X49" i="16" s="1"/>
  <c r="C49" i="16"/>
  <c r="U49" i="16"/>
  <c r="T49" i="16"/>
  <c r="E49" i="16"/>
  <c r="W49" i="16"/>
  <c r="B50" i="16" a="1"/>
  <c r="B50" i="16" s="1"/>
  <c r="Z49" i="16" l="1"/>
  <c r="Y49" i="16"/>
  <c r="AA49" i="16"/>
  <c r="R49" i="16"/>
  <c r="Q49" i="16"/>
  <c r="S49" i="16"/>
  <c r="AI49" i="16"/>
  <c r="AH49" i="16"/>
  <c r="AG49" i="16"/>
  <c r="H50" i="16"/>
  <c r="AJ50" i="16"/>
  <c r="G50" i="16"/>
  <c r="F50" i="16"/>
  <c r="O50" i="16"/>
  <c r="E50" i="16"/>
  <c r="W50" i="16"/>
  <c r="J50" i="16"/>
  <c r="AK50" i="16"/>
  <c r="U50" i="16"/>
  <c r="D50" i="16"/>
  <c r="T50" i="16"/>
  <c r="C50" i="16"/>
  <c r="AE50" i="16"/>
  <c r="AD50" i="16"/>
  <c r="AF50" i="16" s="1"/>
  <c r="AC50" i="16"/>
  <c r="AB50" i="16"/>
  <c r="V50" i="16"/>
  <c r="X50" i="16" s="1"/>
  <c r="L50" i="16"/>
  <c r="N50" i="16"/>
  <c r="P50" i="16" s="1"/>
  <c r="K50" i="16"/>
  <c r="I50" i="16"/>
  <c r="B51" i="16" a="1"/>
  <c r="B51" i="16" s="1"/>
  <c r="Q50" i="16" l="1"/>
  <c r="R50" i="16"/>
  <c r="S50" i="16"/>
  <c r="AK51" i="16"/>
  <c r="AC51" i="16"/>
  <c r="U51" i="16"/>
  <c r="L51" i="16"/>
  <c r="D51" i="16"/>
  <c r="AJ51" i="16"/>
  <c r="H51" i="16"/>
  <c r="G51" i="16"/>
  <c r="F51" i="16"/>
  <c r="AD51" i="16"/>
  <c r="AF51" i="16" s="1"/>
  <c r="N51" i="16"/>
  <c r="P51" i="16" s="1"/>
  <c r="AB51" i="16"/>
  <c r="K51" i="16"/>
  <c r="J51" i="16"/>
  <c r="W51" i="16"/>
  <c r="V51" i="16"/>
  <c r="X51" i="16" s="1"/>
  <c r="T51" i="16"/>
  <c r="O51" i="16"/>
  <c r="E51" i="16"/>
  <c r="AE51" i="16"/>
  <c r="I51" i="16"/>
  <c r="C51" i="16"/>
  <c r="B52" i="16" a="1"/>
  <c r="B52" i="16" s="1"/>
  <c r="Y50" i="16"/>
  <c r="AA50" i="16"/>
  <c r="Z50" i="16"/>
  <c r="H52" i="16" l="1"/>
  <c r="AK52" i="16"/>
  <c r="AB52" i="16"/>
  <c r="I52" i="16"/>
  <c r="AJ52" i="16"/>
  <c r="G52" i="16"/>
  <c r="F52" i="16"/>
  <c r="K52" i="16"/>
  <c r="V52" i="16"/>
  <c r="X52" i="16" s="1"/>
  <c r="E52" i="16"/>
  <c r="U52" i="16"/>
  <c r="D52" i="16"/>
  <c r="T52" i="16"/>
  <c r="C52" i="16"/>
  <c r="O52" i="16"/>
  <c r="N52" i="16"/>
  <c r="P52" i="16" s="1"/>
  <c r="L52" i="16"/>
  <c r="J52" i="16"/>
  <c r="AE52" i="16"/>
  <c r="AD52" i="16"/>
  <c r="AF52" i="16" s="1"/>
  <c r="AC52" i="16"/>
  <c r="W52" i="16"/>
  <c r="B53" i="16" a="1"/>
  <c r="B53" i="16" s="1"/>
  <c r="R51" i="16"/>
  <c r="Q51" i="16"/>
  <c r="S51" i="16"/>
  <c r="AA51" i="16"/>
  <c r="Z51" i="16"/>
  <c r="Y51" i="16"/>
  <c r="AI51" i="16"/>
  <c r="AH51" i="16"/>
  <c r="AG51" i="16"/>
  <c r="AG52" i="16" l="1"/>
  <c r="AI52" i="16"/>
  <c r="AH52" i="16"/>
  <c r="Y52" i="16"/>
  <c r="AA52" i="16"/>
  <c r="Z52" i="16"/>
  <c r="Q52" i="16"/>
  <c r="S52" i="16"/>
  <c r="R52" i="16"/>
  <c r="AK53" i="16"/>
  <c r="AC53" i="16"/>
  <c r="U53" i="16"/>
  <c r="L53" i="16"/>
  <c r="D53" i="16"/>
  <c r="AB53" i="16"/>
  <c r="I53" i="16"/>
  <c r="AJ53" i="16"/>
  <c r="H53" i="16"/>
  <c r="G53" i="16"/>
  <c r="T53" i="16"/>
  <c r="C53" i="16"/>
  <c r="AE53" i="16"/>
  <c r="O53" i="16"/>
  <c r="AD53" i="16"/>
  <c r="AF53" i="16" s="1"/>
  <c r="N53" i="16"/>
  <c r="P53" i="16" s="1"/>
  <c r="K53" i="16"/>
  <c r="V53" i="16"/>
  <c r="X53" i="16" s="1"/>
  <c r="J53" i="16"/>
  <c r="F53" i="16"/>
  <c r="E53" i="16"/>
  <c r="W53" i="16"/>
  <c r="B54" i="16" a="1"/>
  <c r="B54" i="16" s="1"/>
  <c r="H54" i="16" l="1"/>
  <c r="AC54" i="16"/>
  <c r="T54" i="16"/>
  <c r="J54" i="16"/>
  <c r="AK54" i="16"/>
  <c r="AB54" i="16"/>
  <c r="I54" i="16"/>
  <c r="AJ54" i="16"/>
  <c r="G54" i="16"/>
  <c r="L54" i="16"/>
  <c r="K54" i="16"/>
  <c r="W54" i="16"/>
  <c r="F54" i="16"/>
  <c r="V54" i="16"/>
  <c r="X54" i="16" s="1"/>
  <c r="E54" i="16"/>
  <c r="U54" i="16"/>
  <c r="D54" i="16"/>
  <c r="O54" i="16"/>
  <c r="N54" i="16"/>
  <c r="P54" i="16" s="1"/>
  <c r="C54" i="16"/>
  <c r="AE54" i="16"/>
  <c r="AD54" i="16"/>
  <c r="AF54" i="16" s="1"/>
  <c r="B55" i="16" a="1"/>
  <c r="B55" i="16" s="1"/>
  <c r="Q54" i="16" l="1"/>
  <c r="S54" i="16"/>
  <c r="R54" i="16"/>
  <c r="J55" i="16"/>
  <c r="AK55" i="16"/>
  <c r="AC55" i="16"/>
  <c r="U55" i="16"/>
  <c r="L55" i="16"/>
  <c r="D55" i="16"/>
  <c r="N55" i="16"/>
  <c r="P55" i="16" s="1"/>
  <c r="W55" i="16"/>
  <c r="K55" i="16"/>
  <c r="V55" i="16"/>
  <c r="X55" i="16" s="1"/>
  <c r="I55" i="16"/>
  <c r="F55" i="16"/>
  <c r="T55" i="16"/>
  <c r="E55" i="16"/>
  <c r="C55" i="16"/>
  <c r="AJ55" i="16"/>
  <c r="AE55" i="16"/>
  <c r="AB55" i="16"/>
  <c r="O55" i="16"/>
  <c r="H55" i="16"/>
  <c r="G55" i="16"/>
  <c r="AD55" i="16"/>
  <c r="AF55" i="16" s="1"/>
  <c r="B56" i="16" a="1"/>
  <c r="B56" i="16" s="1"/>
  <c r="AG54" i="16"/>
  <c r="AI54" i="16"/>
  <c r="AH54" i="16"/>
  <c r="Y54" i="16"/>
  <c r="AA54" i="16"/>
  <c r="Z54" i="16"/>
  <c r="W56" i="16" l="1"/>
  <c r="O56" i="16"/>
  <c r="F56" i="16"/>
  <c r="H56" i="16"/>
  <c r="AE56" i="16"/>
  <c r="T56" i="16"/>
  <c r="I56" i="16"/>
  <c r="AD56" i="16"/>
  <c r="AF56" i="16" s="1"/>
  <c r="G56" i="16"/>
  <c r="AC56" i="16"/>
  <c r="E56" i="16"/>
  <c r="V56" i="16"/>
  <c r="X56" i="16" s="1"/>
  <c r="C56" i="16"/>
  <c r="U56" i="16"/>
  <c r="AK56" i="16"/>
  <c r="AJ56" i="16"/>
  <c r="N56" i="16"/>
  <c r="P56" i="16" s="1"/>
  <c r="L56" i="16"/>
  <c r="AB56" i="16"/>
  <c r="K56" i="16"/>
  <c r="J56" i="16"/>
  <c r="D56" i="16"/>
  <c r="B57" i="16" a="1"/>
  <c r="B57" i="16" s="1"/>
  <c r="S55" i="16"/>
  <c r="R55" i="16"/>
  <c r="Q55" i="16"/>
  <c r="AK57" i="16" l="1"/>
  <c r="AC57" i="16"/>
  <c r="U57" i="16"/>
  <c r="L57" i="16"/>
  <c r="D57" i="16"/>
  <c r="O57" i="16"/>
  <c r="E57" i="16"/>
  <c r="G57" i="16"/>
  <c r="T57" i="16"/>
  <c r="H57" i="16"/>
  <c r="AE57" i="16"/>
  <c r="F57" i="16"/>
  <c r="AD57" i="16"/>
  <c r="AF57" i="16" s="1"/>
  <c r="C57" i="16"/>
  <c r="AB57" i="16"/>
  <c r="I57" i="16"/>
  <c r="W57" i="16"/>
  <c r="V57" i="16"/>
  <c r="X57" i="16" s="1"/>
  <c r="J57" i="16"/>
  <c r="AJ57" i="16"/>
  <c r="N57" i="16"/>
  <c r="P57" i="16" s="1"/>
  <c r="K57" i="16"/>
  <c r="B58" i="16" a="1"/>
  <c r="B58" i="16" s="1"/>
  <c r="Y56" i="16"/>
  <c r="Z56" i="16"/>
  <c r="AA56" i="16"/>
  <c r="Q56" i="16"/>
  <c r="S56" i="16"/>
  <c r="R56" i="16"/>
  <c r="AG56" i="16"/>
  <c r="AI56" i="16"/>
  <c r="AH56" i="16"/>
  <c r="Q57" i="16" l="1"/>
  <c r="S57" i="16"/>
  <c r="R57" i="16"/>
  <c r="H58" i="16"/>
  <c r="O58" i="16"/>
  <c r="E58" i="16"/>
  <c r="AJ58" i="16"/>
  <c r="G58" i="16"/>
  <c r="U58" i="16"/>
  <c r="I58" i="16"/>
  <c r="AE58" i="16"/>
  <c r="T58" i="16"/>
  <c r="F58" i="16"/>
  <c r="AD58" i="16"/>
  <c r="AF58" i="16" s="1"/>
  <c r="D58" i="16"/>
  <c r="AC58" i="16"/>
  <c r="C58" i="16"/>
  <c r="V58" i="16"/>
  <c r="X58" i="16" s="1"/>
  <c r="N58" i="16"/>
  <c r="P58" i="16" s="1"/>
  <c r="L58" i="16"/>
  <c r="AK58" i="16"/>
  <c r="K58" i="16"/>
  <c r="J58" i="16"/>
  <c r="AB58" i="16"/>
  <c r="W58" i="16"/>
  <c r="B59" i="16" a="1"/>
  <c r="B59" i="16" s="1"/>
  <c r="Q58" i="16" l="1"/>
  <c r="R58" i="16"/>
  <c r="S58" i="16"/>
  <c r="AK59" i="16"/>
  <c r="AC59" i="16"/>
  <c r="U59" i="16"/>
  <c r="L59" i="16"/>
  <c r="D59" i="16"/>
  <c r="F59" i="16"/>
  <c r="AJ59" i="16"/>
  <c r="H59" i="16"/>
  <c r="V59" i="16"/>
  <c r="X59" i="16" s="1"/>
  <c r="I59" i="16"/>
  <c r="T59" i="16"/>
  <c r="G59" i="16"/>
  <c r="AE59" i="16"/>
  <c r="E59" i="16"/>
  <c r="AD59" i="16"/>
  <c r="AF59" i="16" s="1"/>
  <c r="C59" i="16"/>
  <c r="AB59" i="16"/>
  <c r="O59" i="16"/>
  <c r="K59" i="16"/>
  <c r="J59" i="16"/>
  <c r="W59" i="16"/>
  <c r="N59" i="16"/>
  <c r="P59" i="16" s="1"/>
  <c r="B60" i="16" a="1"/>
  <c r="B60" i="16" s="1"/>
  <c r="Y58" i="16"/>
  <c r="AA58" i="16"/>
  <c r="Z58" i="16"/>
  <c r="J60" i="16" l="1"/>
  <c r="H60" i="16"/>
  <c r="AD60" i="16"/>
  <c r="AF60" i="16" s="1"/>
  <c r="T60" i="16"/>
  <c r="G60" i="16"/>
  <c r="V60" i="16"/>
  <c r="X60" i="16" s="1"/>
  <c r="K60" i="16"/>
  <c r="L60" i="16"/>
  <c r="I60" i="16"/>
  <c r="AK60" i="16"/>
  <c r="W60" i="16"/>
  <c r="F60" i="16"/>
  <c r="AJ60" i="16"/>
  <c r="U60" i="16"/>
  <c r="E60" i="16"/>
  <c r="D60" i="16"/>
  <c r="N60" i="16"/>
  <c r="P60" i="16" s="1"/>
  <c r="C60" i="16"/>
  <c r="AE60" i="16"/>
  <c r="AC60" i="16"/>
  <c r="AB60" i="16"/>
  <c r="O60" i="16"/>
  <c r="B61" i="16" a="1"/>
  <c r="B61" i="16" s="1"/>
  <c r="O61" i="16" l="1"/>
  <c r="F61" i="16"/>
  <c r="AE61" i="16"/>
  <c r="V61" i="16"/>
  <c r="X61" i="16" s="1"/>
  <c r="L61" i="16"/>
  <c r="D61" i="16"/>
  <c r="AB61" i="16"/>
  <c r="C61" i="16"/>
  <c r="N61" i="16"/>
  <c r="P61" i="16" s="1"/>
  <c r="AD61" i="16"/>
  <c r="AF61" i="16" s="1"/>
  <c r="G61" i="16"/>
  <c r="W61" i="16"/>
  <c r="E61" i="16"/>
  <c r="U61" i="16"/>
  <c r="AK61" i="16"/>
  <c r="T61" i="16"/>
  <c r="AJ61" i="16"/>
  <c r="K61" i="16"/>
  <c r="J61" i="16"/>
  <c r="I61" i="16"/>
  <c r="H61" i="16"/>
  <c r="AC61" i="16"/>
  <c r="B62" i="16" a="1"/>
  <c r="B62" i="16" s="1"/>
  <c r="AD62" i="16" l="1"/>
  <c r="AF62" i="16" s="1"/>
  <c r="V62" i="16"/>
  <c r="X62" i="16" s="1"/>
  <c r="N62" i="16"/>
  <c r="P62" i="16" s="1"/>
  <c r="E62" i="16"/>
  <c r="F62" i="16"/>
  <c r="W62" i="16"/>
  <c r="L62" i="16"/>
  <c r="C62" i="16"/>
  <c r="AE62" i="16"/>
  <c r="U62" i="16"/>
  <c r="K62" i="16"/>
  <c r="D62" i="16"/>
  <c r="AK62" i="16"/>
  <c r="H62" i="16"/>
  <c r="AC62" i="16"/>
  <c r="I62" i="16"/>
  <c r="AB62" i="16"/>
  <c r="G62" i="16"/>
  <c r="T62" i="16"/>
  <c r="AJ62" i="16"/>
  <c r="O62" i="16"/>
  <c r="J62" i="16"/>
  <c r="B63" i="16" a="1"/>
  <c r="B63" i="16" s="1"/>
  <c r="Z61" i="16"/>
  <c r="AA61" i="16"/>
  <c r="Y61" i="16"/>
  <c r="AH61" i="16"/>
  <c r="AG61" i="16"/>
  <c r="AI61" i="16"/>
  <c r="R61" i="16"/>
  <c r="S61" i="16"/>
  <c r="Q61" i="16"/>
  <c r="Y62" i="16" l="1"/>
  <c r="AA62" i="16"/>
  <c r="Z62" i="16"/>
  <c r="AH62" i="16"/>
  <c r="AI62" i="16"/>
  <c r="AG62" i="16"/>
  <c r="I63" i="16"/>
  <c r="F63" i="16"/>
  <c r="W63" i="16"/>
  <c r="N63" i="16"/>
  <c r="P63" i="16" s="1"/>
  <c r="D63" i="16"/>
  <c r="AE63" i="16"/>
  <c r="V63" i="16"/>
  <c r="X63" i="16" s="1"/>
  <c r="L63" i="16"/>
  <c r="C63" i="16"/>
  <c r="AB63" i="16"/>
  <c r="K63" i="16"/>
  <c r="J63" i="16"/>
  <c r="AD63" i="16"/>
  <c r="AF63" i="16" s="1"/>
  <c r="T63" i="16"/>
  <c r="AK63" i="16"/>
  <c r="O63" i="16"/>
  <c r="AJ63" i="16"/>
  <c r="H63" i="16"/>
  <c r="G63" i="16"/>
  <c r="AC63" i="16"/>
  <c r="U63" i="16"/>
  <c r="E63" i="16"/>
  <c r="B64" i="16" a="1"/>
  <c r="B64" i="16" s="1"/>
  <c r="S62" i="16"/>
  <c r="R62" i="16"/>
  <c r="Q62" i="16"/>
  <c r="R63" i="16" l="1"/>
  <c r="Q63" i="16"/>
  <c r="S63" i="16"/>
  <c r="AD64" i="16"/>
  <c r="AF64" i="16" s="1"/>
  <c r="V64" i="16"/>
  <c r="X64" i="16" s="1"/>
  <c r="N64" i="16"/>
  <c r="P64" i="16" s="1"/>
  <c r="E64" i="16"/>
  <c r="G64" i="16"/>
  <c r="O64" i="16"/>
  <c r="D64" i="16"/>
  <c r="W64" i="16"/>
  <c r="L64" i="16"/>
  <c r="C64" i="16"/>
  <c r="AE64" i="16"/>
  <c r="U64" i="16"/>
  <c r="K64" i="16"/>
  <c r="H64" i="16"/>
  <c r="F64" i="16"/>
  <c r="AC64" i="16"/>
  <c r="J64" i="16"/>
  <c r="AK64" i="16"/>
  <c r="I64" i="16"/>
  <c r="AJ64" i="16"/>
  <c r="AB64" i="16"/>
  <c r="T64" i="16"/>
  <c r="B65" i="16" a="1"/>
  <c r="B65" i="16" s="1"/>
  <c r="AH63" i="16"/>
  <c r="AI63" i="16"/>
  <c r="AG63" i="16"/>
  <c r="Z63" i="16"/>
  <c r="Y63" i="16"/>
  <c r="AA63" i="16"/>
  <c r="I65" i="16" l="1"/>
  <c r="AJ65" i="16"/>
  <c r="G65" i="16"/>
  <c r="O65" i="16"/>
  <c r="E65" i="16"/>
  <c r="W65" i="16"/>
  <c r="N65" i="16"/>
  <c r="P65" i="16" s="1"/>
  <c r="D65" i="16"/>
  <c r="AE65" i="16"/>
  <c r="V65" i="16"/>
  <c r="X65" i="16" s="1"/>
  <c r="L65" i="16"/>
  <c r="C65" i="16"/>
  <c r="AB65" i="16"/>
  <c r="H65" i="16"/>
  <c r="F65" i="16"/>
  <c r="AD65" i="16"/>
  <c r="AF65" i="16" s="1"/>
  <c r="K65" i="16"/>
  <c r="AK65" i="16"/>
  <c r="AC65" i="16"/>
  <c r="U65" i="16"/>
  <c r="T65" i="16"/>
  <c r="J65" i="16"/>
  <c r="B66" i="16" a="1"/>
  <c r="B66" i="16" s="1"/>
  <c r="Z65" i="16" l="1"/>
  <c r="AA65" i="16"/>
  <c r="Y65" i="16"/>
  <c r="AH65" i="16"/>
  <c r="AG65" i="16"/>
  <c r="AI65" i="16"/>
  <c r="AD66" i="16"/>
  <c r="AF66" i="16" s="1"/>
  <c r="V66" i="16"/>
  <c r="X66" i="16" s="1"/>
  <c r="N66" i="16"/>
  <c r="P66" i="16" s="1"/>
  <c r="E66" i="16"/>
  <c r="AJ66" i="16"/>
  <c r="H66" i="16"/>
  <c r="F66" i="16"/>
  <c r="O66" i="16"/>
  <c r="D66" i="16"/>
  <c r="W66" i="16"/>
  <c r="L66" i="16"/>
  <c r="C66" i="16"/>
  <c r="AB66" i="16"/>
  <c r="I66" i="16"/>
  <c r="G66" i="16"/>
  <c r="U66" i="16"/>
  <c r="AE66" i="16"/>
  <c r="K66" i="16"/>
  <c r="AK66" i="16"/>
  <c r="AC66" i="16"/>
  <c r="T66" i="16"/>
  <c r="J66" i="16"/>
  <c r="B67" i="16" a="1"/>
  <c r="B67" i="16" s="1"/>
  <c r="R65" i="16"/>
  <c r="Q65" i="16"/>
  <c r="S65" i="16"/>
  <c r="R66" i="16" l="1"/>
  <c r="S66" i="16"/>
  <c r="Q66" i="16"/>
  <c r="AA66" i="16"/>
  <c r="Y66" i="16"/>
  <c r="Z66" i="16"/>
  <c r="AH66" i="16"/>
  <c r="AG66" i="16"/>
  <c r="AI66" i="16"/>
  <c r="I67" i="16"/>
  <c r="AK67" i="16"/>
  <c r="AB67" i="16"/>
  <c r="H67" i="16"/>
  <c r="F67" i="16"/>
  <c r="O67" i="16"/>
  <c r="E67" i="16"/>
  <c r="W67" i="16"/>
  <c r="N67" i="16"/>
  <c r="P67" i="16" s="1"/>
  <c r="D67" i="16"/>
  <c r="AC67" i="16"/>
  <c r="J67" i="16"/>
  <c r="G67" i="16"/>
  <c r="V67" i="16"/>
  <c r="X67" i="16" s="1"/>
  <c r="C67" i="16"/>
  <c r="AE67" i="16"/>
  <c r="L67" i="16"/>
  <c r="AJ67" i="16"/>
  <c r="AD67" i="16"/>
  <c r="AF67" i="16" s="1"/>
  <c r="U67" i="16"/>
  <c r="T67" i="16"/>
  <c r="K67" i="16"/>
  <c r="B68" i="16" a="1"/>
  <c r="B68" i="16" s="1"/>
  <c r="AD68" i="16" l="1"/>
  <c r="AF68" i="16" s="1"/>
  <c r="V68" i="16"/>
  <c r="X68" i="16" s="1"/>
  <c r="N68" i="16"/>
  <c r="P68" i="16" s="1"/>
  <c r="E68" i="16"/>
  <c r="AK68" i="16"/>
  <c r="AB68" i="16"/>
  <c r="I68" i="16"/>
  <c r="G68" i="16"/>
  <c r="F68" i="16"/>
  <c r="O68" i="16"/>
  <c r="D68" i="16"/>
  <c r="AC68" i="16"/>
  <c r="J68" i="16"/>
  <c r="H68" i="16"/>
  <c r="W68" i="16"/>
  <c r="C68" i="16"/>
  <c r="U68" i="16"/>
  <c r="L68" i="16"/>
  <c r="K68" i="16"/>
  <c r="AJ68" i="16"/>
  <c r="AE68" i="16"/>
  <c r="T68" i="16"/>
  <c r="B69" i="16" a="1"/>
  <c r="B69" i="16" s="1"/>
  <c r="AH67" i="16"/>
  <c r="AI67" i="16"/>
  <c r="AG67" i="16"/>
  <c r="R67" i="16"/>
  <c r="S67" i="16"/>
  <c r="Q67" i="16"/>
  <c r="S68" i="16" l="1"/>
  <c r="Q68" i="16"/>
  <c r="R68" i="16"/>
  <c r="AI68" i="16"/>
  <c r="AH68" i="16"/>
  <c r="AG68" i="16"/>
  <c r="AK69" i="16"/>
  <c r="AC69" i="16"/>
  <c r="U69" i="16"/>
  <c r="L69" i="16"/>
  <c r="D69" i="16"/>
  <c r="AE69" i="16"/>
  <c r="T69" i="16"/>
  <c r="J69" i="16"/>
  <c r="W69" i="16"/>
  <c r="K69" i="16"/>
  <c r="H69" i="16"/>
  <c r="AD69" i="16"/>
  <c r="AF69" i="16" s="1"/>
  <c r="G69" i="16"/>
  <c r="AB69" i="16"/>
  <c r="F69" i="16"/>
  <c r="B110" i="16" s="1" a="1"/>
  <c r="B110" i="16" s="1"/>
  <c r="AJ69" i="16"/>
  <c r="N69" i="16"/>
  <c r="P69" i="16" s="1"/>
  <c r="I69" i="16"/>
  <c r="E69" i="16"/>
  <c r="C69" i="16"/>
  <c r="B81" i="16" s="1" a="1"/>
  <c r="B81" i="16" s="1"/>
  <c r="V69" i="16"/>
  <c r="X69" i="16" s="1"/>
  <c r="O69" i="16"/>
  <c r="C63" i="12"/>
  <c r="E63" i="12" s="1"/>
  <c r="B103" i="16" a="1"/>
  <c r="B103" i="16" s="1"/>
  <c r="D110" i="16" l="1"/>
  <c r="C193" i="8" s="1"/>
  <c r="E110" i="16"/>
  <c r="D193" i="8" s="1"/>
  <c r="C110" i="16"/>
  <c r="B193" i="8" s="1"/>
  <c r="A193" i="8"/>
  <c r="C81" i="16"/>
  <c r="D81" i="16"/>
  <c r="B100" i="16" a="1"/>
  <c r="B100" i="16" s="1"/>
  <c r="B112" i="16" a="1"/>
  <c r="B112" i="16" s="1"/>
  <c r="B94" i="16" a="1"/>
  <c r="B94" i="16" s="1"/>
  <c r="Y18" i="16"/>
  <c r="Z36" i="16"/>
  <c r="Z40" i="16"/>
  <c r="Z55" i="16"/>
  <c r="B76" i="16" a="1"/>
  <c r="B76" i="16" s="1"/>
  <c r="B78" i="16" a="1"/>
  <c r="B78" i="16" s="1"/>
  <c r="B92" i="16" a="1"/>
  <c r="B92" i="16" s="1"/>
  <c r="Q6" i="16"/>
  <c r="R12" i="16"/>
  <c r="Q39" i="16"/>
  <c r="E103" i="16"/>
  <c r="D186" i="8" s="1"/>
  <c r="D103" i="16"/>
  <c r="C186" i="8" s="1"/>
  <c r="C103" i="16"/>
  <c r="B186" i="8" s="1"/>
  <c r="A186" i="8"/>
  <c r="B91" i="16" a="1"/>
  <c r="B91" i="16" s="1"/>
  <c r="B85" i="16" a="1"/>
  <c r="B85" i="16" s="1"/>
  <c r="R69" i="16"/>
  <c r="S69" i="16" s="1"/>
  <c r="Q69" i="16"/>
  <c r="R6" i="16"/>
  <c r="R7" i="16"/>
  <c r="Q7" i="16"/>
  <c r="S7" i="16" s="1"/>
  <c r="R9" i="16"/>
  <c r="Q9" i="16"/>
  <c r="R11" i="16"/>
  <c r="R13" i="16"/>
  <c r="Q13" i="16"/>
  <c r="Q12" i="16"/>
  <c r="S12" i="16" s="1"/>
  <c r="Q11" i="16"/>
  <c r="S11" i="16" s="1"/>
  <c r="Q18" i="16"/>
  <c r="R18" i="16"/>
  <c r="Q22" i="16"/>
  <c r="R22" i="16"/>
  <c r="Q25" i="16"/>
  <c r="S25" i="16" s="1"/>
  <c r="R25" i="16"/>
  <c r="Q28" i="16"/>
  <c r="R28" i="16"/>
  <c r="Q30" i="16"/>
  <c r="R30" i="16"/>
  <c r="R33" i="16"/>
  <c r="Q33" i="16"/>
  <c r="S33" i="16" s="1"/>
  <c r="R37" i="16"/>
  <c r="Q37" i="16"/>
  <c r="R40" i="16"/>
  <c r="R39" i="16"/>
  <c r="Q40" i="16"/>
  <c r="S40" i="16" s="1"/>
  <c r="Q42" i="16"/>
  <c r="S42" i="16" s="1"/>
  <c r="R42" i="16"/>
  <c r="R53" i="16"/>
  <c r="Q53" i="16"/>
  <c r="S53" i="16" s="1"/>
  <c r="Q59" i="16"/>
  <c r="R59" i="16"/>
  <c r="R60" i="16"/>
  <c r="Q60" i="16"/>
  <c r="S60" i="16" s="1"/>
  <c r="R64" i="16"/>
  <c r="Q64" i="16"/>
  <c r="B99" i="16" a="1"/>
  <c r="B99" i="16" s="1"/>
  <c r="B108" i="16" a="1"/>
  <c r="B108" i="16" s="1"/>
  <c r="B109" i="16" a="1"/>
  <c r="B109" i="16" s="1"/>
  <c r="B105" i="16" a="1"/>
  <c r="B105" i="16" s="1"/>
  <c r="B106" i="16" a="1"/>
  <c r="B106" i="16" s="1"/>
  <c r="B101" i="16" a="1"/>
  <c r="B101" i="16" s="1"/>
  <c r="B74" i="16" a="1"/>
  <c r="B74" i="16" s="1"/>
  <c r="B111" i="16" a="1"/>
  <c r="B111" i="16" s="1"/>
  <c r="B80" i="16" a="1"/>
  <c r="B80" i="16" s="1"/>
  <c r="AH12" i="16"/>
  <c r="AH53" i="16"/>
  <c r="AH58" i="16"/>
  <c r="B98" i="16" a="1"/>
  <c r="B98" i="16" s="1"/>
  <c r="B107" i="16" a="1"/>
  <c r="B107" i="16" s="1"/>
  <c r="AA69" i="16"/>
  <c r="Z69" i="16"/>
  <c r="Y69" i="16"/>
  <c r="Z6" i="16"/>
  <c r="Y6" i="16"/>
  <c r="Z11" i="16"/>
  <c r="Z9" i="16"/>
  <c r="Y9" i="16"/>
  <c r="AA9" i="16" s="1"/>
  <c r="Z7" i="16"/>
  <c r="Y7" i="16"/>
  <c r="AA7" i="16" s="1"/>
  <c r="Z12" i="16"/>
  <c r="Y13" i="16"/>
  <c r="AA13" i="16" s="1"/>
  <c r="Y12" i="16"/>
  <c r="AA12" i="16" s="1"/>
  <c r="Y11" i="16"/>
  <c r="AA11" i="16" s="1"/>
  <c r="Z13" i="16"/>
  <c r="Z18" i="16"/>
  <c r="Z22" i="16"/>
  <c r="Y22" i="16"/>
  <c r="Y25" i="16"/>
  <c r="Z25" i="16"/>
  <c r="Y28" i="16"/>
  <c r="AA28" i="16" s="1"/>
  <c r="Z28" i="16"/>
  <c r="Z30" i="16"/>
  <c r="Y30" i="16"/>
  <c r="AA30" i="16" s="1"/>
  <c r="Z33" i="16"/>
  <c r="Y36" i="16"/>
  <c r="AA36" i="16" s="1"/>
  <c r="Y33" i="16"/>
  <c r="AA33" i="16" s="1"/>
  <c r="Y39" i="16"/>
  <c r="AA39" i="16" s="1"/>
  <c r="Y40" i="16"/>
  <c r="AA40" i="16" s="1"/>
  <c r="Z39" i="16"/>
  <c r="Z42" i="16"/>
  <c r="Y42" i="16"/>
  <c r="AA42" i="16" s="1"/>
  <c r="Z53" i="16"/>
  <c r="Y53" i="16"/>
  <c r="Y55" i="16"/>
  <c r="AA55" i="16" s="1"/>
  <c r="Y57" i="16"/>
  <c r="AA57" i="16" s="1"/>
  <c r="Z57" i="16"/>
  <c r="Z59" i="16"/>
  <c r="Y60" i="16"/>
  <c r="Y59" i="16"/>
  <c r="AA59" i="16" s="1"/>
  <c r="Z60" i="16"/>
  <c r="Y64" i="16"/>
  <c r="Z64" i="16"/>
  <c r="Z67" i="16"/>
  <c r="Y67" i="16"/>
  <c r="B102" i="16" a="1"/>
  <c r="B102" i="16" s="1"/>
  <c r="B86" i="16" a="1"/>
  <c r="B86" i="16" s="1"/>
  <c r="B90" i="16" a="1"/>
  <c r="B90" i="16" s="1"/>
  <c r="B75" i="16" a="1"/>
  <c r="B75" i="16" s="1"/>
  <c r="B93" i="16" a="1"/>
  <c r="B93" i="16" s="1"/>
  <c r="B79" i="16" a="1"/>
  <c r="B79" i="16" s="1"/>
  <c r="B83" i="16" a="1"/>
  <c r="B83" i="16" s="1"/>
  <c r="B77" i="16" a="1"/>
  <c r="B77" i="16" s="1"/>
  <c r="B73" i="16" a="1"/>
  <c r="B73" i="16" s="1"/>
  <c r="B89" i="16" a="1"/>
  <c r="B89" i="16" s="1"/>
  <c r="B88" i="16" a="1"/>
  <c r="B88" i="16" s="1"/>
  <c r="AI69" i="16"/>
  <c r="AG69" i="16"/>
  <c r="AH69" i="16"/>
  <c r="AH6" i="16"/>
  <c r="AG9" i="16"/>
  <c r="AG6" i="16"/>
  <c r="AH11" i="16"/>
  <c r="AH9" i="16"/>
  <c r="AH7" i="16"/>
  <c r="AG11" i="16"/>
  <c r="AG7" i="16"/>
  <c r="AI7" i="16" s="1"/>
  <c r="AG12" i="16"/>
  <c r="AI12" i="16" s="1"/>
  <c r="AG13" i="16"/>
  <c r="AI13" i="16" s="1"/>
  <c r="AH13" i="16"/>
  <c r="AG18" i="16"/>
  <c r="AH18" i="16"/>
  <c r="AG22" i="16"/>
  <c r="AI22" i="16" s="1"/>
  <c r="AH22" i="16"/>
  <c r="AH25" i="16"/>
  <c r="AG25" i="16"/>
  <c r="AI25" i="16" s="1"/>
  <c r="AH28" i="16"/>
  <c r="AH30" i="16"/>
  <c r="AG28" i="16"/>
  <c r="AG30" i="16"/>
  <c r="AI30" i="16" s="1"/>
  <c r="AH33" i="16"/>
  <c r="AG33" i="16"/>
  <c r="AI33" i="16" s="1"/>
  <c r="AH39" i="16"/>
  <c r="AG37" i="16"/>
  <c r="AI37" i="16" s="1"/>
  <c r="AH40" i="16"/>
  <c r="AG40" i="16"/>
  <c r="AI40" i="16" s="1"/>
  <c r="AH37" i="16"/>
  <c r="AG39" i="16"/>
  <c r="AI39" i="16" s="1"/>
  <c r="AH42" i="16"/>
  <c r="AG42" i="16"/>
  <c r="AI42" i="16" s="1"/>
  <c r="AG50" i="16"/>
  <c r="AH50" i="16"/>
  <c r="AG53" i="16"/>
  <c r="AI53" i="16" s="1"/>
  <c r="AG55" i="16"/>
  <c r="AI55" i="16" s="1"/>
  <c r="AH55" i="16"/>
  <c r="AH57" i="16"/>
  <c r="AG57" i="16"/>
  <c r="AI57" i="16" s="1"/>
  <c r="AG59" i="16"/>
  <c r="AH60" i="16"/>
  <c r="AG58" i="16"/>
  <c r="AI58" i="16" s="1"/>
  <c r="AH59" i="16"/>
  <c r="AG60" i="16"/>
  <c r="AH64" i="16"/>
  <c r="AG64" i="16"/>
  <c r="AI64" i="16" s="1"/>
  <c r="B82" i="16" a="1"/>
  <c r="B82" i="16" s="1"/>
  <c r="Y68" i="16"/>
  <c r="B87" i="16" a="1"/>
  <c r="B87" i="16" s="1"/>
  <c r="B104" i="16" a="1"/>
  <c r="B104" i="16" s="1"/>
  <c r="B113" i="16" a="1"/>
  <c r="B113" i="16" s="1"/>
  <c r="Z68" i="16"/>
  <c r="B84" i="16" a="1"/>
  <c r="B84" i="16" s="1"/>
  <c r="C75" i="16" l="1"/>
  <c r="D75" i="16"/>
  <c r="D74" i="16"/>
  <c r="C74" i="16"/>
  <c r="C91" i="16"/>
  <c r="D91" i="16"/>
  <c r="D92" i="16"/>
  <c r="C92" i="16"/>
  <c r="E112" i="16"/>
  <c r="D195" i="8" s="1"/>
  <c r="D112" i="16"/>
  <c r="C195" i="8" s="1"/>
  <c r="C112" i="16"/>
  <c r="B195" i="8" s="1"/>
  <c r="A195" i="8"/>
  <c r="D82" i="16"/>
  <c r="C82" i="16"/>
  <c r="D88" i="16"/>
  <c r="C88" i="16"/>
  <c r="D90" i="16"/>
  <c r="C90" i="16"/>
  <c r="C107" i="16"/>
  <c r="B190" i="8" s="1"/>
  <c r="D107" i="16"/>
  <c r="C190" i="8" s="1"/>
  <c r="E107" i="16"/>
  <c r="D190" i="8" s="1"/>
  <c r="A190" i="8"/>
  <c r="D101" i="16"/>
  <c r="C184" i="8" s="1"/>
  <c r="C101" i="16"/>
  <c r="B184" i="8" s="1"/>
  <c r="E101" i="16"/>
  <c r="D184" i="8" s="1"/>
  <c r="A184" i="8"/>
  <c r="S30" i="16"/>
  <c r="S18" i="16"/>
  <c r="D78" i="16"/>
  <c r="C78" i="16"/>
  <c r="D100" i="16"/>
  <c r="C183" i="8" s="1"/>
  <c r="E100" i="16"/>
  <c r="D183" i="8" s="1"/>
  <c r="C100" i="16"/>
  <c r="B183" i="8" s="1"/>
  <c r="A183" i="8"/>
  <c r="D84" i="16"/>
  <c r="C84" i="16"/>
  <c r="AI28" i="16"/>
  <c r="AI18" i="16"/>
  <c r="C89" i="16"/>
  <c r="D89" i="16"/>
  <c r="D86" i="16"/>
  <c r="C86" i="16"/>
  <c r="AA60" i="16"/>
  <c r="C98" i="16"/>
  <c r="B181" i="8" s="1"/>
  <c r="D98" i="16"/>
  <c r="C181" i="8" s="1"/>
  <c r="E98" i="16"/>
  <c r="D181" i="8" s="1"/>
  <c r="A181" i="8"/>
  <c r="C106" i="16"/>
  <c r="B189" i="8" s="1"/>
  <c r="E106" i="16"/>
  <c r="D189" i="8" s="1"/>
  <c r="D106" i="16"/>
  <c r="C189" i="8" s="1"/>
  <c r="A189" i="8"/>
  <c r="D76" i="16"/>
  <c r="C76" i="16"/>
  <c r="AI60" i="16"/>
  <c r="AI6" i="16"/>
  <c r="C73" i="16"/>
  <c r="D73" i="16"/>
  <c r="D102" i="16"/>
  <c r="C185" i="8" s="1"/>
  <c r="C102" i="16"/>
  <c r="B185" i="8" s="1"/>
  <c r="E102" i="16"/>
  <c r="D185" i="8" s="1"/>
  <c r="A185" i="8"/>
  <c r="E105" i="16"/>
  <c r="D188" i="8" s="1"/>
  <c r="C105" i="16"/>
  <c r="B188" i="8" s="1"/>
  <c r="D105" i="16"/>
  <c r="C188" i="8" s="1"/>
  <c r="A188" i="8"/>
  <c r="S28" i="16"/>
  <c r="E113" i="16"/>
  <c r="D196" i="8" s="1"/>
  <c r="C113" i="16"/>
  <c r="B196" i="8" s="1"/>
  <c r="D113" i="16"/>
  <c r="C196" i="8" s="1"/>
  <c r="A196" i="8"/>
  <c r="AI9" i="16"/>
  <c r="C77" i="16"/>
  <c r="D77" i="16"/>
  <c r="AA67" i="16"/>
  <c r="AA6" i="16"/>
  <c r="D109" i="16"/>
  <c r="C192" i="8" s="1"/>
  <c r="C109" i="16"/>
  <c r="B192" i="8" s="1"/>
  <c r="E109" i="16"/>
  <c r="D192" i="8" s="1"/>
  <c r="A192" i="8"/>
  <c r="S59" i="16"/>
  <c r="S37" i="16"/>
  <c r="S13" i="16"/>
  <c r="C83" i="16"/>
  <c r="D83" i="16"/>
  <c r="D108" i="16"/>
  <c r="C191" i="8" s="1"/>
  <c r="E108" i="16"/>
  <c r="D191" i="8" s="1"/>
  <c r="C108" i="16"/>
  <c r="B191" i="8" s="1"/>
  <c r="A191" i="8"/>
  <c r="S39" i="16"/>
  <c r="E104" i="16"/>
  <c r="D187" i="8" s="1"/>
  <c r="D104" i="16"/>
  <c r="C187" i="8" s="1"/>
  <c r="C104" i="16"/>
  <c r="B187" i="8" s="1"/>
  <c r="A187" i="8"/>
  <c r="AI50" i="16"/>
  <c r="C79" i="16"/>
  <c r="D79" i="16"/>
  <c r="AA25" i="16"/>
  <c r="D80" i="16"/>
  <c r="C80" i="16"/>
  <c r="C99" i="16"/>
  <c r="B182" i="8" s="1"/>
  <c r="E99" i="16"/>
  <c r="D182" i="8" s="1"/>
  <c r="D99" i="16"/>
  <c r="C182" i="8" s="1"/>
  <c r="A182" i="8"/>
  <c r="AA18" i="16"/>
  <c r="C87" i="16"/>
  <c r="D87" i="16"/>
  <c r="AA68" i="16"/>
  <c r="AI59" i="16"/>
  <c r="AI11" i="16"/>
  <c r="C93" i="16"/>
  <c r="D93" i="16"/>
  <c r="AA64" i="16"/>
  <c r="AA53" i="16"/>
  <c r="AA22" i="16"/>
  <c r="E111" i="16"/>
  <c r="D194" i="8" s="1"/>
  <c r="C111" i="16"/>
  <c r="B194" i="8" s="1"/>
  <c r="D111" i="16"/>
  <c r="C194" i="8" s="1"/>
  <c r="A194" i="8"/>
  <c r="S64" i="16"/>
  <c r="S22" i="16"/>
  <c r="S9" i="16"/>
  <c r="C85" i="16"/>
  <c r="D85" i="16"/>
  <c r="S6" i="16"/>
  <c r="D94" i="16"/>
  <c r="C94" i="16"/>
  <c r="B154" i="7" l="1"/>
  <c r="C57" i="12" s="1"/>
  <c r="E57" i="12" s="1"/>
  <c r="B155" i="7"/>
  <c r="B34" i="7"/>
  <c r="C46" i="12" s="1"/>
  <c r="E46" i="12" s="1"/>
  <c r="C34" i="7"/>
  <c r="C47" i="12" s="1"/>
  <c r="E47" i="12" s="1"/>
  <c r="C36" i="7"/>
  <c r="C51" i="12" s="1"/>
  <c r="E51" i="12" s="1"/>
  <c r="B36" i="7"/>
  <c r="C50" i="12" s="1"/>
  <c r="E50" i="12" s="1"/>
  <c r="C35" i="7"/>
  <c r="C49" i="12" s="1"/>
  <c r="E49" i="12" s="1"/>
  <c r="B35" i="7"/>
  <c r="C48" i="12" s="1"/>
  <c r="E48" i="12" s="1"/>
</calcChain>
</file>

<file path=xl/sharedStrings.xml><?xml version="1.0" encoding="utf-8"?>
<sst xmlns="http://schemas.openxmlformats.org/spreadsheetml/2006/main" count="4523" uniqueCount="1644">
  <si>
    <t>Campañas de email L'Oréal · agosto a octubre 2025</t>
  </si>
  <si>
    <t>Caso DDX · María Fernanda Girón Rojas</t>
  </si>
  <si>
    <t>QUÉ ES ESTE ARCHIVO</t>
  </si>
  <si>
    <t>El análisis de 576 campañas de email enviadas entre agosto y octubre de 2025, con el detalle de qué funcionó, qué no, y qué datos no se pudieron usar.</t>
  </si>
  <si>
    <t>Cómo leerlo: empiece por la hoja TABLERO, que resume todo en cuatro gráficos. H0 DATOS muestra qué filas se usan y por qué se excluye el 15 %. HALLAZGOS tiene la lista de todas las hipótesis probadas, y cada una tiene su tabla y su gráfica en las hojas H1 CALENDARIO, H2 CAMPAÑA, H3 ASUNTO y H4 TEMÁTICA HOT SALE. RANKING ASUNTOS es el listado completo. DATOS LIMPIOS y FILAS EXCLUIDAS están para que cualquiera pueda auditar las cifras.</t>
  </si>
  <si>
    <t>LAS MÉTRICAS, EXPLICADAS</t>
  </si>
  <si>
    <t>Para los ejemplos: imagine que enviamos 1.000 correos, 300 personas lo abren y de esas 90 hacen clic en algún enlace.</t>
  </si>
  <si>
    <t>Métrica</t>
  </si>
  <si>
    <t>Qué responde</t>
  </si>
  <si>
    <t>Cómo se calcula</t>
  </si>
  <si>
    <t>Ejemplo</t>
  </si>
  <si>
    <t>Para qué sirve</t>
  </si>
  <si>
    <t>Tasa de Apertura</t>
  </si>
  <si>
    <t>De todos los que recibieron el correo, ¿cuántos lo abrieron?</t>
  </si>
  <si>
    <t>Aperturas ÷ Envíos</t>
  </si>
  <si>
    <t>300 ÷ 1.000 = 30 %</t>
  </si>
  <si>
    <t>Mide si el ASUNTO fue lo bastante atractivo para ganarse el clic en la bandeja.</t>
  </si>
  <si>
    <t>CTR (Tasa de Clics)</t>
  </si>
  <si>
    <t>De todos los que recibieron el correo, ¿cuántos hicieron clic?</t>
  </si>
  <si>
    <t>Clics ÷ Envíos</t>
  </si>
  <si>
    <t>90 ÷ 1.000 = 9 %</t>
  </si>
  <si>
    <t>Mide el resultado de toda la cadena: asunto más contenido, de punta a punta.</t>
  </si>
  <si>
    <t>CTOR (Clics por Apertura)</t>
  </si>
  <si>
    <t>De los que ABRIERON, ¿cuántos hicieron clic?</t>
  </si>
  <si>
    <t>Clics ÷ Aperturas</t>
  </si>
  <si>
    <t>90 ÷ 300 = 30 %</t>
  </si>
  <si>
    <t>Aísla el contenido: una vez abierto el correo, ¿convenció lo de adentro?</t>
  </si>
  <si>
    <t>Tasa de Conversión</t>
  </si>
  <si>
    <t>De los que recibieron, ¿cuántos terminaron comprando?</t>
  </si>
  <si>
    <t>Viene en el archivo original</t>
  </si>
  <si>
    <t>—</t>
  </si>
  <si>
    <t>Es la métrica de negocio. Ojo: en estos datos no se relaciona con nada (ver TABLERO).</t>
  </si>
  <si>
    <t>Tasa de Desuscripción</t>
  </si>
  <si>
    <t>¿Cuántos pidieron no recibir más correos?</t>
  </si>
  <si>
    <t>El costo oculto de enviar de más. Sube cuando cansamos a la base.</t>
  </si>
  <si>
    <t>Ingreso por mil envíos</t>
  </si>
  <si>
    <t>Cuánto dinero deja cada 1.000 correos enviados.</t>
  </si>
  <si>
    <t>Ingresos ÷ Envíos × 1.000</t>
  </si>
  <si>
    <t>Permite comparar campañas grandes con pequeñas en la misma vara.</t>
  </si>
  <si>
    <t>QUÉ DATOS SE DEJARON FUERA, Y POR QUÉ</t>
  </si>
  <si>
    <t>De las 576 filas del archivo original se excluyeron 87 (15.1 %). Ninguna se borró en silencio: la hoja FILAS EXCLUIDAS tiene cada una con su motivo y su número de fila original.</t>
  </si>
  <si>
    <t>Motivo</t>
  </si>
  <si>
    <t>Filas que rompen la regla (crudo)</t>
  </si>
  <si>
    <t>Filas excluidas por esta razón</t>
  </si>
  <si>
    <t>Por qué se excluye</t>
  </si>
  <si>
    <t>Imposible: más clics que aperturas</t>
  </si>
  <si>
    <t>No puede hacer clic quien no abrió. Implicaría CTOR de hasta 917 %.</t>
  </si>
  <si>
    <t>Fecha fuera de la ventana ago-oct 2025</t>
  </si>
  <si>
    <t>Hay registros de 1990, 2022 y 2026. El caso pide los últimos tres meses.</t>
  </si>
  <si>
    <t>Imposible: más aperturas que envíos</t>
  </si>
  <si>
    <t>No puede abrir más gente de la que recibió el correo.</t>
  </si>
  <si>
    <t>Campos vacíos en métricas de cálculo</t>
  </si>
  <si>
    <t>Sin envíos o sin aperturas no se puede calcular ninguna tasa.</t>
  </si>
  <si>
    <t>Las dos columnas de número no coinciden en una fila, y es correcto: hay 3 registros que rompen DOS reglas a la vez. En la columna de exclusiones cada fila se cuenta una sola vez, bajo la primera razón que aplica. Por eso 75 filas tienen más clics que aperturas pero solo 72 se excluyen por eso: las otras 3 ya habían caído por fecha o por aperturas imposibles.</t>
  </si>
  <si>
    <t>Quedan 489 campañas para analizar.</t>
  </si>
  <si>
    <t>Tablero</t>
  </si>
  <si>
    <t>Los números grandes son el embudo. Los gráficos responden, en orden: ¿qué impulsa los resultados? ¿qué no? ¿y los ingresos?</t>
  </si>
  <si>
    <t>Campañas analizadas</t>
  </si>
  <si>
    <t>Emails enviados</t>
  </si>
  <si>
    <t>Tasa de apertura</t>
  </si>
  <si>
    <t>CTR</t>
  </si>
  <si>
    <t>CTOR</t>
  </si>
  <si>
    <t>Brecha mejor/peor asunto</t>
  </si>
  <si>
    <t>de 576 en el archivo</t>
  </si>
  <si>
    <t>en los tres meses</t>
  </si>
  <si>
    <t>promedio ponderado</t>
  </si>
  <si>
    <t>clics sobre envíos</t>
  </si>
  <si>
    <t>clics sobre aperturas</t>
  </si>
  <si>
    <t>la palanca real</t>
  </si>
  <si>
    <t>CÓMO LEER ESTOS CUATRO GRÁFICOS</t>
  </si>
  <si>
    <t>Arriba a la izquierda</t>
  </si>
  <si>
    <t>Cada barra es un asunto. El mejor logra 41,6 % de apertura y el peor 10,7 %: casi cuatro veces de diferencia con la misma base de datos y la misma marca.</t>
  </si>
  <si>
    <t>Arriba a la derecha</t>
  </si>
  <si>
    <t>Mide cuánto explica cada factor. El asunto explica el 47 % de la variación. El tipo de campaña, la hora, el día y el mes explican entre 0 y 1,4 %, que es decir nada.</t>
  </si>
  <si>
    <t>Abajo a la izquierda</t>
  </si>
  <si>
    <t>Agosto, septiembre y octubre son prácticamente idénticos. No hay estacionalidad que aprovechar en esta ventana.</t>
  </si>
  <si>
    <t>Abajo a la derecha</t>
  </si>
  <si>
    <t>Si los ingresos dependieran de los clics, esta nube sería una diagonal. Es una mancha. Eso apunta a un problema de medición, no a un hallazgo de negocio.</t>
  </si>
  <si>
    <t>Hallazgos · qué se probó y qué resultó</t>
  </si>
  <si>
    <t>Todas las hipótesis que se probaron, en una lista. Cada una tiene su tabla y su gráfica en las hojas H1 a H4. "p" es la probabilidad de ver la diferencia por azar: por debajo de 0,05 se considera real.</t>
  </si>
  <si>
    <t>#</t>
  </si>
  <si>
    <t>Hipótesis</t>
  </si>
  <si>
    <t>p</t>
  </si>
  <si>
    <t>¿Cambia el resultado?</t>
  </si>
  <si>
    <t>Dónde ver la gráfica</t>
  </si>
  <si>
    <t>H1</t>
  </si>
  <si>
    <t>¿El mes cambia cuántas personas abren?</t>
  </si>
  <si>
    <t>Apertura</t>
  </si>
  <si>
    <t>0,823</t>
  </si>
  <si>
    <t>No</t>
  </si>
  <si>
    <t>H2</t>
  </si>
  <si>
    <t>¿El día de la semana cambia cuántas personas abren?</t>
  </si>
  <si>
    <t>0,860</t>
  </si>
  <si>
    <t>H3</t>
  </si>
  <si>
    <t>¿La hora de envío cambia cuántas personas abren?</t>
  </si>
  <si>
    <t>0,750</t>
  </si>
  <si>
    <t>H4</t>
  </si>
  <si>
    <t>¿Las fechas de pago (quincena) cambian cuántas personas abren?</t>
  </si>
  <si>
    <t>0,659</t>
  </si>
  <si>
    <t>H5</t>
  </si>
  <si>
    <t>¿Las fechas de Colombia cambian cuántas personas abren?</t>
  </si>
  <si>
    <t>H6</t>
  </si>
  <si>
    <t>¿Los días con muchos envíos (20 o más campañas) abren menos?</t>
  </si>
  <si>
    <t>0,373</t>
  </si>
  <si>
    <t>H7</t>
  </si>
  <si>
    <t>¿Hay algún día o semana que se salga de lo normal?</t>
  </si>
  <si>
    <t>H8</t>
  </si>
  <si>
    <t>¿El tipo de campaña cambia cuántas personas abren?</t>
  </si>
  <si>
    <t>0,211</t>
  </si>
  <si>
    <t>H9</t>
  </si>
  <si>
    <t>¿El objetivo de la campaña (vender, educar, lanzar, fidelizar) cambia el resultado?</t>
  </si>
  <si>
    <t>0,357</t>
  </si>
  <si>
    <t>H10</t>
  </si>
  <si>
    <t>¿El tamaño del envío cambia cuántas personas abren?</t>
  </si>
  <si>
    <t>0,832</t>
  </si>
  <si>
    <t>H11</t>
  </si>
  <si>
    <t>¿Repetir el mismo asunto lo desgasta?</t>
  </si>
  <si>
    <t>0,449</t>
  </si>
  <si>
    <t>H12</t>
  </si>
  <si>
    <t>¿Los ingresos y la conversión suben con los clics?</t>
  </si>
  <si>
    <t>Ingresos</t>
  </si>
  <si>
    <t>0,406</t>
  </si>
  <si>
    <t>H13</t>
  </si>
  <si>
    <t>¿Qué explica más la apertura?</t>
  </si>
  <si>
    <t>&lt; 0,001</t>
  </si>
  <si>
    <t>Sí</t>
  </si>
  <si>
    <t>H14</t>
  </si>
  <si>
    <t>¿El efecto del asunto es real o es suerte?</t>
  </si>
  <si>
    <t>H15</t>
  </si>
  <si>
    <t>¿Qué estilo de asunto abre más: con cifra, recompensa, solo urgencia o pregunta?</t>
  </si>
  <si>
    <t>H16</t>
  </si>
  <si>
    <t>¿Empezar el asunto con una etiqueta ("Actualización", "Presentamos", "Oportunidades") resta?</t>
  </si>
  <si>
    <t>H17</t>
  </si>
  <si>
    <t>¿Un preheader vago resta?</t>
  </si>
  <si>
    <t>H18</t>
  </si>
  <si>
    <t>¿Se ve en ejemplos concretos?</t>
  </si>
  <si>
    <t>H19</t>
  </si>
  <si>
    <t>¿Los asuntos que se abren también reciben clics?</t>
  </si>
  <si>
    <t>H20</t>
  </si>
  <si>
    <t>¿Cumplir las buenas prácticas de Mailchimp (máximo 60 caracteres, 9 palabras, 3 signos y 1 emoji) sube la apertura?</t>
  </si>
  <si>
    <t>0,525</t>
  </si>
  <si>
    <t>H21</t>
  </si>
  <si>
    <t>En las campañas de descuento, ¿qué tipo de campaña funciona mejor?</t>
  </si>
  <si>
    <t>0,002</t>
  </si>
  <si>
    <t>H22</t>
  </si>
  <si>
    <t>En las campañas de descuento, ¿qué estilo de asunto funciona?</t>
  </si>
  <si>
    <t>H23</t>
  </si>
  <si>
    <t>En las campañas de descuento, ¿importan las fechas de pago (quincena)?</t>
  </si>
  <si>
    <t>0,613</t>
  </si>
  <si>
    <t>H24</t>
  </si>
  <si>
    <t>En las campañas de descuento, ¿importa el día de la semana?</t>
  </si>
  <si>
    <t>0,474</t>
  </si>
  <si>
    <t>H25</t>
  </si>
  <si>
    <t>En las campañas de descuento, ¿importa la hora de envío?</t>
  </si>
  <si>
    <t>0,155</t>
  </si>
  <si>
    <t>H26</t>
  </si>
  <si>
    <t>¿Poner el límite de tiempo en el asunto ("solo por hoy", "últimas horas") ayuda?</t>
  </si>
  <si>
    <t>0,003</t>
  </si>
  <si>
    <t>H27</t>
  </si>
  <si>
    <t>¿La urgencia funciona si va con un beneficio concreto?</t>
  </si>
  <si>
    <t>Señal</t>
  </si>
  <si>
    <t>H28</t>
  </si>
  <si>
    <t>Dentro de Flash Sale, ¿cuánto pesa el asunto?</t>
  </si>
  <si>
    <t>H29</t>
  </si>
  <si>
    <t>Los Hot Sale anteriores, ¿funcionaron?</t>
  </si>
  <si>
    <t>0,022</t>
  </si>
  <si>
    <t>H30</t>
  </si>
  <si>
    <t>¿Qué pasó campaña por campaña en los Hot Sale anteriores?</t>
  </si>
  <si>
    <t>Cómo leer "¿Cambia el resultado?": Sí = la diferencia es real. No = puede ser azar. Señal = va en la dirección esperada pero hay pocos casos; se confirma con el A/B del Hot Sale.</t>
  </si>
  <si>
    <t>Antes de analizar · qué datos se usan y por qué se excluye el 15 %</t>
  </si>
  <si>
    <t>Las 576 filas del archivo, cuántas se usan y por qué se dejó cada una fuera. El detalle fila por fila está en FILAS EXCLUIDAS.</t>
  </si>
  <si>
    <t>Se analiza el 85 % del archivo: 489 de 576 filas</t>
  </si>
  <si>
    <t>Filas</t>
  </si>
  <si>
    <t>% del archivo</t>
  </si>
  <si>
    <t>Se analizan</t>
  </si>
  <si>
    <t>Se excluyen</t>
  </si>
  <si>
    <t>Total del archivo</t>
  </si>
  <si>
    <t>Por qué se excluye cada fila: la mayoría tiene más clics que aperturas</t>
  </si>
  <si>
    <t>Qué significa</t>
  </si>
  <si>
    <t>Más clics que personas que abrieron. Puede pasar si la columna cuenta clics repetidos de una misma persona, por eso se revisó todo con y sin ellas.</t>
  </si>
  <si>
    <t>Fechas de 1990, 2022 y 2026. El caso pide los últimos tres meses.</t>
  </si>
  <si>
    <t>Sin envíos, aperturas o clics no se puede calcular ninguna tasa.</t>
  </si>
  <si>
    <t>Las ventas no se excluyen, pero tampoco se usan: conversión, ingresos y bajas se comportan como números al azar (hoja H2 CAMPAÑA). Por eso todo el análisis se mide en aperturas y clics.</t>
  </si>
  <si>
    <t>Hipótesis de calendario · ¿cuándo se envía importa?</t>
  </si>
  <si>
    <t>Cada bloque es una hipótesis: la pregunta, la respuesta, la tabla (fórmulas sobre DATOS LIMPIOS) y su gráfica. "p" es la probabilidad de ver la diferencia por azar.</t>
  </si>
  <si>
    <t>H1 · ¿El mes cambia cuántas personas abren?</t>
  </si>
  <si>
    <t>No. Agosto, septiembre y octubre abren prácticamente igual. No hay estacionalidad que aprovechar en esta ventana.</t>
  </si>
  <si>
    <t>Tabla H1 · Apertura y CTR por mes de envío</t>
  </si>
  <si>
    <t>Mes</t>
  </si>
  <si>
    <t>Campañas</t>
  </si>
  <si>
    <t>Apertura (%)</t>
  </si>
  <si>
    <t>CTR (%)</t>
  </si>
  <si>
    <t>Promedio general de apertura (%)</t>
  </si>
  <si>
    <t>Agosto</t>
  </si>
  <si>
    <t>Septiembre</t>
  </si>
  <si>
    <t>Octubre</t>
  </si>
  <si>
    <t>¿Cambia el resultado? No</t>
  </si>
  <si>
    <t>p = 0,823 (calculado en Python)</t>
  </si>
  <si>
    <t>H2 · ¿El día de la semana cambia cuántas personas abren?</t>
  </si>
  <si>
    <t>No. Todos los días quedan cerca del promedio. El domingo se ve más alto, pero son muy pocas campañas: con tan pocas, el promedio se mueve por azar.</t>
  </si>
  <si>
    <t>Tabla H2 · Apertura y CTR por día de la semana</t>
  </si>
  <si>
    <t>Día</t>
  </si>
  <si>
    <t>Lunes</t>
  </si>
  <si>
    <t>Martes</t>
  </si>
  <si>
    <t>Miércoles</t>
  </si>
  <si>
    <t>Jueves</t>
  </si>
  <si>
    <t>Viernes</t>
  </si>
  <si>
    <t>Sábado</t>
  </si>
  <si>
    <t>Domingo</t>
  </si>
  <si>
    <t>p = 0,860 (calculado en Python)</t>
  </si>
  <si>
    <t>H3 · ¿La hora de envío cambia cuántas personas abren?</t>
  </si>
  <si>
    <t>No. Ninguna hora se separa del promedio de forma real.</t>
  </si>
  <si>
    <t>Tabla H3 · Apertura y CTR por hora de envío</t>
  </si>
  <si>
    <t>Hora</t>
  </si>
  <si>
    <t>p = 0,750 (calculado en Python)</t>
  </si>
  <si>
    <t>H4 · ¿Las fechas de pago (quincena) cambian cuántas personas abren?</t>
  </si>
  <si>
    <t>No en aperturas. En clics, la quincena sale un poco más baja, pero va al revés de lo esperado y no es estable: se cae al mover un día la definición. Se toma como ruido.</t>
  </si>
  <si>
    <t>Tabla H4 · Apertura y CTR según el momento del mes (fechas de pago)</t>
  </si>
  <si>
    <t>Momento del mes</t>
  </si>
  <si>
    <t>Quincena</t>
  </si>
  <si>
    <t>Días después del pago</t>
  </si>
  <si>
    <t>Resto del mes</t>
  </si>
  <si>
    <t>p = 0,659 (calculado en Python)</t>
  </si>
  <si>
    <t>H5 · ¿Las fechas de Colombia cambian cuántas personas abren?</t>
  </si>
  <si>
    <t>No. Se miraron los 3 días antes y el día después de cada fecha, comparando cada campaña con lo que suele abrir su mismo asunto. Una campaña normal se mueve unos 9 puntos para arriba o para abajo; ninguna fecha se sale de eso.</t>
  </si>
  <si>
    <t>Tabla H5 · Diferencia de apertura alrededor de cada fecha de Colombia, contra lo que suele abrir el mismo asunto</t>
  </si>
  <si>
    <t>Fecha</t>
  </si>
  <si>
    <t>Campañas en la ventana</t>
  </si>
  <si>
    <t>Diferencia (puntos)</t>
  </si>
  <si>
    <t>Batalla de Boyacá (festivo)</t>
  </si>
  <si>
    <t>La Asunción (festivo)</t>
  </si>
  <si>
    <t>Amor y Amistad</t>
  </si>
  <si>
    <t>Día de la Raza (festivo)</t>
  </si>
  <si>
    <t>Halloween</t>
  </si>
  <si>
    <t>Lo que sí se vio: las campañas de fiestas y regalos salieron parejas los tres meses, sin un pico antes de Amor y Amistad.</t>
  </si>
  <si>
    <t>H6 · ¿Los días con muchos envíos (20 o más campañas) abren menos?</t>
  </si>
  <si>
    <t>No. Los días masivos abren casi igual que los demás.</t>
  </si>
  <si>
    <t>Tabla H6 · Apertura y CTR en días masivos y días normales</t>
  </si>
  <si>
    <t>Tipo de día</t>
  </si>
  <si>
    <t>Día masivo</t>
  </si>
  <si>
    <t>Día normal</t>
  </si>
  <si>
    <t>p = 0,373 (calculado en Python)</t>
  </si>
  <si>
    <t>H7 · ¿Hay algún día o semana que se salga de lo normal?</t>
  </si>
  <si>
    <t>No. Así se ve cada día de los tres meses: cuanto más azul, más se abrió ese día. No hay una semana ni un día del mes que se repita como mejor. La línea de la derecha muestra que la apertura sube y baja alrededor del promedio sin una tendencia.</t>
  </si>
  <si>
    <t>Tabla H7 · Apertura promedio de cada día, agosto a octubre (cuanto más azul, más se abrió)</t>
  </si>
  <si>
    <t>Semana</t>
  </si>
  <si>
    <t>Lun</t>
  </si>
  <si>
    <t>Mar</t>
  </si>
  <si>
    <t>Mié</t>
  </si>
  <si>
    <t>Jue</t>
  </si>
  <si>
    <t>Vie</t>
  </si>
  <si>
    <t>Sáb</t>
  </si>
  <si>
    <t>Dom</t>
  </si>
  <si>
    <t>Semana del 28 jul</t>
  </si>
  <si>
    <t>Semana del 4 ago</t>
  </si>
  <si>
    <t>Semana del 11 ago</t>
  </si>
  <si>
    <t>Semana del 18 ago</t>
  </si>
  <si>
    <t>Semana del 25 ago</t>
  </si>
  <si>
    <t>Semana del 1 sep</t>
  </si>
  <si>
    <t>Semana del 8 sep</t>
  </si>
  <si>
    <t>Semana del 15 sep</t>
  </si>
  <si>
    <t>Semana del 22 sep</t>
  </si>
  <si>
    <t>Semana del 29 sep</t>
  </si>
  <si>
    <t>Semana del 6 oct</t>
  </si>
  <si>
    <t>Semana del 13 oct</t>
  </si>
  <si>
    <t>Semana del 20 oct</t>
  </si>
  <si>
    <t>Semana del 27 oct</t>
  </si>
  <si>
    <t>Cada celda es la apertura promedio de las campañas de ese día. Las celdas vacías son días sin campañas o fuera del periodo; en la gráfica aparecen como huecos.</t>
  </si>
  <si>
    <t>Hipótesis de campaña · ¿el tipo, el objetivo o el tamaño importan?</t>
  </si>
  <si>
    <t>Mismo formato: pregunta, respuesta, tabla con fórmulas y gráfica.</t>
  </si>
  <si>
    <t>H8 · ¿El tipo de campaña cambia cuántas personas abren?</t>
  </si>
  <si>
    <t>No. Flash Sale, Newsletter, lanzamientos y los demás abren parecido. Lo que cambia es el asunto dentro de cada tipo (hoja H3).</t>
  </si>
  <si>
    <t>Tabla H8 · Apertura y CTR por tipo de campaña</t>
  </si>
  <si>
    <t>Tipo de campaña</t>
  </si>
  <si>
    <t>Customer Appreciation</t>
  </si>
  <si>
    <t>Exclusive Offers</t>
  </si>
  <si>
    <t>Flash Sale</t>
  </si>
  <si>
    <t>Holiday Discounts</t>
  </si>
  <si>
    <t>New Product Launch</t>
  </si>
  <si>
    <t>Newsletter</t>
  </si>
  <si>
    <t>p = 0,211 (calculado en Python)</t>
  </si>
  <si>
    <t>H9 · ¿El objetivo de la campaña (vender, educar, lanzar, fidelizar) cambia el resultado?</t>
  </si>
  <si>
    <t>No. Los cuatro objetivos abren y clican parecido.</t>
  </si>
  <si>
    <t>Tabla H9 · Apertura y CTR por objetivo de la campaña</t>
  </si>
  <si>
    <t>Objetivo</t>
  </si>
  <si>
    <t>Vender</t>
  </si>
  <si>
    <t>Educar</t>
  </si>
  <si>
    <t>Lanzar</t>
  </si>
  <si>
    <t>Fidelizar</t>
  </si>
  <si>
    <t>p = 0,357 (calculado en Python)</t>
  </si>
  <si>
    <t>H10 · ¿El tamaño del envío cambia cuántas personas abren?</t>
  </si>
  <si>
    <t>No. Las campañas pequeñas y las grandes abren casi igual.</t>
  </si>
  <si>
    <t>Tabla H10 · Apertura y CTR según el tamaño del envío</t>
  </si>
  <si>
    <t>Tamaño del envío</t>
  </si>
  <si>
    <t>Menos de 100 mil</t>
  </si>
  <si>
    <t>100 a 200 mil</t>
  </si>
  <si>
    <t>200 a 300 mil</t>
  </si>
  <si>
    <t>300 a 400 mil</t>
  </si>
  <si>
    <t>Más de 400 mil</t>
  </si>
  <si>
    <t>p = 0,832 (calculado en Python)</t>
  </si>
  <si>
    <t>H11 · ¿Repetir el mismo asunto lo desgasta?</t>
  </si>
  <si>
    <t>No. En los asuntos usados 8 o más veces, el primer tercio de sus usos y el último abren igual. Repetir un asunto que gana no lo gasta.</t>
  </si>
  <si>
    <t>Tabla H11 · Apertura y CTR según el momento de uso del asunto (asuntos usados 8 o más veces)</t>
  </si>
  <si>
    <t>Momento de uso</t>
  </si>
  <si>
    <t>Primer tercio</t>
  </si>
  <si>
    <t>Medio</t>
  </si>
  <si>
    <t>Último tercio</t>
  </si>
  <si>
    <t>p = 0,449 (calculado en Python)</t>
  </si>
  <si>
    <t>H12 · ¿Los ingresos y la conversión suben con los clics?</t>
  </si>
  <si>
    <t>No, y eso es una alerta: en una operación real los ingresos suben con los clics. Aquí la correlación es casi cero, así que la atribución de ventas del archivo no es confiable y no se evalúan campañas por ventas.</t>
  </si>
  <si>
    <t>Tabla H12 · Correlación entre ventas y actividad de la campaña (0 = no se mueven juntas)</t>
  </si>
  <si>
    <t>Relación</t>
  </si>
  <si>
    <t>Correlación (r)</t>
  </si>
  <si>
    <t>Ingresos vs clics</t>
  </si>
  <si>
    <t>Ingresos vs correos enviados</t>
  </si>
  <si>
    <t>Conversión vs clics</t>
  </si>
  <si>
    <t>Desuscripción vs correos enviados</t>
  </si>
  <si>
    <t>p = 0,406 (calculado en Python)</t>
  </si>
  <si>
    <t>El hallazgo principal · el asunto decide cuántas personas abren</t>
  </si>
  <si>
    <t>Las pruebas de que el asunto importa, y de cómo es un asunto que gana.</t>
  </si>
  <si>
    <t>H13 · ¿Qué explica más la apertura?</t>
  </si>
  <si>
    <t>El asunto explica casi la mitad de por qué unas campañas abren más que otras. El tipo de campaña, la hora, el día y el mes no llegan al 2 % cada uno.</t>
  </si>
  <si>
    <t>Tabla H13 · Qué parte de la diferencia en apertura explica cada factor</t>
  </si>
  <si>
    <t>Factor</t>
  </si>
  <si>
    <t>% que explica</t>
  </si>
  <si>
    <t>El asunto</t>
  </si>
  <si>
    <t>El tipo de campaña</t>
  </si>
  <si>
    <t>La hora</t>
  </si>
  <si>
    <t>El día de la semana</t>
  </si>
  <si>
    <t>El mes</t>
  </si>
  <si>
    <t>El momento del mes</t>
  </si>
  <si>
    <t>¿Cambia el resultado? Sí</t>
  </si>
  <si>
    <t>p = &lt; 0,001 (calculado en Python)</t>
  </si>
  <si>
    <t>H14 · ¿El efecto del asunto es real o es suerte?</t>
  </si>
  <si>
    <t>Es real. Con dos meses se eligieron los 5 asuntos que más abrían y los 5 que menos, y se miró el tercer mes, que no se usó para elegir. Se hizo tres veces, una con cada mes. Si fuera suerte, los grupos se habrían acercado; siguieron igual de separados.</t>
  </si>
  <si>
    <t>Tabla H14 · Apertura en el mes de prueba de los 5 asuntos que ganaban y los 5 que perdían</t>
  </si>
  <si>
    <t>Mes de prueba</t>
  </si>
  <si>
    <t>Los 5 que ganaban</t>
  </si>
  <si>
    <t>Los 5 que perdían</t>
  </si>
  <si>
    <t>Prueba en agosto</t>
  </si>
  <si>
    <t>Prueba en septiembre</t>
  </si>
  <si>
    <t>Prueba en octubre</t>
  </si>
  <si>
    <t>H15 · ¿Qué estilo de asunto abre más: con cifra, recompensa, solo urgencia o pregunta?</t>
  </si>
  <si>
    <t>El asunto con una cifra concreta ("Hasta 50%") es el que más abre. Los de recompensa o sorpresa quedan en el promedio. Los que solo meten urgencia sin decir qué recibes ("¡Últimas horas!", "Por tiempo limitado") y la pregunta abierta son los que menos abren.</t>
  </si>
  <si>
    <t>Tabla H15 · Apertura y CTR según el estilo del asunto</t>
  </si>
  <si>
    <t>Estilo</t>
  </si>
  <si>
    <t>Con cifra concreta</t>
  </si>
  <si>
    <t>Recompensa o sorpresa</t>
  </si>
  <si>
    <t>Otro: beneficio o novedad</t>
  </si>
  <si>
    <t>Solo urgencia, sin cifra</t>
  </si>
  <si>
    <t>Pregunta abierta</t>
  </si>
  <si>
    <t>Cómo se clasifica (columna AT de DATOS LIMPIOS, en este orden): si tiene un número es "con cifra"; si tiene signo de pregunta, "pregunta"; si tiene palabras de urgencia, "solo urgencia"; si habla de recompensa, regalo o sorpresa, "recompensa". Ojo: "con cifra" es un solo asunto y "pregunta" otro, así que son señales. "Solo urgencia" sí se sostiene comparando asunto por asunto dentro del mismo tipo (p = 0,008).</t>
  </si>
  <si>
    <t>H16 · ¿Empezar el asunto con una etiqueta ("Actualización", "Presentamos", "Oportunidades") resta?</t>
  </si>
  <si>
    <t>Sí, y mucho, en los tres meses. Esos asuntos dicen qué tipo de correo es, pero no qué hay adentro. Las palabras que cuentan como etiqueta están en la fórmula de la columna AH de DATOS LIMPIOS.</t>
  </si>
  <si>
    <t>Tabla H16 · Apertura de asuntos que dicen qué recibes contra los que empiezan con una etiqueta, por mes</t>
  </si>
  <si>
    <t>Dice qué recibes</t>
  </si>
  <si>
    <t>Empieza con etiqueta</t>
  </si>
  <si>
    <t>H17 · ¿Un preheader vago resta?</t>
  </si>
  <si>
    <t>Sí. Un preheader que se refiere a algo sin nombrarlo ("estas ofertas", "algo especial para ti") abre bastante menos que uno que dice qué hay.</t>
  </si>
  <si>
    <t>Tabla H17 · Apertura y CTR según el preheader</t>
  </si>
  <si>
    <t>Tipo de preheader</t>
  </si>
  <si>
    <t>Preheader que concreta</t>
  </si>
  <si>
    <t>Preheader vago ("estas ofertas", "algo especial")</t>
  </si>
  <si>
    <t>H18 · ¿Se ve en ejemplos concretos?</t>
  </si>
  <si>
    <t>Sí. Tres pares del mismo tipo de campaña (lanzamiento, newsletter y fidelización): en cada uno gana el que dice qué recibes.</t>
  </si>
  <si>
    <t>Tabla H18 · Apertura de tres pares de asuntos del mismo tipo de campaña (lanzamiento, newsletter y fidelización)</t>
  </si>
  <si>
    <t>Asunto</t>
  </si>
  <si>
    <t>¡El futuro de tu piel ha llegado! Nuevo Producto revolucionario</t>
  </si>
  <si>
    <t>Presentamos: Nuestro último lanzamiento de belleza ¡Imperdible!</t>
  </si>
  <si>
    <t>Lo último en L'Oréal: Mantente informad@ de las novedades</t>
  </si>
  <si>
    <t>Actualización de L'Oréal: ¿Qué hay de nuevo en el mundo beauty?</t>
  </si>
  <si>
    <t>¡Tu lealtad tiene recompensa! Descúbrela, sorpresas para ti</t>
  </si>
  <si>
    <t>¡Un pequeño detalle para agradecerte tu lealtad! L'Oréal</t>
  </si>
  <si>
    <t>H19 · ¿Los asuntos que se abren también reciben clics?</t>
  </si>
  <si>
    <t>Sí. El asunto que abre bien casi siempre clica bien. No hay que elegir entre optimizar aperturas o clics.</t>
  </si>
  <si>
    <t>Tabla H19 · Relación entre la apertura y el CTR de los asuntos usados 8 o más veces</t>
  </si>
  <si>
    <t>Medida</t>
  </si>
  <si>
    <t>Valor</t>
  </si>
  <si>
    <t>Correlación entre apertura y CTR (asuntos usados 8+ veces)</t>
  </si>
  <si>
    <t>Asuntos en la gráfica</t>
  </si>
  <si>
    <t>H20 · ¿Cumplir las buenas prácticas de Mailchimp (máximo 60 caracteres, 9 palabras, 3 signos y 1 emoji) sube la apertura?</t>
  </si>
  <si>
    <t>No en estos datos. El largo y la puntuación no deciden. Lo que sí coincide con Mailchimp es su consejo de ser concreto y no genérico, que es justo lo que muestra H14.</t>
  </si>
  <si>
    <t>Tabla H20 · Apertura y CTR según si el asunto cumple las reglas de Mailchimp</t>
  </si>
  <si>
    <t>Cumple las reglas de Mailchimp</t>
  </si>
  <si>
    <t>No las cumple</t>
  </si>
  <si>
    <t>p = 0,525 (calculado en Python)</t>
  </si>
  <si>
    <t>Fuente de las reglas: mailchimp.com/help/best-practices-for-email-subject-lines</t>
  </si>
  <si>
    <t>Campañas con temática Hot Sale · descuentos, tiempo límite y Flash Sale</t>
  </si>
  <si>
    <t>Lo más cercano a la campaña que vamos a proponer: los correos de descuento, cómo usan el tiempo límite y cómo les fue a los Hot Sale anteriores.</t>
  </si>
  <si>
    <t>Qué campañas se parecen a un Hot Sale: las que hablan de descuento en el asunto o en el preheader. Son 287 de las 489. Los bloques H21 a H25 miran solo esas campañas; los siguientes, el límite de tiempo y los Hot Sale anteriores.</t>
  </si>
  <si>
    <t>H21 · En las campañas de descuento, ¿qué tipo de campaña funciona mejor?</t>
  </si>
  <si>
    <t>Aquí sí hay diferencias entre tipos: los correos de agradecimiento con descuento abren más que las ofertas exclusivas. Pero el asunto explica mucho más: el 54 % de la diferencia, contra el 5 % del tipo.</t>
  </si>
  <si>
    <t>Tabla H21 · Campañas de descuento: apertura y CTR por tipo de campaña</t>
  </si>
  <si>
    <t>Tipo</t>
  </si>
  <si>
    <t>p = 0,002 (calculado en Python)</t>
  </si>
  <si>
    <t>H22 · En las campañas de descuento, ¿qué estilo de asunto funciona?</t>
  </si>
  <si>
    <t>El mismo patrón que en general, pero más marcado: el descuento con cifra es lo que más abre y el descuento con pura urgencia es lo que menos. Para un Hot Sale, el asunto tiene que decir cuánto y en qué.</t>
  </si>
  <si>
    <t>Tabla H22 · Campañas de descuento: apertura y CTR según el estilo del asunto</t>
  </si>
  <si>
    <t>H23 · En las campañas de descuento, ¿importan las fechas de pago (quincena)?</t>
  </si>
  <si>
    <t>No. Aunque uno pensaría que los descuentos funcionan mejor cuando la gente recibe su sueldo, en estos datos la quincena no cambia cuántas personas abren un correo de descuento.</t>
  </si>
  <si>
    <t>Tabla H23 · Campañas de descuento: apertura y CTR según el momento del mes</t>
  </si>
  <si>
    <t>p = 0,613 (calculado en Python)</t>
  </si>
  <si>
    <t>H24 · En las campañas de descuento, ¿importa el día de la semana?</t>
  </si>
  <si>
    <t>No. Ningún día de la semana hace que un correo de descuento abra más.</t>
  </si>
  <si>
    <t>Tabla H24 · Campañas de descuento: apertura y CTR por día de la semana</t>
  </si>
  <si>
    <t>p = 0,474 (calculado en Python)</t>
  </si>
  <si>
    <t>H25 · En las campañas de descuento, ¿importa la hora de envío?</t>
  </si>
  <si>
    <t>No. Ninguna hora se separa del resto.</t>
  </si>
  <si>
    <t>Tabla H25 · Campañas de descuento: apertura y CTR por hora de envío</t>
  </si>
  <si>
    <t>p = 0,155 (calculado en Python)</t>
  </si>
  <si>
    <t>H26 · ¿Poner el límite de tiempo en el asunto ("solo por hoy", "últimas horas") ayuda?</t>
  </si>
  <si>
    <t>No: resta. Entre los correos de descuento, los que ponen el tiempo en el asunto abren unos 12 de cada 100 menos y también tienen menos clics. Los que dicen qué recibes en el asunto y dejan el tiempo para el preheader son los mejores del grupo.</t>
  </si>
  <si>
    <t>Tabla H26 · Apertura y CTR según dónde va el límite de tiempo</t>
  </si>
  <si>
    <t>Cómo se comunica el descuento</t>
  </si>
  <si>
    <t>Descuento sin tiempo límite</t>
  </si>
  <si>
    <t>Descuento con tiempo límite solo en el preheader</t>
  </si>
  <si>
    <t>Descuento con tiempo límite en el asunto</t>
  </si>
  <si>
    <t>Sin descuento</t>
  </si>
  <si>
    <t>p = 0,003 (calculado en Python)</t>
  </si>
  <si>
    <t>Comparación entre asuntos de descuento, dentro del mismo tipo de campaña. Las palabras de "tiempo límite" están en la fórmula de la columna AJ de DATOS LIMPIOS. Ojo: si se cuenta "YA" como urgencia, la diferencia se achica y deja de ser concluyente.</t>
  </si>
  <si>
    <t>H27 · ¿La urgencia funciona si va con un beneficio concreto?</t>
  </si>
  <si>
    <t>Depende de qué tan concreto sea. La urgencia sola es lo que peor abre. Agregar una palabra de beneficio genérica ("productos", "belleza") casi no ayuda. El único asunto con urgencia que gana es el que dice exactamente qué recibes: una cifra y "tus favoritos". El problema no es la urgencia; es la urgencia que no dice qué recibes.</t>
  </si>
  <si>
    <t>Tabla H27 · Apertura de asuntos con urgencia, según si dicen qué recibes</t>
  </si>
  <si>
    <t>Asunto con urgencia</t>
  </si>
  <si>
    <t>Con tiempo límite en el asunto y sin beneficio concreto</t>
  </si>
  <si>
    <t>Con tiempo límite en el asunto y con beneficio concreto</t>
  </si>
  <si>
    <t>"¡Ahorra YA! Flash Sale: Hasta 50% en tus favoritos"</t>
  </si>
  <si>
    <t>¿Cambia el resultado? Señal</t>
  </si>
  <si>
    <t>Señal, no prueba: hay pocos asuntos con urgencia y beneficio a la vez. Se confirma con el A/B del Hot Sale.</t>
  </si>
  <si>
    <t>H28 · Dentro de Flash Sale, ¿cuánto pesa el asunto?</t>
  </si>
  <si>
    <t>Todavía más que en general: en Flash Sale el asunto explica el 74 % de la diferencia en apertura (en general, el 47 %). El mismo tipo de oferta va de 11 a 50 de cada 100 según cómo se diga. Los que pierden solo meten prisa; el que gana con muchos usos dice la cifra y "tus favoritos".</t>
  </si>
  <si>
    <t>Tabla H28 · Asuntos de Flash Sale, de mayor a menor apertura</t>
  </si>
  <si>
    <t>Los asuntos usados 1 o 2 veces pueden estar arriba o abajo por suerte; mira primero los que se usaron muchas veces.</t>
  </si>
  <si>
    <t>H29 · Los Hot Sale anteriores, ¿funcionaron?</t>
  </si>
  <si>
    <t>Se abrieron más que las otras Flash Sale, pero no tuvieron más clics. "¡Precios de locura!" genera curiosidad pero no dice qué hay, y cuando el correo no cumple, la persona no hace clic. Por eso el A/B del Hot Sale se decide por clics.</t>
  </si>
  <si>
    <t>Tabla H29 · Hot Sale anteriores contra otras Flash Sale: apertura, CTR y CTOR</t>
  </si>
  <si>
    <t>CTOR (%)</t>
  </si>
  <si>
    <t>"🔥 Hot Sale Anticipado"</t>
  </si>
  <si>
    <t>Otras Flash Sale</t>
  </si>
  <si>
    <t>p = 0,022 (calculado en Python)</t>
  </si>
  <si>
    <t>p de apertura = 0,022; p de CTR = 0,786. Son solo 7 campañas con 3 asuntos. Además se enviaron "anticipados" en agosto, septiembre y octubre, meses antes del evento.</t>
  </si>
  <si>
    <t>H30 · ¿Qué pasó campaña por campaña en los Hot Sale anteriores?</t>
  </si>
  <si>
    <t>La apertura fue alta y pareja; los clics no. En 4 de las 7 campañas, solo 3 o 4 de cada 100 hicieron clic. Abrir no garantiza comprar.</t>
  </si>
  <si>
    <t>Tabla H30 · Apertura y CTR de cada campaña Hot Sale anterior</t>
  </si>
  <si>
    <t>Campaña</t>
  </si>
  <si>
    <t xml:space="preserve">Ranking de asuntos </t>
  </si>
  <si>
    <t>Solo asuntos con 8 o más envíos, para que el promedio signifique algo. En estos datos cada asunto va siempre con el mismo preheader: son una pareja.</t>
  </si>
  <si>
    <t>Preheader</t>
  </si>
  <si>
    <t>Envíos</t>
  </si>
  <si>
    <t>Conversión (%)</t>
  </si>
  <si>
    <t>¡Ahorra YA! Flash Sale: Hasta 50% en tus favoritos</t>
  </si>
  <si>
    <t>Edición limitada: Maquillaje, cuidado de piel y más. ¡Corre!</t>
  </si>
  <si>
    <t>Ofertas exclusivas para nuestros clientes más especiales. ¡No te las pierdas!</t>
  </si>
  <si>
    <t>¡Pensamos en ti! Descubre estas sorpresas exclusivas</t>
  </si>
  <si>
    <t>Ofertas exclusivas por tu lealtad a L'Oréal. ¡Aprovecha!</t>
  </si>
  <si>
    <t>¡Solo un clic te separa de estas ofertas! L'Oréal Paris</t>
  </si>
  <si>
    <t>Descuentos irresistibles en productos seleccionados. ¡Últimas horas!</t>
  </si>
  <si>
    <t>Descubre las novedades y tips de la semana. ¡Entra ya!</t>
  </si>
  <si>
    <t>Una fórmula revolucionaria para resultados visibles. ¡Compruébalo!</t>
  </si>
  <si>
    <t>¡Aprovecha los descuentos! Temporada de Fiestas, beauty deals</t>
  </si>
  <si>
    <t>Tus productos favoritos con precios festivos. ¡No te los pierdas!</t>
  </si>
  <si>
    <t>¡Regalos perfectos te esperan! Descuentos de Lujo, L'Oréal</t>
  </si>
  <si>
    <t>Encuentra ese detalle especial para ti o tus seres queridos. ¡Descubre!</t>
  </si>
  <si>
    <t>Tu Dosis de Belleza: ¡No te lo pierdas! Tips y trucos</t>
  </si>
  <si>
    <t>Consejos expertos, tendencias y más en tu bandeja de entrada. ¡Descúbrelo!</t>
  </si>
  <si>
    <t>¡Ofertas Exclusivas! Solo para nuestra comunidad VIP</t>
  </si>
  <si>
    <t>Productos premium con descuentos únicos. ¡Acceso limitado!</t>
  </si>
  <si>
    <t>¡Lo nuevo de L'Oréal! Te va a encantar: innovación en belleza</t>
  </si>
  <si>
    <t>Prepárate para experimentar la innovación en tu belleza. ¡Descúbrela!</t>
  </si>
  <si>
    <t>¡Celebra con nosotros! Descuentos festivos para regalar</t>
  </si>
  <si>
    <t>Regalos perfectos y ofertas que te encantarán. ¡Descubre más!</t>
  </si>
  <si>
    <t>Una innovación que cambiará tu rutina. ¡Sé de los primeros!</t>
  </si>
  <si>
    <t>Tu dosis semanal de belleza: Novedades y tips</t>
  </si>
  <si>
    <t>Novedades, tips y más para tu rutina diaria. ¡Entra ya!</t>
  </si>
  <si>
    <t>¡Aprovecha antes de que se acabe! Oferta Flash, productos top</t>
  </si>
  <si>
    <t>Grandes descuentos por tiempo limitado. ¡No te lo pierdas!</t>
  </si>
  <si>
    <t>¡Ofertas de Temporada! Listas para ti, regalos perfectos</t>
  </si>
  <si>
    <t>Los mejores productos para tus celebraciones te esperan. ¡Descubre!</t>
  </si>
  <si>
    <t>¡Exclusivo para nuestros clientes VIP! Acceso limitado</t>
  </si>
  <si>
    <t>No te pierdas estas ofertas que preparamos para ti. ¡Descubre más!</t>
  </si>
  <si>
    <t>Echa un vistazo a lo que tenemos para ti. ¡Te va a encantar!</t>
  </si>
  <si>
    <t>¡Oportunidad Única! Solo por hoy, tus favoritos a un clic</t>
  </si>
  <si>
    <t>Tus productos favoritos con un precio que no volverás a ver. ¡Aprovecha!</t>
  </si>
  <si>
    <t>¡Gran oferta! Por tiempo limitado, no te lo pierdas</t>
  </si>
  <si>
    <t>Aprovecha los descuentos en tus productos esenciales. ¡Compra ahora!</t>
  </si>
  <si>
    <t>No te quedes atrás con las últimas tendencias. ¡Descubre más!</t>
  </si>
  <si>
    <t>¡Oportunidades de ahorro! Descúbrelas, solo para ti</t>
  </si>
  <si>
    <t>No te pierdas estas ofertas únicas que tenemos para ti. ¡Entra ya!</t>
  </si>
  <si>
    <t>Proyección en pesos · cuánto puede valer esto</t>
  </si>
  <si>
    <t>Las celdas CREMA son supuestos editables: cámbielos y todo lo demás se recalcula. Las celdas blancas son fórmulas.</t>
  </si>
  <si>
    <t>LO QUE SABEMOS Y LO QUE SUPONEMOS</t>
  </si>
  <si>
    <t>La diferencia en APERTURA está medida en los datos y es sólida. La diferencia en CLICKS es probable pero no está probada: su intervalo de confianza incluye el cero. Y la conversión a venta NO está en los datos: son supuestos que el equipo de marca debe reemplazar por sus cifras reales.</t>
  </si>
  <si>
    <t>Parámetro</t>
  </si>
  <si>
    <t>Origen</t>
  </si>
  <si>
    <t>Tamaño del envío (emails)</t>
  </si>
  <si>
    <t>Mediana de las campañas analizadas</t>
  </si>
  <si>
    <t>Tasa de apertura · asunto típico (%)</t>
  </si>
  <si>
    <t>Medido: promocionales sin cifra</t>
  </si>
  <si>
    <t>Tasa de apertura · con cifra (%)</t>
  </si>
  <si>
    <t>Medido: asuntos con porcentaje</t>
  </si>
  <si>
    <t>CTR · asunto típico (%)</t>
  </si>
  <si>
    <t>Medido</t>
  </si>
  <si>
    <t>CTR · con cifra, central (%)</t>
  </si>
  <si>
    <t>Medido, estimación central</t>
  </si>
  <si>
    <t>CTR · con cifra, conservador (%)</t>
  </si>
  <si>
    <t>Límite inferior del IC 95 %</t>
  </si>
  <si>
    <t>CTR · con cifra, optimista (%)</t>
  </si>
  <si>
    <t>Límite superior del IC 95 %</t>
  </si>
  <si>
    <t>Conversión del clic a compra (%)</t>
  </si>
  <si>
    <t>SUPUESTO · reemplazar por el real</t>
  </si>
  <si>
    <t>Ticket promedio (COP)</t>
  </si>
  <si>
    <t>Campañas promocionales al año</t>
  </si>
  <si>
    <t>SUPUESTO · dos al mes</t>
  </si>
  <si>
    <t>RESULTADO POR CAMPAÑA</t>
  </si>
  <si>
    <t>Escenario</t>
  </si>
  <si>
    <t>Aperturas</t>
  </si>
  <si>
    <t>Aperturas ganadas</t>
  </si>
  <si>
    <t>Clics</t>
  </si>
  <si>
    <t>Pedidos</t>
  </si>
  <si>
    <t>Ingreso (COP)</t>
  </si>
  <si>
    <t>Diferencia (COP)</t>
  </si>
  <si>
    <t>Asunto típico (base)</t>
  </si>
  <si>
    <t>Con cifra · conservador</t>
  </si>
  <si>
    <t>Con cifra · central</t>
  </si>
  <si>
    <t>Con cifra · optimista</t>
  </si>
  <si>
    <t>PROYECCIÓN ANUAL</t>
  </si>
  <si>
    <t>Diferencia anual · conservador</t>
  </si>
  <si>
    <t>Diferencia anual · central</t>
  </si>
  <si>
    <t>Diferencia anual · optimista</t>
  </si>
  <si>
    <t>CÓMO LEER ESTO. Las APERTURAS GANADAS son seguras: ese aumento está medido y su intervalo de confianza nunca toca el cero. Lo que no es seguro es que esas aperturas extra se conviertan en más clics, porque la mejora en clics no está probada: su intervalo de confianza incluye valores negativos. Hay un 91 % de probabilidad de que el efecto sea positivo, no un 100 %. Y el paso de clic a venta usa supuestos que no vienen de estos datos. Por eso la cifra se presenta como rango y no como promesa. El escenario conservador no dice que la idea falle: dice que podríamos ganar alcance sin ganar clics.</t>
  </si>
  <si>
    <t>Prueba A/B · cuántos correos hacen falta</t>
  </si>
  <si>
    <t>Calcula el tamaño mínimo de cada versión para que el resultado sea concluyente y no casualidad. Las celdas crema son editables.</t>
  </si>
  <si>
    <t>Tasa de apertura esperada, versión A (%)</t>
  </si>
  <si>
    <t>Mejora que queremos poder detectar (puntos)</t>
  </si>
  <si>
    <t>Confianza (%)</t>
  </si>
  <si>
    <t>Poder estadístico (%)</t>
  </si>
  <si>
    <t>Tamaño total de la base</t>
  </si>
  <si>
    <t>CÁLCULO</t>
  </si>
  <si>
    <t>p₁ (proporción A)</t>
  </si>
  <si>
    <t>p₂ (proporción B)</t>
  </si>
  <si>
    <t>z de confianza</t>
  </si>
  <si>
    <t>z de poder</t>
  </si>
  <si>
    <t>Emails necesarios POR VERSIÓN</t>
  </si>
  <si>
    <t>% de la base que ocupa cada versión</t>
  </si>
  <si>
    <t>LECTURA. Con el 10 % de la base en cada versión (unos 23.500 correos) la prueba detecta mejoras de alrededor de 1,2 puntos de apertura. Es de sobra para lo que buscamos: la diferencia medida entre un asunto con cifra y uno sin ella es de casi 14 puntos.</t>
  </si>
  <si>
    <t xml:space="preserve">Fórmulas y verificación </t>
  </si>
  <si>
    <t>Cada métrica del análisis, con su fórmula, la columna de la que se alimenta y la hoja donde está calculada.</t>
  </si>
  <si>
    <t>Fórmula</t>
  </si>
  <si>
    <t>Se alimenta de</t>
  </si>
  <si>
    <t>Calculada en</t>
  </si>
  <si>
    <t>Tasa de Apertura (%)</t>
  </si>
  <si>
    <t>Emails Abiertos ÷ Emails Enviados × 100</t>
  </si>
  <si>
    <t>Columnas H e I del archivo original</t>
  </si>
  <si>
    <t>DATOS LIMPIOS, columna M</t>
  </si>
  <si>
    <t>Mide si el ASUNTO convenció en la bandeja de entrada.</t>
  </si>
  <si>
    <t>Total Clicks ÷ Emails Enviados × 100</t>
  </si>
  <si>
    <t>Columnas I y J del original</t>
  </si>
  <si>
    <t>DATOS LIMPIOS, columna N</t>
  </si>
  <si>
    <t>Resultado de punta a punta: asunto más contenido.</t>
  </si>
  <si>
    <t>Total Clicks ÷ Emails Abiertos × 100</t>
  </si>
  <si>
    <t>DATOS LIMPIOS</t>
  </si>
  <si>
    <t>Aísla el contenido: de los que abrieron, cuántos hicieron clic.</t>
  </si>
  <si>
    <t>Ingreso por mil envíos ($)</t>
  </si>
  <si>
    <t>Columnas G y L del original</t>
  </si>
  <si>
    <t>Compara campañas de distinto tamaño en la misma vara.</t>
  </si>
  <si>
    <t>% que explica una variable</t>
  </si>
  <si>
    <t>Suma de cuadrados entre grupos ÷ suma de cuadrados total</t>
  </si>
  <si>
    <t>Agrupando DATOS LIMPIOS por la variable</t>
  </si>
  <si>
    <t>HALLAZGOS</t>
  </si>
  <si>
    <t>Qué parte de la variación en apertura atribuye esa variable.</t>
  </si>
  <si>
    <t>p (valor p)</t>
  </si>
  <si>
    <t>Prueba de Kruskal-Wallis sobre los rangos</t>
  </si>
  <si>
    <t>DATOS LIMPIOS agrupados</t>
  </si>
  <si>
    <t>Probabilidad de ver esa diferencia por azar. Bajo 0,05 se toma por real.</t>
  </si>
  <si>
    <t>Coeficiente de Pearson, con prueba de permutación</t>
  </si>
  <si>
    <t>Ingresos contra cada métrica</t>
  </si>
  <si>
    <t>Mide si dos cifras se mueven juntas. Cero significa que no.</t>
  </si>
  <si>
    <t>IC 95 % del aumento</t>
  </si>
  <si>
    <t>Bootstrap de 20.000 remuestreos</t>
  </si>
  <si>
    <t>Campañas con cifra vs resto</t>
  </si>
  <si>
    <t>PROYECCIÓN COP</t>
  </si>
  <si>
    <t>Rango donde cae el aumento real con 95 % de confianza.</t>
  </si>
  <si>
    <t>Tamaño de muestra A/B</t>
  </si>
  <si>
    <t>(z(α/2)+z(β))² × (p₁q₁+p₂q₂) ÷ (p₂−p₁)²</t>
  </si>
  <si>
    <t>Fórmula estándar de dos proporciones</t>
  </si>
  <si>
    <t>PRUEBA AB</t>
  </si>
  <si>
    <t>Cuántos correos necesita cada versión para que el test concluya.</t>
  </si>
  <si>
    <t>COMPROBACIÓN EN VIVO</t>
  </si>
  <si>
    <t>Estas celdas recalculan los totales desde DATOS LIMPIOS. Si cuadran con el TABLERO, el libro es consistente.</t>
  </si>
  <si>
    <t>Emails abiertos</t>
  </si>
  <si>
    <t>Tasa de apertura global</t>
  </si>
  <si>
    <t>CTR global</t>
  </si>
  <si>
    <t>CTOR global</t>
  </si>
  <si>
    <t>LAS CIFRAS DEL ANÁLISIS, RECALCULADAS POR EXCEL</t>
  </si>
  <si>
    <t>Aquí no hay números escritos a mano. Cada celda de la columna RESULTADO es una fórmula que lee la hoja DATOS LIMPIOS y vuelve a calcular la cifra desde cero. Si alguien duda de un número del informe, hace clic en la celda y ve el cálculo completo. La columna de la derecha dice qué debería salir: si no coincide, algo está mal.</t>
  </si>
  <si>
    <t>Cifra del informe</t>
  </si>
  <si>
    <t>La fórmula, escrita</t>
  </si>
  <si>
    <t>Resultado</t>
  </si>
  <si>
    <t>Debe dar</t>
  </si>
  <si>
    <t>¿Cuadra?</t>
  </si>
  <si>
    <t>Tasa de apertura promedio</t>
  </si>
  <si>
    <t>AVERAGE('DATOS LIMPIOS'!$M$5:$M$493)</t>
  </si>
  <si>
    <t>Apertura · asuntos CON cifra</t>
  </si>
  <si>
    <t>AVERAGEIF('DATOS LIMPIOS'!$E$5:$E$493,"*%*",'DATOS LIMPIOS'!$M$5:$M$493)</t>
  </si>
  <si>
    <t>Apertura · asuntos SIN cifra</t>
  </si>
  <si>
    <t>AVERAGEIF('DATOS LIMPIOS'!$E$5:$E$493,"&lt;&gt;*%*",'DATOS LIMPIOS'!$M$5:$M$493)</t>
  </si>
  <si>
    <t>Diferencia entre ambos (puntos)</t>
  </si>
  <si>
    <t>AVERAGEIF('DATOS LIMPIOS'!$E$5:$E$493,"*%*",'DATOS LIMPIOS'!$M$5:$M$493)-AVERAGEIF('DATOS LIMPIOS'!$E$5:$E$493,"&lt;&gt;*%*",'DATOS LIMPIOS'!$M$5:$M$493)</t>
  </si>
  <si>
    <t>% que explica el ASUNTO</t>
  </si>
  <si>
    <t>(SUMPRODUCT(('DATOS LIMPIOS'!$M$5:$M$493-AVERAGE('DATOS LIMPIOS'!$M$5:$M$493))^2)-SUMPRODUCT(('DATOS LIMPIOS'!$M$5:$M$493-'DATOS LIMPIOS'!$Q$5:$Q$493)^2))/SUMPRODUCT(('DATOS LIMPIOS'!$M$5:$M$493-AVERAGE('DATOS LIMPIOS'!$M$5:$M$493))^2)*100</t>
  </si>
  <si>
    <t>% que explica el TIPO de campaña</t>
  </si>
  <si>
    <t>(SUMPRODUCT(('DATOS LIMPIOS'!$M$5:$M$493-AVERAGE('DATOS LIMPIOS'!$M$5:$M$493))^2)-SUMPRODUCT(('DATOS LIMPIOS'!$M$5:$M$493-'DATOS LIMPIOS'!$R$5:$R$493)^2))/SUMPRODUCT(('DATOS LIMPIOS'!$M$5:$M$493-AVERAGE('DATOS LIMPIOS'!$M$5:$M$493))^2)*100</t>
  </si>
  <si>
    <t>Correlación ingresos vs clics</t>
  </si>
  <si>
    <t>CORREL('DATOS LIMPIOS'!$I$5:$I$493,'DATOS LIMPIOS'!$L$5:$L$493)</t>
  </si>
  <si>
    <t>Su valor p</t>
  </si>
  <si>
    <t>TDIST(ABS(CORREL('DATOS LIMPIOS'!$I$5:$I$493,'DATOS LIMPIOS'!$L$5:$L$493))*SQRT(489-2)/SQRT(1-CORREL('DATOS LIMPIOS'!$I$5:$I$493,'DATOS LIMPIOS'!$L$5:$L$493)^2),489-2,2)</t>
  </si>
  <si>
    <t>ver nota</t>
  </si>
  <si>
    <t>Brecha mejor vs peor asunto</t>
  </si>
  <si>
    <t>MAX('RANKING ASUNTOS'!$G$5:$G$26)/MIN('RANKING ASUNTOS'!$G$5:$G$26)</t>
  </si>
  <si>
    <t>La columna "Debe dar" viene de calcular lo mismo por fuera de Excel, en Python. Que las dos columnas coincidan significa que la cifra está comprobada por dos caminos independientes. Las dos últimas filas no llevan comparación porque son fórmulas directas de Excel, sin cálculo paralelo que confrontar.</t>
  </si>
  <si>
    <t>COMPROBACIÓN DE LAS HIPÓTESIS NUEVAS</t>
  </si>
  <si>
    <t>Cifra</t>
  </si>
  <si>
    <t>Dónde</t>
  </si>
  <si>
    <t>Prueba en agosto: los que ganaban</t>
  </si>
  <si>
    <t>H3 ASUNTO</t>
  </si>
  <si>
    <t>Prueba en agosto: los que perdían</t>
  </si>
  <si>
    <t>Prueba en septiembre: ganaban</t>
  </si>
  <si>
    <t>Prueba en septiembre: perdían</t>
  </si>
  <si>
    <t>Prueba en octubre: ganaban</t>
  </si>
  <si>
    <t>Prueba en octubre: perdían</t>
  </si>
  <si>
    <t>Descuento con tiempo límite en el asunto: apertura</t>
  </si>
  <si>
    <t>H4 TEMÁTICA HOT SALE</t>
  </si>
  <si>
    <t>Descuento con tiempo en el preheader: apertura</t>
  </si>
  <si>
    <t>Hot Sale anteriores: apertura</t>
  </si>
  <si>
    <t>Hot Sale anteriores: CTR</t>
  </si>
  <si>
    <t>Etiqueta en octubre: apertura</t>
  </si>
  <si>
    <t>Correlación apertura-CTR de asuntos</t>
  </si>
  <si>
    <t>Batalla de Boyacá: diferencia</t>
  </si>
  <si>
    <t>H1 CALENDARIO</t>
  </si>
  <si>
    <t>Estilo: solo urgencia, apertura</t>
  </si>
  <si>
    <t>Estilo: recompensa, apertura</t>
  </si>
  <si>
    <t>Campañas de descuento</t>
  </si>
  <si>
    <t>Filas excluidas</t>
  </si>
  <si>
    <t>H0 DATOS</t>
  </si>
  <si>
    <t>Asuntos distintos</t>
  </si>
  <si>
    <t>_calculos</t>
  </si>
  <si>
    <t>Datos limpios · 489 campañas</t>
  </si>
  <si>
    <t>Las columnas en dorado son FÓRMULAS, no números pegados: haga clic en cualquiera y verá el cálculo. Si corrige un dato crudo, las tasas se actualizan solas. De la columna S en adelante: columnas nuevas, todas con fórmula, para probar cada hipótesis.</t>
  </si>
  <si>
    <t>Campaign ID</t>
  </si>
  <si>
    <t>Tipo de Campaña</t>
  </si>
  <si>
    <t>Fecha de Envío</t>
  </si>
  <si>
    <t>Hora de Envío</t>
  </si>
  <si>
    <t>Asunto del Email</t>
  </si>
  <si>
    <t>Preheader del Email</t>
  </si>
  <si>
    <t>Emails Enviados</t>
  </si>
  <si>
    <t>Emails Abiertos</t>
  </si>
  <si>
    <t>Total Clicks</t>
  </si>
  <si>
    <t>Tasa de Conversión (%)</t>
  </si>
  <si>
    <t>Tasa de Desuscripción (%)</t>
  </si>
  <si>
    <t>Ingresos Generados ($)</t>
  </si>
  <si>
    <t>Apertura media de ESTE asunto</t>
  </si>
  <si>
    <t>Apertura media de ESTE tipo</t>
  </si>
  <si>
    <t>Fecha (como fecha)</t>
  </si>
  <si>
    <t>Día de la semana</t>
  </si>
  <si>
    <t>Campañas ese día</t>
  </si>
  <si>
    <t>Día masivo (20 o más)</t>
  </si>
  <si>
    <t>N° de uso del asunto</t>
  </si>
  <si>
    <t>Veces que se usó el asunto</t>
  </si>
  <si>
    <t>Tercio de uso (asuntos 8+)</t>
  </si>
  <si>
    <t>Diferencia contra su asunto (puntos)</t>
  </si>
  <si>
    <t>Asunto, para buscar</t>
  </si>
  <si>
    <t>Preheader, para buscar</t>
  </si>
  <si>
    <t>Habla de descuento</t>
  </si>
  <si>
    <t>Tiempo límite en el asunto</t>
  </si>
  <si>
    <t>Tiempo límite en el preheader</t>
  </si>
  <si>
    <t>Grupo de descuento</t>
  </si>
  <si>
    <t>Asunto con beneficio concreto</t>
  </si>
  <si>
    <t>Preheader vago</t>
  </si>
  <si>
    <t>Caracteres del asunto</t>
  </si>
  <si>
    <t>Palabras del asunto</t>
  </si>
  <si>
    <t>Signos de puntuación</t>
  </si>
  <si>
    <t>Cumple reglas de Mailchimp</t>
  </si>
  <si>
    <t>Es Hot Sale</t>
  </si>
  <si>
    <t>Estilo del asunto</t>
  </si>
  <si>
    <t>EM-001</t>
  </si>
  <si>
    <t>2025-10-15</t>
  </si>
  <si>
    <t>10:30:00</t>
  </si>
  <si>
    <t>¡Gracias por ser parte de L'Oréal! Ofertas para ti</t>
  </si>
  <si>
    <t>Descubre nuestras novedades y ofertas exclusivas para ti. ¡Te encantarán!</t>
  </si>
  <si>
    <t>EM-002</t>
  </si>
  <si>
    <t>2025-09-02</t>
  </si>
  <si>
    <t>14:00:00</t>
  </si>
  <si>
    <t>¡Últimas horas! Flash Sale: No te quedes sin tu descuento</t>
  </si>
  <si>
    <t>Solo por hoy: descuentos increíbles en tus favoritos. ¡Compra ahora!</t>
  </si>
  <si>
    <t>EM-003</t>
  </si>
  <si>
    <t>2025-08-20</t>
  </si>
  <si>
    <t>09:15:00</t>
  </si>
  <si>
    <t>EM-004</t>
  </si>
  <si>
    <t>2025-10-28</t>
  </si>
  <si>
    <t>11:45:00</t>
  </si>
  <si>
    <t>EM-005</t>
  </si>
  <si>
    <t>2025-09-10</t>
  </si>
  <si>
    <t>16:00:00</t>
  </si>
  <si>
    <t>Para ti, con cariño: ¡Descubre tu regalo exclusivo!</t>
  </si>
  <si>
    <t>Tu código exclusivo te espera adentro. ¡No te lo pierdas!</t>
  </si>
  <si>
    <t>EM-007</t>
  </si>
  <si>
    <t>2025-10-01</t>
  </si>
  <si>
    <t>13:30:00</t>
  </si>
  <si>
    <t>EM-008</t>
  </si>
  <si>
    <t>2025-09-18</t>
  </si>
  <si>
    <t>12:15:00</t>
  </si>
  <si>
    <t>Prepárate para un Ahorro Épico: ¡Flash Sale en todo!</t>
  </si>
  <si>
    <t>Tus productos favoritos con un precio que te encantará. ¡Entra ya!</t>
  </si>
  <si>
    <t>EM-009</t>
  </si>
  <si>
    <t>2025-08-25</t>
  </si>
  <si>
    <t>11:00:00</t>
  </si>
  <si>
    <t>EM-010</t>
  </si>
  <si>
    <t>2025-10-05</t>
  </si>
  <si>
    <t>15:45:00</t>
  </si>
  <si>
    <t>EM-011</t>
  </si>
  <si>
    <t>2025-09-07</t>
  </si>
  <si>
    <t>09:30:00</t>
  </si>
  <si>
    <t>EM-012</t>
  </si>
  <si>
    <t>2025-08-12</t>
  </si>
  <si>
    <t>14:15:00</t>
  </si>
  <si>
    <t>¡Exclusivo para nuestros clientes VIP! Descuentos únicos</t>
  </si>
  <si>
    <t>No te pierdas estas ofertas que preparamos para ti. ¡Acceso limitado!</t>
  </si>
  <si>
    <t>EM-013</t>
  </si>
  <si>
    <t>2025-10-22</t>
  </si>
  <si>
    <t>10:45:00</t>
  </si>
  <si>
    <t>Novedades L'Oréal: Mantente al día con lo último en belleza</t>
  </si>
  <si>
    <t>Tu resumen semanal de noticias de belleza. ¡Entérate ya!</t>
  </si>
  <si>
    <t>EM-014</t>
  </si>
  <si>
    <t>2025-09-25</t>
  </si>
  <si>
    <t>12:00:00</t>
  </si>
  <si>
    <t>¡El futuro de tu piel ha llegado! Nuevo Producto estrella</t>
  </si>
  <si>
    <t>EM-015</t>
  </si>
  <si>
    <t>2025-08-08</t>
  </si>
  <si>
    <t>16:30:00</t>
  </si>
  <si>
    <t>¡Gracias por ser parte de nuestra familia! Una sorpresa para ti</t>
  </si>
  <si>
    <t>Hemos seleccionado algo especial solo para ti. ¡No te lo pierdas!</t>
  </si>
  <si>
    <t>EM-016</t>
  </si>
  <si>
    <t>2025-10-18</t>
  </si>
  <si>
    <t>08:00:00</t>
  </si>
  <si>
    <t>EM-017</t>
  </si>
  <si>
    <t>2025-09-05</t>
  </si>
  <si>
    <t>14:45:00</t>
  </si>
  <si>
    <t>¡Descuentos Imperdibles! Solo por tiempo limitado, no esperes</t>
  </si>
  <si>
    <t>Aprovecha estas ofertas antes de que se agoten. ¡Compra ahora!</t>
  </si>
  <si>
    <t>EM-018</t>
  </si>
  <si>
    <t>2025-08-15</t>
  </si>
  <si>
    <t>11:15:00</t>
  </si>
  <si>
    <t>¡Ahorra en tus favoritos! Oferta Flash, solo por hoy</t>
  </si>
  <si>
    <t>Tus productos esenciales con un gran descuento. ¡No te lo pierdas!</t>
  </si>
  <si>
    <t>EM-019</t>
  </si>
  <si>
    <t>2025-10-08</t>
  </si>
  <si>
    <t>12:30:00</t>
  </si>
  <si>
    <t>🔥 Hot Sale Anticipado: ¡Precios de locura en maquillaje y más!</t>
  </si>
  <si>
    <t>Consigue tus productos soñados con descuentos exclusivos. ¡Entra ya!</t>
  </si>
  <si>
    <t>EM-020</t>
  </si>
  <si>
    <t>2025-09-29</t>
  </si>
  <si>
    <t>10:15:00</t>
  </si>
  <si>
    <t>EM-021</t>
  </si>
  <si>
    <t>2025-08-22</t>
  </si>
  <si>
    <t>15:00:00</t>
  </si>
  <si>
    <t>¡Acceso VIP a ofertas exclusivas! Solo para ti</t>
  </si>
  <si>
    <t>No dejes pasar esta oportunidad única de ahorrar. ¡Aprovecha ya!</t>
  </si>
  <si>
    <t>EM-022</t>
  </si>
  <si>
    <t>2025-10-12</t>
  </si>
  <si>
    <t>13:00:00</t>
  </si>
  <si>
    <t>¡Tu oportunidad de ahorro! Ofertas Especiales L'Oréal</t>
  </si>
  <si>
    <t>Productos selectos con precios que te sorprenderán. ¡Entra y descubre!</t>
  </si>
  <si>
    <t>EM-023</t>
  </si>
  <si>
    <t>2025-09-09</t>
  </si>
  <si>
    <t>11:30:00</t>
  </si>
  <si>
    <t>EM-024</t>
  </si>
  <si>
    <t>2025-08-18</t>
  </si>
  <si>
    <t>¡Descuentos Festivos! Consigue tus regalos, ahorra ahora</t>
  </si>
  <si>
    <t>Las mejores ofertas para celebrar la temporada. ¡No te las pierdas!</t>
  </si>
  <si>
    <t>EM-025</t>
  </si>
  <si>
    <t>2025-10-03</t>
  </si>
  <si>
    <t>16:15:00</t>
  </si>
  <si>
    <t>¡Solo para ti! Ofertas de otro nivel, imperdibles</t>
  </si>
  <si>
    <t>Aprovecha estos descuentos antes de que finalicen. ¡Últimas horas!</t>
  </si>
  <si>
    <t>EM-027</t>
  </si>
  <si>
    <t>2025-08-01</t>
  </si>
  <si>
    <t>15:30:00</t>
  </si>
  <si>
    <t>EM-028</t>
  </si>
  <si>
    <t>2025-10-25</t>
  </si>
  <si>
    <t>13:45:00</t>
  </si>
  <si>
    <t>¡Descubre tu oferta especial! Productos L'Oréal</t>
  </si>
  <si>
    <t>Precios que no puedes dejar pasar. ¡Entra ya y renueva tu beauty!</t>
  </si>
  <si>
    <t>EM-031</t>
  </si>
  <si>
    <t>2025-10-09</t>
  </si>
  <si>
    <t>12:45:00</t>
  </si>
  <si>
    <t>EM-032</t>
  </si>
  <si>
    <t>2025-09-04</t>
  </si>
  <si>
    <t>¡Aprovecha los descuentos! Temporada de Fiestas, belleza y más</t>
  </si>
  <si>
    <t>EM-033</t>
  </si>
  <si>
    <t>2025-08-10</t>
  </si>
  <si>
    <t>09:45:00</t>
  </si>
  <si>
    <t>Descubre las últimas tendencias en belleza y cuidado personal</t>
  </si>
  <si>
    <t>Tu guía completa para un look perfecto. ¡Entra ya!</t>
  </si>
  <si>
    <t>EM-034</t>
  </si>
  <si>
    <t>2025-10-20</t>
  </si>
  <si>
    <t>15:15:00</t>
  </si>
  <si>
    <t>EM-035</t>
  </si>
  <si>
    <t>2025-09-12</t>
  </si>
  <si>
    <t>¡Oferta Express! No parpadees, tus productos favoritos te esperan</t>
  </si>
  <si>
    <t>Descuentos por tiempo limitado en tus favoritos de siempre. ¡Compra ahora!</t>
  </si>
  <si>
    <t>EM-036</t>
  </si>
  <si>
    <t>2025-08-07</t>
  </si>
  <si>
    <t>¡No te quedes fuera! Ofertas que vuelan</t>
  </si>
  <si>
    <t>No te quedes sin tus productos favoritos. ¡Aprovecha!</t>
  </si>
  <si>
    <t>EM-037</t>
  </si>
  <si>
    <t>2025-10-29</t>
  </si>
  <si>
    <t>16:45:00</t>
  </si>
  <si>
    <t>¡Un gesto de gratitud de L'Oréal! Tu belleza, nuestra pasión</t>
  </si>
  <si>
    <t>Hemos preparado algo especial para ti. ¡Descúbrelo ahora!</t>
  </si>
  <si>
    <t>EM-038</t>
  </si>
  <si>
    <t>2025-09-27</t>
  </si>
  <si>
    <t>08:30:00</t>
  </si>
  <si>
    <t>EM-039</t>
  </si>
  <si>
    <t>2025-08-29</t>
  </si>
  <si>
    <t>10:00:00</t>
  </si>
  <si>
    <t>Tu resumen semanal de belleza: Tendencias y más</t>
  </si>
  <si>
    <t>Todo lo que necesitas saber para estar al día. ¡Lee ahora!</t>
  </si>
  <si>
    <t>EM-040</t>
  </si>
  <si>
    <t>2025-10-07</t>
  </si>
  <si>
    <t>EM-041</t>
  </si>
  <si>
    <t>2025-09-01</t>
  </si>
  <si>
    <t>EM-042</t>
  </si>
  <si>
    <t>2025-08-21</t>
  </si>
  <si>
    <t>¡Es hora de celebrar! Descuentos exclusivos, regalos ideales</t>
  </si>
  <si>
    <t>Las mejores ofertas para tus compras festivas. ¡Descubre más!</t>
  </si>
  <si>
    <t>EM-043</t>
  </si>
  <si>
    <t>2025-10-16</t>
  </si>
  <si>
    <t>EM-044</t>
  </si>
  <si>
    <t>2025-09-03</t>
  </si>
  <si>
    <t>¡Solo para ti! Una sorpresa de L'Oréal que te encantará</t>
  </si>
  <si>
    <t>Tus productos favoritos con un precio que te encantará. ¡Descubre!</t>
  </si>
  <si>
    <t>EM-047</t>
  </si>
  <si>
    <t>2025-09-11</t>
  </si>
  <si>
    <t>¡Tu dosis de belleza semanal ha llegado! Tips y tendencias</t>
  </si>
  <si>
    <t>Descubre tips y tendencias para lucir radiante. ¡Lee más!</t>
  </si>
  <si>
    <t>EM-048</t>
  </si>
  <si>
    <t>2025-08-02</t>
  </si>
  <si>
    <t>Novedades L'Oréal: No te pierdas nada de lo nuevo</t>
  </si>
  <si>
    <t>EM-049</t>
  </si>
  <si>
    <t>2025-10-27</t>
  </si>
  <si>
    <t>¡Ofertas que te harán sonreír! Flash Sale en tus favoritos</t>
  </si>
  <si>
    <t>Descuentos exclusivos en tus favoritos. ¡Aprovecha antes de que acabe!</t>
  </si>
  <si>
    <t>EM-050</t>
  </si>
  <si>
    <t>2025-09-22</t>
  </si>
  <si>
    <t>¡Es para ti! Un regalo de L'Oréal por tu fidelidad</t>
  </si>
  <si>
    <t>Tu lealtad es recompensada con estas ofertas. ¡Descubre más!</t>
  </si>
  <si>
    <t>EM-052</t>
  </si>
  <si>
    <t>2025-10-14</t>
  </si>
  <si>
    <t>Descubre el futuro de la belleza con L'Oréal ¡Innovación!</t>
  </si>
  <si>
    <t>Una innovación que cambiará tu rutina diaria. ¡Pruébala!</t>
  </si>
  <si>
    <t>EM-053</t>
  </si>
  <si>
    <t>2025-09-06</t>
  </si>
  <si>
    <t>¡Tu oportunidad de conseguirlo! Ofertas VIP, solo por hoy</t>
  </si>
  <si>
    <t>Descuentos únicos en productos seleccionados. ¡Acceso limitado!</t>
  </si>
  <si>
    <t>EM-054</t>
  </si>
  <si>
    <t>2025-08-16</t>
  </si>
  <si>
    <t>¡Ahorra en grande! Oferta Relámpago, últimas unidades</t>
  </si>
  <si>
    <t>Precios irresistibles en tus productos favoritos. ¡Compra ahora!</t>
  </si>
  <si>
    <t>EM-056</t>
  </si>
  <si>
    <t>2025-09-17</t>
  </si>
  <si>
    <t>¡Última oportunidad! Descuentos que no volverán, no esperes</t>
  </si>
  <si>
    <t>EM-057</t>
  </si>
  <si>
    <t>2025-08-09</t>
  </si>
  <si>
    <t>🔥 Hot Sale Anticipado: ¡Precios increíbles en belleza!</t>
  </si>
  <si>
    <t>Consigue tus productos soñados con descuentos exclusivos. ¡No te lo pierdas!</t>
  </si>
  <si>
    <t>EM-058</t>
  </si>
  <si>
    <t>2025-10-02</t>
  </si>
  <si>
    <t>EM-059</t>
  </si>
  <si>
    <t>2025-09-24</t>
  </si>
  <si>
    <t>Prepárate para un Ahorro Épico: ¡Flash Sale en toda la tienda!</t>
  </si>
  <si>
    <t>EM-060</t>
  </si>
  <si>
    <t>2025-08-27</t>
  </si>
  <si>
    <t>¡Descuentos que no querrás perderte! L'Oréal para ti</t>
  </si>
  <si>
    <t>Solo para nuestra comunidad más fiel. ¡Acceso limitado!</t>
  </si>
  <si>
    <t>EM-061</t>
  </si>
  <si>
    <t>2025-10-19</t>
  </si>
  <si>
    <t>¡Última Oportunidad! Descuentos de otro nivel en L'Oréal</t>
  </si>
  <si>
    <t>Aprovecha antes de que se acaben. ¡No te arrepentirás!</t>
  </si>
  <si>
    <t>EM-062</t>
  </si>
  <si>
    <t>2025-09-08</t>
  </si>
  <si>
    <t>EM-063</t>
  </si>
  <si>
    <t>2025-08-19</t>
  </si>
  <si>
    <t>EM-064</t>
  </si>
  <si>
    <t>2025-10-04</t>
  </si>
  <si>
    <t>EM-065</t>
  </si>
  <si>
    <t>2025-09-26</t>
  </si>
  <si>
    <t>¡Es hora de celebrar! Descuentos festivos, L'Oréal para ti</t>
  </si>
  <si>
    <t>EM-066</t>
  </si>
  <si>
    <t>2025-08-13</t>
  </si>
  <si>
    <t>EM-067</t>
  </si>
  <si>
    <t>2025-10-30</t>
  </si>
  <si>
    <t>EM-068</t>
  </si>
  <si>
    <t>2025-09-28</t>
  </si>
  <si>
    <t>Tu dosis semanal de belleza: Novedades y tips L'Oréal</t>
  </si>
  <si>
    <t>EM-069</t>
  </si>
  <si>
    <t>2025-08-30</t>
  </si>
  <si>
    <t>🔥 Hot Sale Anticipado: ¡Precios de locura en L'Oréal Paris!</t>
  </si>
  <si>
    <t>EM-070</t>
  </si>
  <si>
    <t>2025-10-10</t>
  </si>
  <si>
    <t>EM-071</t>
  </si>
  <si>
    <t>El Resumen Semanal de L'Oréal: Novedades beauty</t>
  </si>
  <si>
    <t>No te pierdas las últimas noticias y tendencias. ¡Lee más!</t>
  </si>
  <si>
    <t>EM-072</t>
  </si>
  <si>
    <t>2025-08-17</t>
  </si>
  <si>
    <t>EM-073</t>
  </si>
  <si>
    <t>2025-10-24</t>
  </si>
  <si>
    <t>EM-074</t>
  </si>
  <si>
    <t>2025-09-16</t>
  </si>
  <si>
    <t>EM-075</t>
  </si>
  <si>
    <t>2025-08-03</t>
  </si>
  <si>
    <t>EM-076</t>
  </si>
  <si>
    <t>2025-10-26</t>
  </si>
  <si>
    <t>EM-078</t>
  </si>
  <si>
    <t>2025-08-04</t>
  </si>
  <si>
    <t>EM-079</t>
  </si>
  <si>
    <t>2025-10-11</t>
  </si>
  <si>
    <t>EM-080</t>
  </si>
  <si>
    <t>EM-081</t>
  </si>
  <si>
    <t>2025-08-14</t>
  </si>
  <si>
    <t>EM-082</t>
  </si>
  <si>
    <t>2025-10-17</t>
  </si>
  <si>
    <t>EM-083</t>
  </si>
  <si>
    <t>2025-09-19</t>
  </si>
  <si>
    <t>EM-084</t>
  </si>
  <si>
    <t>EM-085</t>
  </si>
  <si>
    <t>EM-086</t>
  </si>
  <si>
    <t>2025-09-13</t>
  </si>
  <si>
    <t>EM-088</t>
  </si>
  <si>
    <t>2025-10-06</t>
  </si>
  <si>
    <t>EM-089</t>
  </si>
  <si>
    <t>2025-09-23</t>
  </si>
  <si>
    <t>EM-090</t>
  </si>
  <si>
    <t>2025-08-26</t>
  </si>
  <si>
    <t>EM-091</t>
  </si>
  <si>
    <t>2025-10-13</t>
  </si>
  <si>
    <t>EM-093</t>
  </si>
  <si>
    <t>EM-094</t>
  </si>
  <si>
    <t>09:00:00</t>
  </si>
  <si>
    <t>¡Un pequeño detalle para agradecerte tu lealtad!</t>
  </si>
  <si>
    <t>EM-095</t>
  </si>
  <si>
    <t>14:30:00</t>
  </si>
  <si>
    <t>EM-096</t>
  </si>
  <si>
    <t>EM-097</t>
  </si>
  <si>
    <t>EM-098</t>
  </si>
  <si>
    <t>EM-099</t>
  </si>
  <si>
    <t>2025-08-05</t>
  </si>
  <si>
    <t>EM-101</t>
  </si>
  <si>
    <t>EM-103</t>
  </si>
  <si>
    <t>EM-105</t>
  </si>
  <si>
    <t>EM-106</t>
  </si>
  <si>
    <t>EM-107</t>
  </si>
  <si>
    <t>EM-108</t>
  </si>
  <si>
    <t>EM-111</t>
  </si>
  <si>
    <t>EM-112</t>
  </si>
  <si>
    <t>¡Ofertas de Temporada! No te las pierdas, ¡regalos perfectos!</t>
  </si>
  <si>
    <t>Los mejores productos para tus celebraciones. ¡Descubre más!</t>
  </si>
  <si>
    <t>EM-113</t>
  </si>
  <si>
    <t>EM-114</t>
  </si>
  <si>
    <t>EM-115</t>
  </si>
  <si>
    <t>EM-119</t>
  </si>
  <si>
    <t>EM-121</t>
  </si>
  <si>
    <t>EM-122</t>
  </si>
  <si>
    <t>EM-123</t>
  </si>
  <si>
    <t>EM-124</t>
  </si>
  <si>
    <t>EM-125</t>
  </si>
  <si>
    <t>EM-126</t>
  </si>
  <si>
    <t>2025-08-23</t>
  </si>
  <si>
    <t>EM-127</t>
  </si>
  <si>
    <t>EM-128</t>
  </si>
  <si>
    <t>EM-129</t>
  </si>
  <si>
    <t>2025-08-06</t>
  </si>
  <si>
    <t>EM-130</t>
  </si>
  <si>
    <t>EM-133</t>
  </si>
  <si>
    <t>EM-136</t>
  </si>
  <si>
    <t>EM-137</t>
  </si>
  <si>
    <t>EM-138</t>
  </si>
  <si>
    <t>EM-139</t>
  </si>
  <si>
    <t>EM-140</t>
  </si>
  <si>
    <t>EM-141</t>
  </si>
  <si>
    <t>EM-142</t>
  </si>
  <si>
    <t>EM-143</t>
  </si>
  <si>
    <t>EM-144</t>
  </si>
  <si>
    <t>EM-145</t>
  </si>
  <si>
    <t>EM-146</t>
  </si>
  <si>
    <t>EM-147</t>
  </si>
  <si>
    <t>EM-148</t>
  </si>
  <si>
    <t>EM-149</t>
  </si>
  <si>
    <t>EM-150</t>
  </si>
  <si>
    <t>EM-151</t>
  </si>
  <si>
    <t>¡Gracias por elegir L'Oréal! Tu belleza, nuestra inspiración</t>
  </si>
  <si>
    <t>Queremos celebrar tu preferencia con estas ofertas. ¡Descúbrelas!</t>
  </si>
  <si>
    <t>EM-152</t>
  </si>
  <si>
    <t>EM-153</t>
  </si>
  <si>
    <t>EM-154</t>
  </si>
  <si>
    <t>EM-155</t>
  </si>
  <si>
    <t>EM-156</t>
  </si>
  <si>
    <t>EM-157</t>
  </si>
  <si>
    <t>EM-159</t>
  </si>
  <si>
    <t>Actualización de L'Oréal: Lo más relevante</t>
  </si>
  <si>
    <t>Mantente al tanto de todas las novedades. ¡Infórmate!</t>
  </si>
  <si>
    <t>EM-161</t>
  </si>
  <si>
    <t>EM-162</t>
  </si>
  <si>
    <t>EM-163</t>
  </si>
  <si>
    <t>EM-164</t>
  </si>
  <si>
    <t>EM-165</t>
  </si>
  <si>
    <t>EM-166</t>
  </si>
  <si>
    <t>EM-167</t>
  </si>
  <si>
    <t>EM-168</t>
  </si>
  <si>
    <t>EM-169</t>
  </si>
  <si>
    <t>EM-170</t>
  </si>
  <si>
    <t>EM-172</t>
  </si>
  <si>
    <t>EM-173</t>
  </si>
  <si>
    <t>EM-174</t>
  </si>
  <si>
    <t>EM-175</t>
  </si>
  <si>
    <t>EM-176</t>
  </si>
  <si>
    <t>EM-177</t>
  </si>
  <si>
    <t>EM-178</t>
  </si>
  <si>
    <t>EM-179</t>
  </si>
  <si>
    <t>EM-180</t>
  </si>
  <si>
    <t>EM-181</t>
  </si>
  <si>
    <t>EM-182</t>
  </si>
  <si>
    <t>EM-183</t>
  </si>
  <si>
    <t>EM-184</t>
  </si>
  <si>
    <t>EM-185</t>
  </si>
  <si>
    <t>EM-186</t>
  </si>
  <si>
    <t>EM-187</t>
  </si>
  <si>
    <t>EM-188</t>
  </si>
  <si>
    <t>EM-189</t>
  </si>
  <si>
    <t>EM-190</t>
  </si>
  <si>
    <t>EM-191</t>
  </si>
  <si>
    <t>EM-192</t>
  </si>
  <si>
    <t>EM-194</t>
  </si>
  <si>
    <t>EM-195</t>
  </si>
  <si>
    <t>EM-196</t>
  </si>
  <si>
    <t>EM-197</t>
  </si>
  <si>
    <t>EM-198</t>
  </si>
  <si>
    <t>EM-199</t>
  </si>
  <si>
    <t>EM-201</t>
  </si>
  <si>
    <t>EM-202</t>
  </si>
  <si>
    <t>EM-203</t>
  </si>
  <si>
    <t>EM-206</t>
  </si>
  <si>
    <t>EM-207</t>
  </si>
  <si>
    <t>EM-210</t>
  </si>
  <si>
    <t>EM-211</t>
  </si>
  <si>
    <t>EM-212</t>
  </si>
  <si>
    <t>EM-213</t>
  </si>
  <si>
    <t>EM-214</t>
  </si>
  <si>
    <t>EM-215</t>
  </si>
  <si>
    <t>EM-216</t>
  </si>
  <si>
    <t>EM-217</t>
  </si>
  <si>
    <t>EM-218</t>
  </si>
  <si>
    <t>EM-219</t>
  </si>
  <si>
    <t>EM-220</t>
  </si>
  <si>
    <t>EM-221</t>
  </si>
  <si>
    <t>EM-223</t>
  </si>
  <si>
    <t>EM-224</t>
  </si>
  <si>
    <t>EM-225</t>
  </si>
  <si>
    <t>EM-226</t>
  </si>
  <si>
    <t>EM-227</t>
  </si>
  <si>
    <t>EM-228</t>
  </si>
  <si>
    <t>EM-229</t>
  </si>
  <si>
    <t>EM-230</t>
  </si>
  <si>
    <t>EM-231</t>
  </si>
  <si>
    <t>EM-232</t>
  </si>
  <si>
    <t>EM-233</t>
  </si>
  <si>
    <t>EM-234</t>
  </si>
  <si>
    <t>EM-235</t>
  </si>
  <si>
    <t>EM-236</t>
  </si>
  <si>
    <t>EM-237</t>
  </si>
  <si>
    <t>EM-238</t>
  </si>
  <si>
    <t>EM-239</t>
  </si>
  <si>
    <t>EM-240</t>
  </si>
  <si>
    <t>EM-241</t>
  </si>
  <si>
    <t>EM-242</t>
  </si>
  <si>
    <t>EM-245</t>
  </si>
  <si>
    <t>EM-247</t>
  </si>
  <si>
    <t>EM-248</t>
  </si>
  <si>
    <t>EM-249</t>
  </si>
  <si>
    <t>EM-250</t>
  </si>
  <si>
    <t>EM-254</t>
  </si>
  <si>
    <t>EM-255</t>
  </si>
  <si>
    <t>EM-257</t>
  </si>
  <si>
    <t>EM-258</t>
  </si>
  <si>
    <t>EM-259</t>
  </si>
  <si>
    <t>EM-260</t>
  </si>
  <si>
    <t>EM-261</t>
  </si>
  <si>
    <t>EM-263</t>
  </si>
  <si>
    <t>EM-264</t>
  </si>
  <si>
    <t>EM-265</t>
  </si>
  <si>
    <t>EM-266</t>
  </si>
  <si>
    <t>EM-268</t>
  </si>
  <si>
    <t>EM-269</t>
  </si>
  <si>
    <t>EM-270</t>
  </si>
  <si>
    <t>EM-271</t>
  </si>
  <si>
    <t>EM-272</t>
  </si>
  <si>
    <t>EM-274</t>
  </si>
  <si>
    <t>EM-275</t>
  </si>
  <si>
    <t>EM-277</t>
  </si>
  <si>
    <t>EM-278</t>
  </si>
  <si>
    <t>EM-279</t>
  </si>
  <si>
    <t>EM-280</t>
  </si>
  <si>
    <t>EM-281</t>
  </si>
  <si>
    <t>EM-282</t>
  </si>
  <si>
    <t>EM-283</t>
  </si>
  <si>
    <t>EM-284</t>
  </si>
  <si>
    <t>EM-285</t>
  </si>
  <si>
    <t>EM-286</t>
  </si>
  <si>
    <t>EM-287</t>
  </si>
  <si>
    <t>EM-288</t>
  </si>
  <si>
    <t>EM-289</t>
  </si>
  <si>
    <t>EM-290</t>
  </si>
  <si>
    <t>EM-291</t>
  </si>
  <si>
    <t>EM-292</t>
  </si>
  <si>
    <t>EM-293</t>
  </si>
  <si>
    <t>EM-294</t>
  </si>
  <si>
    <t>EM-296</t>
  </si>
  <si>
    <t>EM-297</t>
  </si>
  <si>
    <t>EM-298</t>
  </si>
  <si>
    <t>EM-299</t>
  </si>
  <si>
    <t>EM-300</t>
  </si>
  <si>
    <t>EM-301</t>
  </si>
  <si>
    <t>EM-302</t>
  </si>
  <si>
    <t>EM-303</t>
  </si>
  <si>
    <t>EM-304</t>
  </si>
  <si>
    <t>EM-305</t>
  </si>
  <si>
    <t>EM-306</t>
  </si>
  <si>
    <t>EM-308</t>
  </si>
  <si>
    <t>EM-309</t>
  </si>
  <si>
    <t>EM-310</t>
  </si>
  <si>
    <t>EM-311</t>
  </si>
  <si>
    <t>EM-314</t>
  </si>
  <si>
    <t>EM-315</t>
  </si>
  <si>
    <t>EM-316</t>
  </si>
  <si>
    <t>EM-317</t>
  </si>
  <si>
    <t>EM-319</t>
  </si>
  <si>
    <t>EM-320</t>
  </si>
  <si>
    <t>EM-321</t>
  </si>
  <si>
    <t>EM-322</t>
  </si>
  <si>
    <t>EM-323</t>
  </si>
  <si>
    <t>EM-324</t>
  </si>
  <si>
    <t>EM-325</t>
  </si>
  <si>
    <t>EM-326</t>
  </si>
  <si>
    <t>EM-328</t>
  </si>
  <si>
    <t>EM-329</t>
  </si>
  <si>
    <t>EM-330</t>
  </si>
  <si>
    <t>EM-331</t>
  </si>
  <si>
    <t>EM-332</t>
  </si>
  <si>
    <t>EM-333</t>
  </si>
  <si>
    <t>EM-334</t>
  </si>
  <si>
    <t>EM-335</t>
  </si>
  <si>
    <t>EM-336</t>
  </si>
  <si>
    <t>EM-337</t>
  </si>
  <si>
    <t>EM-338</t>
  </si>
  <si>
    <t>EM-339</t>
  </si>
  <si>
    <t>EM-341</t>
  </si>
  <si>
    <t>EM-342</t>
  </si>
  <si>
    <t>EM-343</t>
  </si>
  <si>
    <t>EM-345</t>
  </si>
  <si>
    <t>EM-346</t>
  </si>
  <si>
    <t>EM-347</t>
  </si>
  <si>
    <t>EM-348</t>
  </si>
  <si>
    <t>EM-350</t>
  </si>
  <si>
    <t>EM-351</t>
  </si>
  <si>
    <t>EM-352</t>
  </si>
  <si>
    <t>EM-353</t>
  </si>
  <si>
    <t>EM-354</t>
  </si>
  <si>
    <t>EM-355</t>
  </si>
  <si>
    <t>EM-357</t>
  </si>
  <si>
    <t>EM-358</t>
  </si>
  <si>
    <t>EM-359</t>
  </si>
  <si>
    <t>EM-360</t>
  </si>
  <si>
    <t>EM-361</t>
  </si>
  <si>
    <t>EM-362</t>
  </si>
  <si>
    <t>EM-364</t>
  </si>
  <si>
    <t>EM-365</t>
  </si>
  <si>
    <t>EM-366</t>
  </si>
  <si>
    <t>EM-368</t>
  </si>
  <si>
    <t>EM-369</t>
  </si>
  <si>
    <t>EM-371</t>
  </si>
  <si>
    <t>EM-372</t>
  </si>
  <si>
    <t>EM-373</t>
  </si>
  <si>
    <t>EM-374</t>
  </si>
  <si>
    <t>EM-375</t>
  </si>
  <si>
    <t>EM-376</t>
  </si>
  <si>
    <t>EM-377</t>
  </si>
  <si>
    <t>EM-378</t>
  </si>
  <si>
    <t>EM-379</t>
  </si>
  <si>
    <t>EM-380</t>
  </si>
  <si>
    <t>EM-381</t>
  </si>
  <si>
    <t>EM-383</t>
  </si>
  <si>
    <t>EM-384</t>
  </si>
  <si>
    <t>EM-385</t>
  </si>
  <si>
    <t>EM-386</t>
  </si>
  <si>
    <t>EM-387</t>
  </si>
  <si>
    <t>EM-388</t>
  </si>
  <si>
    <t>EM-389</t>
  </si>
  <si>
    <t>EM-390</t>
  </si>
  <si>
    <t>EM-392</t>
  </si>
  <si>
    <t>EM-393</t>
  </si>
  <si>
    <t>EM-394</t>
  </si>
  <si>
    <t>EM-395</t>
  </si>
  <si>
    <t>EM-396</t>
  </si>
  <si>
    <t>EM-397</t>
  </si>
  <si>
    <t>EM-398</t>
  </si>
  <si>
    <t>EM-399</t>
  </si>
  <si>
    <t>EM-400</t>
  </si>
  <si>
    <t>EM-401</t>
  </si>
  <si>
    <t>EM-403</t>
  </si>
  <si>
    <t>EM-404</t>
  </si>
  <si>
    <t>EM-405</t>
  </si>
  <si>
    <t>EM-406</t>
  </si>
  <si>
    <t>EM-408</t>
  </si>
  <si>
    <t>EM-409</t>
  </si>
  <si>
    <t>EM-410</t>
  </si>
  <si>
    <t>EM-411</t>
  </si>
  <si>
    <t>EM-412</t>
  </si>
  <si>
    <t>EM-413</t>
  </si>
  <si>
    <t>EM-414</t>
  </si>
  <si>
    <t>EM-415</t>
  </si>
  <si>
    <t>EM-417</t>
  </si>
  <si>
    <t>EM-418</t>
  </si>
  <si>
    <t>EM-419</t>
  </si>
  <si>
    <t>EM-420</t>
  </si>
  <si>
    <t>EM-421</t>
  </si>
  <si>
    <t>EM-422</t>
  </si>
  <si>
    <t>EM-423</t>
  </si>
  <si>
    <t>EM-424</t>
  </si>
  <si>
    <t>EM-426</t>
  </si>
  <si>
    <t>EM-427</t>
  </si>
  <si>
    <t>EM-428</t>
  </si>
  <si>
    <t>EM-430</t>
  </si>
  <si>
    <t>EM-431</t>
  </si>
  <si>
    <t>EM-432</t>
  </si>
  <si>
    <t>EM-433</t>
  </si>
  <si>
    <t>EM-434</t>
  </si>
  <si>
    <t>EM-435</t>
  </si>
  <si>
    <t>EM-436</t>
  </si>
  <si>
    <t>EM-437</t>
  </si>
  <si>
    <t>EM-438</t>
  </si>
  <si>
    <t>EM-439</t>
  </si>
  <si>
    <t>EM-440</t>
  </si>
  <si>
    <t>EM-441</t>
  </si>
  <si>
    <t>EM-442</t>
  </si>
  <si>
    <t>EM-444</t>
  </si>
  <si>
    <t>EM-445</t>
  </si>
  <si>
    <t>EM-446</t>
  </si>
  <si>
    <t>EM-447</t>
  </si>
  <si>
    <t>EM-448</t>
  </si>
  <si>
    <t>EM-449</t>
  </si>
  <si>
    <t>EM-450</t>
  </si>
  <si>
    <t>EM-451</t>
  </si>
  <si>
    <t>EM-453</t>
  </si>
  <si>
    <t>EM-455</t>
  </si>
  <si>
    <t>EM-457</t>
  </si>
  <si>
    <t>EM-459</t>
  </si>
  <si>
    <t>EM-460</t>
  </si>
  <si>
    <t>EM-461</t>
  </si>
  <si>
    <t>EM-462</t>
  </si>
  <si>
    <t>EM-464</t>
  </si>
  <si>
    <t>EM-465</t>
  </si>
  <si>
    <t>EM-466</t>
  </si>
  <si>
    <t>EM-467</t>
  </si>
  <si>
    <t>EM-469</t>
  </si>
  <si>
    <t>EM-470</t>
  </si>
  <si>
    <t>EM-471</t>
  </si>
  <si>
    <t>EM-472</t>
  </si>
  <si>
    <t>EM-473</t>
  </si>
  <si>
    <t>EM-474</t>
  </si>
  <si>
    <t>EM-475</t>
  </si>
  <si>
    <t>EM-476</t>
  </si>
  <si>
    <t>EM-477</t>
  </si>
  <si>
    <t>EM-478</t>
  </si>
  <si>
    <t>EM-479</t>
  </si>
  <si>
    <t>EM-480</t>
  </si>
  <si>
    <t>EM-481</t>
  </si>
  <si>
    <t>EM-482</t>
  </si>
  <si>
    <t>EM-484</t>
  </si>
  <si>
    <t>EM-485</t>
  </si>
  <si>
    <t>EM-486</t>
  </si>
  <si>
    <t>EM-488</t>
  </si>
  <si>
    <t>EM-489</t>
  </si>
  <si>
    <t>EM-490</t>
  </si>
  <si>
    <t>EM-492</t>
  </si>
  <si>
    <t>EM-493</t>
  </si>
  <si>
    <t>EM-494</t>
  </si>
  <si>
    <t>EM-495</t>
  </si>
  <si>
    <t>EM-496</t>
  </si>
  <si>
    <t>EM-498</t>
  </si>
  <si>
    <t>EM-499</t>
  </si>
  <si>
    <t>EM-500</t>
  </si>
  <si>
    <t>EM-501</t>
  </si>
  <si>
    <t>EM-502</t>
  </si>
  <si>
    <t>EM-503</t>
  </si>
  <si>
    <t>EM-504</t>
  </si>
  <si>
    <t>EM-505</t>
  </si>
  <si>
    <t>EM-506</t>
  </si>
  <si>
    <t>EM-507</t>
  </si>
  <si>
    <t>EM-509</t>
  </si>
  <si>
    <t>EM-510</t>
  </si>
  <si>
    <t>EM-511</t>
  </si>
  <si>
    <t>EM-513</t>
  </si>
  <si>
    <t>EM-514</t>
  </si>
  <si>
    <t>EM-515</t>
  </si>
  <si>
    <t>EM-516</t>
  </si>
  <si>
    <t>EM-517</t>
  </si>
  <si>
    <t>EM-518</t>
  </si>
  <si>
    <t>EM-519</t>
  </si>
  <si>
    <t>EM-520</t>
  </si>
  <si>
    <t>EM-521</t>
  </si>
  <si>
    <t>EM-522</t>
  </si>
  <si>
    <t>EM-524</t>
  </si>
  <si>
    <t>EM-525</t>
  </si>
  <si>
    <t>EM-526</t>
  </si>
  <si>
    <t>EM-527</t>
  </si>
  <si>
    <t>EM-528</t>
  </si>
  <si>
    <t>EM-529</t>
  </si>
  <si>
    <t>EM-530</t>
  </si>
  <si>
    <t>EM-532</t>
  </si>
  <si>
    <t>EM-533</t>
  </si>
  <si>
    <t>EM-534</t>
  </si>
  <si>
    <t>EM-535</t>
  </si>
  <si>
    <t>EM-536</t>
  </si>
  <si>
    <t>EM-537</t>
  </si>
  <si>
    <t>EM-538</t>
  </si>
  <si>
    <t>EM-539</t>
  </si>
  <si>
    <t>EM-540</t>
  </si>
  <si>
    <t>EM-541</t>
  </si>
  <si>
    <t>EM-542</t>
  </si>
  <si>
    <t>EM-544</t>
  </si>
  <si>
    <t>EM-545</t>
  </si>
  <si>
    <t>EM-546</t>
  </si>
  <si>
    <t>EM-547</t>
  </si>
  <si>
    <t>EM-548</t>
  </si>
  <si>
    <t>EM-549</t>
  </si>
  <si>
    <t>EM-550</t>
  </si>
  <si>
    <t>EM-551</t>
  </si>
  <si>
    <t>EM-553</t>
  </si>
  <si>
    <t>EM-554</t>
  </si>
  <si>
    <t>EM-555</t>
  </si>
  <si>
    <t>EM-556</t>
  </si>
  <si>
    <t>EM-557</t>
  </si>
  <si>
    <t>EM-558</t>
  </si>
  <si>
    <t>EM-559</t>
  </si>
  <si>
    <t>EM-561</t>
  </si>
  <si>
    <t>EM-562</t>
  </si>
  <si>
    <t>EM-563</t>
  </si>
  <si>
    <t>EM-564</t>
  </si>
  <si>
    <t>EM-565</t>
  </si>
  <si>
    <t>EM-566</t>
  </si>
  <si>
    <t>EM-567</t>
  </si>
  <si>
    <t>EM-569</t>
  </si>
  <si>
    <t>EM-571</t>
  </si>
  <si>
    <t>EM-572</t>
  </si>
  <si>
    <t>EM-573</t>
  </si>
  <si>
    <t>EM-575</t>
  </si>
  <si>
    <t>Filas excluidas · 87 de 576</t>
  </si>
  <si>
    <t>Ninguna fila se descartó en silencio. "Fila en el archivo original" permite volver al Excel de origen y verificar cada caso.</t>
  </si>
  <si>
    <t>Fila en el archivo original</t>
  </si>
  <si>
    <t>Motivo de exclusión</t>
  </si>
  <si>
    <t>EM-576</t>
  </si>
  <si>
    <t>EM-491</t>
  </si>
  <si>
    <t>EM-158</t>
  </si>
  <si>
    <t>EM-327</t>
  </si>
  <si>
    <t>2022-08-14</t>
  </si>
  <si>
    <t>EM-313</t>
  </si>
  <si>
    <t>1990-10-13</t>
  </si>
  <si>
    <t>EM-307</t>
  </si>
  <si>
    <t>2026-10-18</t>
  </si>
  <si>
    <t>EM-160</t>
  </si>
  <si>
    <t>2026-10-29</t>
  </si>
  <si>
    <t>EM-134</t>
  </si>
  <si>
    <t>2026-09-08</t>
  </si>
  <si>
    <t>EM-110</t>
  </si>
  <si>
    <t>2026-09-14</t>
  </si>
  <si>
    <t>EM-102</t>
  </si>
  <si>
    <t>2026-08-20</t>
  </si>
  <si>
    <t>EM-252</t>
  </si>
  <si>
    <t>EM-251</t>
  </si>
  <si>
    <t>EM-006</t>
  </si>
  <si>
    <t>EM-030</t>
  </si>
  <si>
    <t>2025-08-28</t>
  </si>
  <si>
    <t>EM-051</t>
  </si>
  <si>
    <t>2025-08-11</t>
  </si>
  <si>
    <t>EM-443</t>
  </si>
  <si>
    <t>EM-429</t>
  </si>
  <si>
    <t>EM-425</t>
  </si>
  <si>
    <t>EM-416</t>
  </si>
  <si>
    <t>EM-407</t>
  </si>
  <si>
    <t>EM-402</t>
  </si>
  <si>
    <t>EM-104</t>
  </si>
  <si>
    <t>EM-382</t>
  </si>
  <si>
    <t>EM-370</t>
  </si>
  <si>
    <t>EM-367</t>
  </si>
  <si>
    <t>EM-363</t>
  </si>
  <si>
    <t>EM-356</t>
  </si>
  <si>
    <t>EM-349</t>
  </si>
  <si>
    <t>EM-344</t>
  </si>
  <si>
    <t>EM-452</t>
  </si>
  <si>
    <t>EM-391</t>
  </si>
  <si>
    <t>EM-454</t>
  </si>
  <si>
    <t>EM-458</t>
  </si>
  <si>
    <t>EM-570</t>
  </si>
  <si>
    <t>EM-568</t>
  </si>
  <si>
    <t>EM-560</t>
  </si>
  <si>
    <t>EM-552</t>
  </si>
  <si>
    <t>EM-543</t>
  </si>
  <si>
    <t>EM-531</t>
  </si>
  <si>
    <t>EM-523</t>
  </si>
  <si>
    <t>EM-512</t>
  </si>
  <si>
    <t>EM-508</t>
  </si>
  <si>
    <t>EM-497</t>
  </si>
  <si>
    <t>EM-026</t>
  </si>
  <si>
    <t>2025-09-20</t>
  </si>
  <si>
    <t>EM-487</t>
  </si>
  <si>
    <t>EM-483</t>
  </si>
  <si>
    <t>EM-468</t>
  </si>
  <si>
    <t>EM-463</t>
  </si>
  <si>
    <t>EM-456</t>
  </si>
  <si>
    <t>EM-340</t>
  </si>
  <si>
    <t>EM-318</t>
  </si>
  <si>
    <t>EM-100</t>
  </si>
  <si>
    <t>EM-193</t>
  </si>
  <si>
    <t>EM-171</t>
  </si>
  <si>
    <t>EM-055</t>
  </si>
  <si>
    <t>2025-10-23</t>
  </si>
  <si>
    <t>EM-077</t>
  </si>
  <si>
    <t>2025-09-14</t>
  </si>
  <si>
    <t>EM-135</t>
  </si>
  <si>
    <t>EM-087</t>
  </si>
  <si>
    <t>EM-200</t>
  </si>
  <si>
    <t>EM-132</t>
  </si>
  <si>
    <t>EM-120</t>
  </si>
  <si>
    <t>EM-118</t>
  </si>
  <si>
    <t>EM-117</t>
  </si>
  <si>
    <t>EM-116</t>
  </si>
  <si>
    <t>2025-09-21</t>
  </si>
  <si>
    <t>EM-092</t>
  </si>
  <si>
    <t>EM-109</t>
  </si>
  <si>
    <t>EM-131</t>
  </si>
  <si>
    <t>EM-204</t>
  </si>
  <si>
    <t>EM-205</t>
  </si>
  <si>
    <t>EM-208</t>
  </si>
  <si>
    <t>EM-312</t>
  </si>
  <si>
    <t>EM-045</t>
  </si>
  <si>
    <t>EM-295</t>
  </si>
  <si>
    <t>EM-276</t>
  </si>
  <si>
    <t>EM-574</t>
  </si>
  <si>
    <t>EM-267</t>
  </si>
  <si>
    <t>EM-262</t>
  </si>
  <si>
    <t>EM-256</t>
  </si>
  <si>
    <t>EM-253</t>
  </si>
  <si>
    <t>EM-046</t>
  </si>
  <si>
    <t>2025-10-21</t>
  </si>
  <si>
    <t>EM-246</t>
  </si>
  <si>
    <t>EM-244</t>
  </si>
  <si>
    <t>EM-243</t>
  </si>
  <si>
    <t>EM-222</t>
  </si>
  <si>
    <t>EM-209</t>
  </si>
  <si>
    <t>EM-029</t>
  </si>
  <si>
    <t>2025-09-15</t>
  </si>
  <si>
    <t>EM-273</t>
  </si>
  <si>
    <t>Tasa de apertura (%)</t>
  </si>
  <si>
    <t>Dimensión</t>
  </si>
  <si>
    <t>% de la variación que explica</t>
  </si>
  <si>
    <t>Asunto + preheader</t>
  </si>
  <si>
    <t>¡Tu lealtad tiene recompensa! Descúbrela, sorpresas para t</t>
  </si>
  <si>
    <t>Hora de envío</t>
  </si>
  <si>
    <t>¡El futuro de tu piel ha llegado! Nuevo Producto revolucio</t>
  </si>
  <si>
    <t>¡Aprovecha los descuentos! Temporada de Fiestas, beauty de</t>
  </si>
  <si>
    <t>Actualización de L'Oréal: ¿Qué hay de nuevo en el mundo be</t>
  </si>
  <si>
    <t>Tabla de asuntos y cálculos auxiliares para las gráficas. Todo es fórmula sobre DATOS LIMPIOS.</t>
  </si>
  <si>
    <t>Beneficio concreto</t>
  </si>
  <si>
    <t>Cumple Mailchimp</t>
  </si>
  <si>
    <t>Campañas sin Agosto</t>
  </si>
  <si>
    <t>Apertura sin Agosto</t>
  </si>
  <si>
    <t>Entra (sin Agosto)</t>
  </si>
  <si>
    <t>Puesto arriba</t>
  </si>
  <si>
    <t>Puesto abajo</t>
  </si>
  <si>
    <t>Grupo, prueba en Agosto</t>
  </si>
  <si>
    <t>Suma apertura en Agosto</t>
  </si>
  <si>
    <t>Campañas en Agosto</t>
  </si>
  <si>
    <t>Campañas sin Septiembre</t>
  </si>
  <si>
    <t>Apertura sin Septiembre</t>
  </si>
  <si>
    <t>Entra (sin Septiembre)</t>
  </si>
  <si>
    <t>Grupo, prueba en Septiembre</t>
  </si>
  <si>
    <t>Suma apertura en Septiembre</t>
  </si>
  <si>
    <t>Campañas en Septiembre</t>
  </si>
  <si>
    <t>Campañas sin Octubre</t>
  </si>
  <si>
    <t>Apertura sin Octubre</t>
  </si>
  <si>
    <t>Entra (sin Octubre)</t>
  </si>
  <si>
    <t>Grupo, prueba en Octubre</t>
  </si>
  <si>
    <t>Suma apertura en Octubre</t>
  </si>
  <si>
    <t>Campañas en Octubre</t>
  </si>
  <si>
    <t>Asuntos usados 8+ veces (para la dispersión apertura vs CTR)</t>
  </si>
  <si>
    <t>Asuntos de Flash Sale, de mayor a menor apertura</t>
  </si>
  <si>
    <t>Calendario día por día (para H1)</t>
  </si>
  <si>
    <t xml:space="preserve">  Email marketing L'Oréal  ·  agosto a octubre de 2025</t>
  </si>
  <si>
    <t xml:space="preserve">  489 campañas usables de 576.  Todo lo que se ve son fórmulas que leen DATOS LIMPIOS: si se corrige un dato crudo, el tablero se mueve con él.</t>
  </si>
  <si>
    <t>CAMPAÑAS USABLES</t>
  </si>
  <si>
    <t>APERTURA PONDERADA</t>
  </si>
  <si>
    <t>LO EXPLICA EL ASUNTO</t>
  </si>
  <si>
    <t>COSTO DE ABRIR CON ETIQUETA</t>
  </si>
  <si>
    <t>…Y EN CLICS</t>
  </si>
  <si>
    <t>INGRESO POR CAMPAÑA CORREGIDA</t>
  </si>
  <si>
    <t>de 576; 87 con datos imposibles</t>
  </si>
  <si>
    <t>sobre 120,1 M de envíos</t>
  </si>
  <si>
    <t>el calendario no llega al 2 %</t>
  </si>
  <si>
    <t>de apertura · 43 asuntos contra 23</t>
  </si>
  <si>
    <t>de CTR · el intervalo no toca el cero</t>
  </si>
  <si>
    <t>COP · rango +7,4 a +24,7 M</t>
  </si>
  <si>
    <t>DÓNDE ESTÁ LA PALANCA</t>
  </si>
  <si>
    <t>LO QUE NO MUEVE EL RESULTADO</t>
  </si>
  <si>
    <t>QUÉ VALE CORREGIRLO</t>
  </si>
  <si>
    <t>0,212</t>
  </si>
  <si>
    <t>Aperturas ganadas por campaña</t>
  </si>
  <si>
    <t>medido; el intervalo nunca toca el cero</t>
  </si>
  <si>
    <t>La hora de envío</t>
  </si>
  <si>
    <t>Clics ganados por campaña</t>
  </si>
  <si>
    <t>medido; el intervalo tampoco lo toca</t>
  </si>
  <si>
    <t>Ingreso por campaña corregida</t>
  </si>
  <si>
    <t>conversión y ticket son supuestos de marca</t>
  </si>
  <si>
    <t>Al año, al ritmo observado</t>
  </si>
  <si>
    <t>27,8 % de las campañas abre con etiqueta</t>
  </si>
  <si>
    <t>El momento del mes (quincena)</t>
  </si>
  <si>
    <t>0,024 · ver nota</t>
  </si>
  <si>
    <t>Ninguna diferencia supera lo que mueve el azar (Kruskal-Wallis, p &gt; 0,05). Los cinco factores juntos no explican el 3 % de la apertura. La quincena da p = 0,024 en CTR, pero se corrieron 16 pruebas (el umbral corregido es 0,003), se cae al mover la definición un día, y va al revés: el CTR es MENOR en quincena. Detalle en HALLAZGOS.</t>
  </si>
  <si>
    <t>Las aperturas y los clics están MEDIDOS: las dos brechas salen de comparar 353 campañas contra 136 y sus intervalos de confianza no tocan el cero. Lo que es supuesto es la conversión del clic a compra (2 %) y el ticket (180.000 COP): esas dos celdas viven en PROYECCIÓN COP y marca debe reemplazarlas por las reales.</t>
  </si>
  <si>
    <t>LA DECISIÓN DE MAÑANA</t>
  </si>
  <si>
    <t>Asuntos para RETIRAR, ya identificados</t>
  </si>
  <si>
    <t>Asunto propuesto para Hot Sale</t>
  </si>
  <si>
    <t>Hasta 40% en tus favoritos - Hot Sale L’Oréal Paris</t>
  </si>
  <si>
    <t>Asuntos para REPETIR sin miedo</t>
  </si>
  <si>
    <t>Y el A/B que lo confirma</t>
  </si>
  <si>
    <t>10 % de la base por versión · la cifra al principio contra la cifra al final</t>
  </si>
  <si>
    <t>EL LÍMITE, DICHO ANTES DE QUE LO PREGUNTEN.  Lo que está medido es que abrir con una etiqueta cuesta apertura y clics: 43 asuntos contra 23, los tres meses, y la brecha resiste quitar cualquiera de los 66 asuntos.  Lo que NO está medido es que poner una cifra en el asunto suba la apertura por sí sola: en todo el archivo hay un único asunto con cifra, así que no se puede separar «lleva número» de «es esa frase».  Por eso la cifra va al A/B y no al plan.  Hoja PRUEBA DE ROBUSTEZ.</t>
  </si>
  <si>
    <t>Dónde seguir:  PRUEBA DE ROBUSTEZ para las pruebas duras  ·  HALLAZGOS y H1 a H4 para cada hipótesis  ·  DESCUENTO ÓPTIMO y PROYECCIÓN COP para la plata  ·  BIBLIOTECA ASUNTOS para el asunto del próximo envío  ·  FÓRMULAS Y VERIFICACIÓN para recalcular cada cifra.</t>
  </si>
  <si>
    <t>DATOS QUE ALIMENTAN LOS GRÁFICOS · fuera del área de impresión</t>
  </si>
  <si>
    <t>Estilo de apertura</t>
  </si>
  <si>
    <t>Dice qué hay dentro</t>
  </si>
  <si>
    <t>Abre con etiqueta</t>
  </si>
  <si>
    <t>% explicado</t>
  </si>
  <si>
    <t>El día</t>
  </si>
  <si>
    <t xml:space="preserve">  Prueba de robustez  ·  qué aguanta y qué no</t>
  </si>
  <si>
    <t xml:space="preserve">  Un hallazgo que solo existe en el promedio general no sirve para decidir. Aquí se le hacen cuatro pruebas distintas y se dice dónde se rompe.</t>
  </si>
  <si>
    <t>EL HALLAZGO. Un asunto que abre con una etiqueta genérica («Actualización de…», «Presentamos:», «Oportunidades de…») dice qué TIPO de correo es, no qué hay adentro. Los que dicen qué hay adentro abren 13,3 puntos más. La lista de 15 etiquetas está escrita en la fórmula de la columna AH de DATOS LIMPIOS y se puede auditar palabra por palabra.</t>
  </si>
  <si>
    <t>A · LA MEDICIÓN</t>
  </si>
  <si>
    <t>Brecha o total</t>
  </si>
  <si>
    <t>Unidad</t>
  </si>
  <si>
    <t>campañas en total</t>
  </si>
  <si>
    <t>asuntos en total</t>
  </si>
  <si>
    <t>Apertura media</t>
  </si>
  <si>
    <t>puntos de brecha</t>
  </si>
  <si>
    <t>CTR medio</t>
  </si>
  <si>
    <t>B · ¿PUEDE SER AZAR?  T DE WELCH, CALCULADA AQUÍ MISMO</t>
  </si>
  <si>
    <t>Paso del cálculo</t>
  </si>
  <si>
    <t>Varianza · dice qué hay dentro</t>
  </si>
  <si>
    <t>SUMPRODUCT con máscara 0/1, dividido por n−1</t>
  </si>
  <si>
    <t>Varianza · abre con etiqueta</t>
  </si>
  <si>
    <t>Error estándar de la brecha</t>
  </si>
  <si>
    <t>√(v₁/n₁ + v₂/n₂), sin suponer varianzas iguales</t>
  </si>
  <si>
    <t>t</t>
  </si>
  <si>
    <t>la brecha dividida por su error estándar</t>
  </si>
  <si>
    <t>Grados de libertad (Welch-Satterthwaite)</t>
  </si>
  <si>
    <t>p a dos colas</t>
  </si>
  <si>
    <t>por debajo de 0,05 el hallazgo no es azar</t>
  </si>
  <si>
    <t>Las dos p salen muy por debajo de 0,001. Con 353 campañas contra 136, una brecha de este tamaño no la produce el azar. Y a diferencia de lo que pasaba con la cifra en el asunto, aquí el CTR también pasa: la plata deja de depender de un supuesto.</t>
  </si>
  <si>
    <t>C · ¿SE SOSTIENE MES A MES, O VIVE EN EL PROMEDIO?</t>
  </si>
  <si>
    <t>Brecha</t>
  </si>
  <si>
    <t>Campañas del mes</t>
  </si>
  <si>
    <t>Tres meses independientes, brecha positiva en los tres. El mes más flojo (agosto) sigue dando casi 10 puntos. No es un mes raro arrastrando el promedio.</t>
  </si>
  <si>
    <t>D · PRUEBAS QUE NO CABEN EN UNA CELDA</t>
  </si>
  <si>
    <t>Prueba</t>
  </si>
  <si>
    <t>Qué la descartaría</t>
  </si>
  <si>
    <t>Brecha medida</t>
  </si>
  <si>
    <t>+13,26 pts</t>
  </si>
  <si>
    <t>+1,90 pts</t>
  </si>
  <si>
    <t>Intervalo de confianza al 95 % · bootstrap de 20.000 remuestreos</t>
  </si>
  <si>
    <t>+11,25 a +15,22</t>
  </si>
  <si>
    <t>+0,88 a +2,90</t>
  </si>
  <si>
    <t>Que el intervalo tocara el cero. No lo toca.</t>
  </si>
  <si>
    <t>Probabilidad de que la brecha sea positiva</t>
  </si>
  <si>
    <t>100,0 %</t>
  </si>
  <si>
    <t>Que bajara del 95 %.</t>
  </si>
  <si>
    <t>Deja uno fuera: la brecha quitando cada uno de los 66 asuntos, uno por uno</t>
  </si>
  <si>
    <t>nunca baja de +12,70</t>
  </si>
  <si>
    <t>nunca baja de +1,69</t>
  </si>
  <si>
    <t>Que un solo asunto sostuviera todo. Ninguno lo hace.</t>
  </si>
  <si>
    <t>Quitando el único asunto que lleva cifra</t>
  </si>
  <si>
    <t>+12,70 pts</t>
  </si>
  <si>
    <t>+1,88 pts</t>
  </si>
  <si>
    <t>Que este hallazgo fuera el de la cifra disfrazado. No lo es.</t>
  </si>
  <si>
    <t>Mann-Whitney contando cada asunto una vez, no cada campaña</t>
  </si>
  <si>
    <t>p &lt; 0,00001</t>
  </si>
  <si>
    <t>Que la brecha viniera de repetir mucho unos pocos asuntos.</t>
  </si>
  <si>
    <t>Estas seis filas se calculan en fuente/robustez-etiqueta.py con semilla 20251022, para que den lo mismo cada vez que se corran. Las secciones A, B y C de esta hoja se recalculan solas dentro del Excel, y ese mismo script las vuelve a calcular aparte: las dos vías dan la misma cifra.</t>
  </si>
  <si>
    <t>E · DÓNDE NO LLEGA EL DATO</t>
  </si>
  <si>
    <t>EL ASUNTO CON CIFRA.  En las tablas por estilo, «Con cifra concreta» abre 41,6 % contra 29,2 % del promedio, y es tentador titular con eso. No se puede, por una razón que hay que decir antes de que la pregunten: son 21 campañas pero UN SOLO asunto, el único del archivo que lleva un número. Con un solo caso no se puede separar «lleva cifra» de «es esa frase», que además dice «Flash Sale», «Ahorra YA» y «tus favoritos». Y el segundo mejor asunto, sin ninguna cifra, abre 40,7 %: nueve décimas de punto menos.</t>
  </si>
  <si>
    <t>LO MISMO AL REVÉS.  «Pregunta abierta» es el estilo que peor abre (15,9 %) y también es un solo asunto. Tampoco se reporta como hallazgo.</t>
  </si>
  <si>
    <t>QUÉ SE HACE CON ESO.  La cifra pasa de recomendación a hipótesis, y la hipótesis se resuelve con el A/B que ya está propuesto: la misma campaña, 10 % de la base por versión, una con la cifra al principio y otra con la cifra al final. Cuesta cero y en una campaña queda medido. El plan que se ejecuta sin esperar nada es el otro: ningún asunto vuelve a abrir con etiqueta.</t>
  </si>
  <si>
    <t xml:space="preserve">  Profundidad del descuento  ·  dónde deja más margen</t>
  </si>
  <si>
    <t xml:space="preserve">  Modelo económico, no medición: el archivo no trae profundidad de descuento ni unidades. Las celdas rosadas son supuestos; cámbielos y la curva se recalcula sola.</t>
  </si>
  <si>
    <t>Cada punto de descuento trae más unidades pero deja menos margen en cada una. Multiplicando las dos cosas sale una campana: sube, llega a un máximo y cae. Ese máximo es la profundidad que deja más plata. Descontar menos deja volumen sobre la mesa; descontar más regala margen.</t>
  </si>
  <si>
    <t>LOS DOS SUPUESTOS</t>
  </si>
  <si>
    <t>Margen bruto a precio lleno (%)</t>
  </si>
  <si>
    <t>Referencia de gran cosmética. Reemplazar por el real.</t>
  </si>
  <si>
    <t>Elasticidad precio de la demanda</t>
  </si>
  <si>
    <t>Cuántas veces crece el volumen al bajar el precio. 2 es prudente.</t>
  </si>
  <si>
    <t>EL RESULTADO</t>
  </si>
  <si>
    <t>Profundidad que maximiza la contribución</t>
  </si>
  <si>
    <t>(e × m − 1) ÷ (e − 1)</t>
  </si>
  <si>
    <t>Contribución en ese punto (sin descuento = 100)</t>
  </si>
  <si>
    <t>Contribución con el 40 % del Hot Sale</t>
  </si>
  <si>
    <t>% del margen posible que captura el 40 %</t>
  </si>
  <si>
    <t>¿El 40 % destruye contribución?</t>
  </si>
  <si>
    <t>LA CURVA, PUNTO POR PUNTO</t>
  </si>
  <si>
    <t>Descuento</t>
  </si>
  <si>
    <t>Unidades</t>
  </si>
  <si>
    <t>Margen/unidad</t>
  </si>
  <si>
    <t>Contribución</t>
  </si>
  <si>
    <t>CÓMO USARLO. El modelo no dice «descuente tanto»: dice qué habría que creer para que una profundidad sea la correcta. Con 74 % de margen, el 40 % del Hot Sale queda por DEBAJO del óptimo para cualquier elasticidad razonable, así que no es temerario. El riesgo no está en la profundidad sino en a qué productos se aplica: «hasta 40 % en productos seleccionados» es el mecanismo que protege el margen mezclado.</t>
  </si>
  <si>
    <t xml:space="preserve">  Biblioteca de asuntos  ·  cuál repetir y cuál retirar</t>
  </si>
  <si>
    <t xml:space="preserve">  El veredicto no está escrito: es una fórmula que compara cada asunto con el promedio general y con cuántas veces se ha usado. Si entran campañas nuevas, cambia solo.</t>
  </si>
  <si>
    <t>REPETIR: abre por encima del promedio y se ha usado 8 veces o más, así que el dato es fiable.     RETIRAR: abre por debajo del promedio con 8 usos o más.     VIGILAR: menos de 8 usos, todavía no hay con qué decidir.</t>
  </si>
  <si>
    <t>Promedio general de apertura</t>
  </si>
  <si>
    <t>Es la vara contra la que se compara cada asunto.</t>
  </si>
  <si>
    <t>Usos</t>
  </si>
  <si>
    <t>Contra el promedio</t>
  </si>
  <si>
    <t>VEREDICTO</t>
  </si>
  <si>
    <t>¿Abre con etiqueta?</t>
  </si>
  <si>
    <t>RESUMEN</t>
  </si>
  <si>
    <t>Asuntos para repetir</t>
  </si>
  <si>
    <t>Asuntos para retirar</t>
  </si>
  <si>
    <t>De los que hay que retirar, cuántos abren con etiqueta</t>
  </si>
  <si>
    <t>CÓMO SE USA. Antes de cada envío se mira esta hoja: si el asunto que se piensa usar está en RETIRAR, se cambia. Si está en REPETIR, se usa sin miedo, porque los asuntos ganadores no se desgastan dentro de una ventana de tres meses. Lo que esté en VIGILAR necesita más envíos antes de que la cifra signifique algo. La última columna dice de un vistazo cuáles de los que hay que retirar caen por abrir con etiqueta: ahí está la corrección más fácil, porque es reescribir el arranque de la frase.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</si>
</sst>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3">
    <numFmt numFmtId="164" formatCode="0.0\%"/>
    <numFmt numFmtId="165" formatCode="0.0\x"/>
    <numFmt numFmtId="166" formatCode="0.0000"/>
    <numFmt numFmtId="167" formatCode="\+0.000;\-0.000"/>
    <numFmt numFmtId="168" formatCode="0.000"/>
    <numFmt numFmtId="169" formatCode="0.0"/>
    <numFmt numFmtId="170" formatCode="\+0.0;\-0.0"/>
    <numFmt numFmtId="171" formatCode="\$#,##0"/>
    <numFmt numFmtId="172" formatCode="\+#,##0"/>
    <numFmt numFmtId="173" formatCode="&quot;+$&quot;#,##0;&quot;-$&quot;#,##0"/>
    <numFmt numFmtId="174" formatCode="0.00\%"/>
    <numFmt numFmtId="175" formatCode="\+0.00;\-0.00"/>
    <numFmt numFmtId="176" formatCode="0.00\x"/>
    <numFmt numFmtId="177" formatCode="yyyy\-mm\-dd"/>
    <numFmt numFmtId="178" formatCode="d\ mmm"/>
    <numFmt numFmtId="179" formatCode="0.0&quot;%&quot;"/>
    <numFmt numFmtId="180" formatCode="0&quot;%&quot;"/>
    <numFmt numFmtId="181" formatCode="0.0&quot; pts&quot;"/>
    <numFmt numFmtId="182" formatCode="&quot;+&quot;0.0&quot; M&quot;"/>
    <numFmt numFmtId="183" formatCode="0.00&quot;%&quot;"/>
    <numFmt numFmtId="184" formatCode="&quot;+&quot;0.0&quot; M COP&quot;"/>
    <numFmt numFmtId="185" formatCode="&quot;+&quot;0&quot; M COP&quot;"/>
    <numFmt numFmtId="186" formatCode="\+0.0;&quot;−&quot;0.0"/>
  </numFmts>
  <fonts count="70" x14ac:knownFonts="1">
    <font>
      <sz val="11"/>
      <color theme="1"/>
      <name val="Calibri"/>
      <family val="2"/>
      <charset val="1"/>
    </font>
    <font>
      <b/>
      <sz val="18"/>
      <color rgb="FFFFFFFF"/>
      <name val="Calibri"/>
      <family val="2"/>
      <charset val="1"/>
    </font>
    <font>
      <sz val="10"/>
      <color rgb="FF5A5A5A"/>
      <name val="Calibri"/>
      <family val="2"/>
      <charset val="1"/>
    </font>
    <font>
      <b/>
      <sz val="13"/>
      <color rgb="FF901C1A"/>
      <name val="Calibri"/>
      <family val="2"/>
      <charset val="1"/>
    </font>
    <font>
      <sz val="11"/>
      <color rgb="FF000000"/>
      <name val="Calibri"/>
      <family val="2"/>
      <charset val="1"/>
    </font>
    <font>
      <i/>
      <sz val="10"/>
      <color rgb="FF5A5A5A"/>
      <name val="Calibri"/>
      <family val="2"/>
      <charset val="1"/>
    </font>
    <font>
      <b/>
      <sz val="10"/>
      <color rgb="FFFFFFFF"/>
      <name val="Calibri"/>
      <family val="2"/>
      <charset val="1"/>
    </font>
    <font>
      <b/>
      <sz val="10"/>
      <color rgb="FF000000"/>
      <name val="Calibri"/>
      <family val="2"/>
      <charset val="1"/>
    </font>
    <font>
      <sz val="10"/>
      <color rgb="FF000000"/>
      <name val="Calibri"/>
      <family val="2"/>
      <charset val="1"/>
    </font>
    <font>
      <sz val="9.5"/>
      <color rgb="FF5A5A5A"/>
      <name val="Calibri"/>
      <family val="2"/>
      <charset val="1"/>
    </font>
    <font>
      <b/>
      <sz val="12"/>
      <color rgb="FF901C1A"/>
      <name val="Calibri"/>
      <family val="2"/>
      <charset val="1"/>
    </font>
    <font>
      <b/>
      <sz val="9"/>
      <color rgb="FF5A5A5A"/>
      <name val="Calibri"/>
      <family val="2"/>
      <charset val="1"/>
    </font>
    <font>
      <b/>
      <sz val="22"/>
      <color rgb="FF000000"/>
      <name val="Calibri"/>
      <family val="2"/>
      <charset val="1"/>
    </font>
    <font>
      <sz val="9"/>
      <color rgb="FF5A5A5A"/>
      <name val="Calibri"/>
      <family val="2"/>
      <charset val="1"/>
    </font>
    <font>
      <sz val="10"/>
      <name val="Calibri"/>
      <family val="2"/>
      <charset val="1"/>
    </font>
    <font>
      <b/>
      <sz val="10"/>
      <color rgb="FF8C8C8C"/>
      <name val="Calibri"/>
      <family val="2"/>
      <charset val="1"/>
    </font>
    <font>
      <sz val="10"/>
      <color rgb="FF641312"/>
      <name val="Calibri"/>
      <family val="2"/>
      <charset val="1"/>
    </font>
    <font>
      <b/>
      <sz val="10"/>
      <color rgb="FF901C1A"/>
      <name val="Calibri"/>
      <family val="2"/>
      <charset val="1"/>
    </font>
    <font>
      <b/>
      <sz val="10"/>
      <color rgb="FF5A5A5A"/>
      <name val="Calibri"/>
      <family val="2"/>
      <charset val="1"/>
    </font>
    <font>
      <b/>
      <sz val="13"/>
      <color rgb="FF641312"/>
      <name val="Calibri"/>
      <family val="2"/>
      <charset val="1"/>
    </font>
    <font>
      <sz val="10.5"/>
      <color rgb="FF000000"/>
      <name val="Calibri"/>
      <family val="2"/>
      <charset val="1"/>
    </font>
    <font>
      <b/>
      <sz val="10"/>
      <color rgb="FF641312"/>
      <name val="Calibri"/>
      <family val="2"/>
    </font>
    <font>
      <b/>
      <sz val="10.5"/>
      <color rgb="FF8C8C8C"/>
      <name val="Calibri"/>
      <family val="2"/>
      <charset val="1"/>
    </font>
    <font>
      <i/>
      <sz val="9"/>
      <color rgb="FF5A5A5A"/>
      <name val="Calibri"/>
      <family val="2"/>
      <charset val="1"/>
    </font>
    <font>
      <b/>
      <sz val="10.5"/>
      <color rgb="FF901C1A"/>
      <name val="Calibri"/>
      <family val="2"/>
      <charset val="1"/>
    </font>
    <font>
      <b/>
      <sz val="10.5"/>
      <color rgb="FF000000"/>
      <name val="Calibri"/>
      <family val="2"/>
      <charset val="1"/>
    </font>
    <font>
      <b/>
      <sz val="11"/>
      <color rgb="FF000000"/>
      <name val="Calibri"/>
      <family val="2"/>
      <charset val="1"/>
    </font>
    <font>
      <sz val="10"/>
      <color rgb="FF901C1A"/>
      <name val="Calibri"/>
      <family val="2"/>
      <charset val="1"/>
    </font>
    <font>
      <b/>
      <sz val="14"/>
      <color rgb="FF000000"/>
      <name val="Calibri"/>
      <family val="2"/>
      <charset val="1"/>
    </font>
    <font>
      <sz val="8"/>
      <color rgb="FF5A5A5A"/>
      <name val="Calibri"/>
      <family val="2"/>
      <charset val="1"/>
    </font>
    <font>
      <b/>
      <sz val="11"/>
      <name val="Calibri"/>
      <family val="2"/>
      <charset val="1"/>
    </font>
    <font>
      <sz val="11"/>
      <color theme="1"/>
      <name val="Calibri"/>
      <family val="2"/>
      <scheme val="minor"/>
    </font>
    <font>
      <b/>
      <sz val="16"/>
      <color rgb="FFFFFFFF"/>
      <name val="Futura"/>
      <family val="2"/>
    </font>
    <font>
      <sz val="8.5"/>
      <color rgb="FFBBBBBB"/>
      <name val="Calibri"/>
      <family val="2"/>
    </font>
    <font>
      <b/>
      <sz val="8"/>
      <color rgb="FF901C1A"/>
      <name val="Calibri"/>
      <family val="2"/>
    </font>
    <font>
      <b/>
      <sz val="19"/>
      <color rgb="FF111111"/>
      <name val="Futura"/>
      <family val="2"/>
    </font>
    <font>
      <sz val="8"/>
      <color rgb="FF8A8A8A"/>
      <name val="Calibri"/>
      <family val="2"/>
    </font>
    <font>
      <b/>
      <sz val="19"/>
      <color rgb="FF901C1A"/>
      <name val="Futura"/>
      <family val="2"/>
    </font>
    <font>
      <b/>
      <sz val="19"/>
      <color rgb="FF1E6B3A"/>
      <name val="Futura"/>
      <family val="2"/>
    </font>
    <font>
      <b/>
      <sz val="8.5"/>
      <color rgb="FF901C1A"/>
      <name val="Calibri"/>
      <family val="2"/>
    </font>
    <font>
      <b/>
      <sz val="8.5"/>
      <color rgb="FFFFFFFF"/>
      <name val="Calibri"/>
      <family val="2"/>
    </font>
    <font>
      <sz val="9"/>
      <color rgb="FF111111"/>
      <name val="Calibri"/>
      <family val="2"/>
    </font>
    <font>
      <sz val="9"/>
      <color rgb="FF5A5A5A"/>
      <name val="Calibri"/>
      <family val="2"/>
    </font>
    <font>
      <sz val="9"/>
      <color rgb="FF8A8A8A"/>
      <name val="Calibri"/>
      <family val="2"/>
    </font>
    <font>
      <sz val="8"/>
      <color rgb="FF5A5A5A"/>
      <name val="Calibri"/>
      <family val="2"/>
    </font>
    <font>
      <b/>
      <sz val="11"/>
      <color rgb="FF111111"/>
      <name val="Futura"/>
      <family val="2"/>
    </font>
    <font>
      <b/>
      <sz val="11"/>
      <color rgb="FF1E6B3A"/>
      <name val="Futura"/>
      <family val="2"/>
    </font>
    <font>
      <b/>
      <sz val="9"/>
      <color rgb="FF111111"/>
      <name val="Calibri"/>
      <family val="2"/>
    </font>
    <font>
      <b/>
      <sz val="13"/>
      <color rgb="FF901C1A"/>
      <name val="Futura"/>
      <family val="2"/>
    </font>
    <font>
      <b/>
      <sz val="13"/>
      <color rgb="FF1E6B3A"/>
      <name val="Futura"/>
      <family val="2"/>
    </font>
    <font>
      <b/>
      <sz val="10"/>
      <color rgb="FF901C1A"/>
      <name val="Calibri"/>
      <family val="2"/>
    </font>
    <font>
      <b/>
      <sz val="8.5"/>
      <color rgb="FF641312"/>
      <name val="Calibri"/>
      <family val="2"/>
    </font>
    <font>
      <b/>
      <sz val="8.5"/>
      <color rgb="FF5A5A5A"/>
      <name val="Calibri"/>
      <family val="2"/>
    </font>
    <font>
      <b/>
      <sz val="8"/>
      <color rgb="FF8A8A8A"/>
      <name val="Calibri"/>
      <family val="2"/>
    </font>
    <font>
      <b/>
      <sz val="8"/>
      <color rgb="FF111111"/>
      <name val="Calibri"/>
      <family val="2"/>
    </font>
    <font>
      <sz val="8"/>
      <color rgb="FF111111"/>
      <name val="Calibri"/>
      <family val="2"/>
    </font>
    <font>
      <b/>
      <sz val="9"/>
      <color rgb="FFFFFFFF"/>
      <name val="Calibri"/>
      <family val="2"/>
    </font>
    <font>
      <b/>
      <sz val="10"/>
      <color rgb="FF111111"/>
      <name val="Calibri"/>
      <family val="2"/>
    </font>
    <font>
      <sz val="10"/>
      <color rgb="FF111111"/>
      <name val="Calibri"/>
      <family val="2"/>
    </font>
    <font>
      <sz val="8.5"/>
      <color rgb="FF8A8A8A"/>
      <name val="Calibri"/>
      <family val="2"/>
    </font>
    <font>
      <sz val="8.5"/>
      <color rgb="FF5A5A5A"/>
      <name val="Calibri"/>
      <family val="2"/>
    </font>
    <font>
      <b/>
      <sz val="9"/>
      <color rgb="FF901C1A"/>
      <name val="Calibri"/>
      <family val="2"/>
    </font>
    <font>
      <b/>
      <sz val="9"/>
      <color rgb="FF641312"/>
      <name val="Calibri"/>
      <family val="2"/>
    </font>
    <font>
      <b/>
      <sz val="12"/>
      <color rgb="FF901C1A"/>
      <name val="Futura"/>
      <family val="2"/>
    </font>
    <font>
      <b/>
      <sz val="16"/>
      <color rgb="FF901C1A"/>
      <name val="Futura"/>
      <family val="2"/>
    </font>
    <font>
      <b/>
      <sz val="10"/>
      <color rgb="FF8A8A8A"/>
      <name val="Calibri"/>
      <family val="2"/>
    </font>
    <font>
      <b/>
      <sz val="13"/>
      <color rgb="FF111111"/>
      <name val="Futura"/>
      <family val="2"/>
    </font>
    <font>
      <b/>
      <sz val="14"/>
      <color rgb="FF1E6B3A"/>
      <name val="Futura"/>
      <family val="2"/>
    </font>
    <font>
      <b/>
      <sz val="10"/>
      <color rgb="FF1E6B3A"/>
      <name val="Calibri"/>
      <family val="2"/>
    </font>
    <font>
      <b/>
      <sz val="14"/>
      <color rgb="FF901C1A"/>
      <name val="Futura"/>
      <family val="2"/>
    </font>
  </fonts>
  <fills count="13">
    <fill>
      <patternFill patternType="none"/>
    </fill>
    <fill>
      <patternFill patternType="gray125"/>
    </fill>
    <fill>
      <patternFill patternType="solid">
        <fgColor rgb="FF000000"/>
        <bgColor rgb="FF003300"/>
      </patternFill>
    </fill>
    <fill>
      <patternFill patternType="solid">
        <fgColor rgb="FFF7EBE4"/>
        <bgColor rgb="FFFBF3EF"/>
      </patternFill>
    </fill>
    <fill>
      <patternFill patternType="solid">
        <fgColor rgb="FFFCE4D6"/>
        <bgColor rgb="FFF7EBE4"/>
      </patternFill>
    </fill>
    <fill>
      <patternFill patternType="solid">
        <fgColor rgb="FFFFFFFF"/>
        <bgColor rgb="FFFBF3EF"/>
      </patternFill>
    </fill>
    <fill>
      <patternFill patternType="solid">
        <fgColor rgb="FFFBF3EF"/>
        <bgColor rgb="FFF7EBE4"/>
      </patternFill>
    </fill>
    <fill>
      <patternFill patternType="solid">
        <fgColor rgb="FF641312"/>
        <bgColor rgb="FF800000"/>
      </patternFill>
    </fill>
    <fill>
      <patternFill patternType="none"/>
    </fill>
    <fill>
      <patternFill patternType="solid">
        <fgColor rgb="FF901C1A"/>
      </patternFill>
    </fill>
    <fill>
      <patternFill patternType="solid">
        <fgColor rgb="FF111111"/>
      </patternFill>
    </fill>
    <fill>
      <patternFill patternType="solid">
        <fgColor rgb="FFF2F2F2"/>
      </patternFill>
    </fill>
    <fill>
      <patternFill patternType="solid">
        <fgColor rgb="FFF6EBEB"/>
      </patternFill>
    </fill>
  </fills>
  <borders count="4">
    <border>
      <left/>
      <right/>
      <top/>
      <bottom/>
      <diagonal/>
    </border>
    <border>
      <left/>
      <right/>
      <top/>
      <bottom style="thin">
        <color rgb="FFE6DEDA"/>
      </bottom>
      <diagonal/>
    </border>
    <border>
      <left/>
      <right/>
      <top/>
      <bottom/>
      <diagonal/>
    </border>
    <border>
      <left style="thin">
        <color rgb="FFDDDDDD"/>
      </left>
      <right style="thin">
        <color rgb="FFDDDDDD"/>
      </right>
      <top style="thin">
        <color rgb="FFDDDDDD"/>
      </top>
      <bottom style="thin">
        <color rgb="FFDDDDDD"/>
      </bottom>
      <diagonal/>
    </border>
  </borders>
  <cellStyleXfs count="1">
    <xf numFmtId="0" fontId="0" fillId="0" borderId="0"/>
  </cellStyleXfs>
  <cellXfs count="207">
    <xf numFmtId="0" fontId="0" fillId="0" borderId="0" xfId="0"/>
    <xf numFmtId="0" fontId="50" fillId="12" borderId="2" xfId="0" applyFont="1" applyFill="1" applyBorder="1" applyAlignment="1">
      <alignment horizontal="left" vertical="center"/>
    </xf>
    <xf numFmtId="0" fontId="39" fillId="8" borderId="2" xfId="0" applyFont="1" applyFill="1" applyBorder="1" applyAlignment="1">
      <alignment horizontal="left" vertical="center" wrapText="1"/>
    </xf>
    <xf numFmtId="0" fontId="0" fillId="0" borderId="0" xfId="0"/>
    <xf numFmtId="0" fontId="47" fillId="8" borderId="2" xfId="0" applyFont="1" applyFill="1" applyBorder="1" applyAlignment="1">
      <alignment horizontal="left" vertical="center"/>
    </xf>
    <xf numFmtId="0" fontId="31" fillId="11" borderId="2" xfId="0" applyFont="1" applyFill="1" applyBorder="1"/>
    <xf numFmtId="0" fontId="36" fillId="11" borderId="2" xfId="0" applyFont="1" applyFill="1" applyBorder="1" applyAlignment="1">
      <alignment horizontal="left" vertical="center" wrapText="1"/>
    </xf>
    <xf numFmtId="0" fontId="31" fillId="8" borderId="3" xfId="0" applyFont="1" applyFill="1" applyBorder="1"/>
    <xf numFmtId="0" fontId="36" fillId="8" borderId="3" xfId="0" applyFont="1" applyFill="1" applyBorder="1" applyAlignment="1">
      <alignment horizontal="left" vertical="center"/>
    </xf>
    <xf numFmtId="0" fontId="10" fillId="0" borderId="0" xfId="0" applyFont="1" applyAlignment="1">
      <alignment horizontal="left" vertical="top" wrapText="1"/>
    </xf>
    <xf numFmtId="0" fontId="9" fillId="0" borderId="0" xfId="0" applyFont="1" applyAlignment="1">
      <alignment horizontal="left" vertical="top" wrapText="1"/>
    </xf>
    <xf numFmtId="0" fontId="5" fillId="0" borderId="0" xfId="0" applyFont="1" applyAlignment="1">
      <alignment horizontal="left" vertical="top" wrapText="1"/>
    </xf>
    <xf numFmtId="0" fontId="4" fillId="0" borderId="0" xfId="0" applyFont="1" applyAlignment="1">
      <alignment horizontal="left" vertical="top" wrapText="1"/>
    </xf>
    <xf numFmtId="0" fontId="2" fillId="3" borderId="0" xfId="0" applyFont="1" applyFill="1" applyAlignment="1">
      <alignment horizontal="left" vertical="top" wrapText="1"/>
    </xf>
    <xf numFmtId="0" fontId="1" fillId="2" borderId="0" xfId="0" applyFont="1" applyFill="1" applyAlignment="1">
      <alignment horizontal="left" vertical="top"/>
    </xf>
    <xf numFmtId="0" fontId="3" fillId="0" borderId="0" xfId="0" applyFont="1" applyAlignment="1">
      <alignment horizontal="left" vertical="top"/>
    </xf>
    <xf numFmtId="0" fontId="6" fillId="2" borderId="0" xfId="0" applyFont="1" applyFill="1" applyAlignment="1">
      <alignment vertical="center" wrapText="1"/>
    </xf>
    <xf numFmtId="0" fontId="7" fillId="0" borderId="1" xfId="0" applyFont="1" applyBorder="1" applyAlignment="1">
      <alignment vertical="top" wrapText="1"/>
    </xf>
    <xf numFmtId="0" fontId="8" fillId="0" borderId="1" xfId="0" applyFont="1" applyBorder="1" applyAlignment="1">
      <alignment vertical="top" wrapText="1"/>
    </xf>
    <xf numFmtId="0" fontId="7" fillId="3" borderId="1" xfId="0" applyFont="1" applyFill="1" applyBorder="1" applyAlignment="1">
      <alignment vertical="top" wrapText="1"/>
    </xf>
    <xf numFmtId="0" fontId="8" fillId="3" borderId="1" xfId="0" applyFont="1" applyFill="1" applyBorder="1" applyAlignment="1">
      <alignment vertical="top" wrapText="1"/>
    </xf>
    <xf numFmtId="0" fontId="6" fillId="2" borderId="1" xfId="0" applyFont="1" applyFill="1" applyBorder="1" applyAlignment="1">
      <alignment vertical="center" wrapText="1"/>
    </xf>
    <xf numFmtId="0" fontId="8" fillId="0" borderId="1" xfId="0" applyFont="1" applyBorder="1" applyAlignment="1">
      <alignment vertical="center" wrapText="1"/>
    </xf>
    <xf numFmtId="0" fontId="8" fillId="0" borderId="1" xfId="0" applyFont="1" applyBorder="1" applyAlignment="1">
      <alignment vertical="center"/>
    </xf>
    <xf numFmtId="0" fontId="8" fillId="3" borderId="1" xfId="0" applyFont="1" applyFill="1" applyBorder="1" applyAlignment="1">
      <alignment vertical="center" wrapText="1"/>
    </xf>
    <xf numFmtId="0" fontId="8" fillId="3" borderId="1" xfId="0" applyFont="1" applyFill="1" applyBorder="1" applyAlignment="1">
      <alignment vertical="center"/>
    </xf>
    <xf numFmtId="0" fontId="10" fillId="0" borderId="0" xfId="0" applyFont="1" applyAlignment="1">
      <alignment horizontal="left" vertical="top"/>
    </xf>
    <xf numFmtId="0" fontId="7" fillId="0" borderId="0" xfId="0" applyFont="1" applyAlignment="1">
      <alignment horizontal="left" vertical="top"/>
    </xf>
    <xf numFmtId="0" fontId="14" fillId="0" borderId="0" xfId="0" applyFont="1"/>
    <xf numFmtId="164" fontId="8" fillId="0" borderId="1" xfId="0" applyNumberFormat="1" applyFont="1" applyBorder="1" applyAlignment="1">
      <alignment vertical="top" wrapText="1"/>
    </xf>
    <xf numFmtId="166" fontId="8" fillId="0" borderId="1" xfId="0" applyNumberFormat="1" applyFont="1" applyBorder="1" applyAlignment="1">
      <alignment vertical="top" wrapText="1"/>
    </xf>
    <xf numFmtId="0" fontId="15" fillId="0" borderId="1" xfId="0" applyFont="1" applyBorder="1" applyAlignment="1">
      <alignment vertical="top" wrapText="1"/>
    </xf>
    <xf numFmtId="0" fontId="16" fillId="0" borderId="1" xfId="0" applyFont="1" applyBorder="1" applyAlignment="1">
      <alignment vertical="top" wrapText="1"/>
    </xf>
    <xf numFmtId="167" fontId="8" fillId="0" borderId="1" xfId="0" applyNumberFormat="1" applyFont="1" applyBorder="1" applyAlignment="1">
      <alignment vertical="top" wrapText="1"/>
    </xf>
    <xf numFmtId="168" fontId="8" fillId="0" borderId="1" xfId="0" applyNumberFormat="1" applyFont="1" applyBorder="1" applyAlignment="1">
      <alignment vertical="top" wrapText="1"/>
    </xf>
    <xf numFmtId="0" fontId="17" fillId="0" borderId="1" xfId="0" applyFont="1" applyBorder="1" applyAlignment="1">
      <alignment vertical="top" wrapText="1"/>
    </xf>
    <xf numFmtId="0" fontId="18" fillId="0" borderId="1" xfId="0" applyFont="1" applyBorder="1" applyAlignment="1">
      <alignment vertical="top" wrapText="1"/>
    </xf>
    <xf numFmtId="0" fontId="1" fillId="2" borderId="0" xfId="0" applyFont="1" applyFill="1"/>
    <xf numFmtId="0" fontId="0" fillId="2" borderId="0" xfId="0" applyFill="1"/>
    <xf numFmtId="0" fontId="2" fillId="3" borderId="0" xfId="0" applyFont="1" applyFill="1"/>
    <xf numFmtId="0" fontId="0" fillId="3" borderId="0" xfId="0" applyFill="1"/>
    <xf numFmtId="0" fontId="7" fillId="0" borderId="1" xfId="0" applyFont="1" applyBorder="1"/>
    <xf numFmtId="1" fontId="8" fillId="0" borderId="1" xfId="0" applyNumberFormat="1" applyFont="1" applyBorder="1"/>
    <xf numFmtId="169" fontId="8" fillId="0" borderId="1" xfId="0" applyNumberFormat="1" applyFont="1" applyBorder="1"/>
    <xf numFmtId="170" fontId="8" fillId="0" borderId="1" xfId="0" applyNumberFormat="1" applyFont="1" applyBorder="1"/>
    <xf numFmtId="2" fontId="8" fillId="0" borderId="1" xfId="0" applyNumberFormat="1" applyFont="1" applyBorder="1"/>
    <xf numFmtId="3" fontId="8" fillId="0" borderId="1" xfId="0" applyNumberFormat="1" applyFont="1" applyBorder="1" applyAlignment="1">
      <alignment vertical="center"/>
    </xf>
    <xf numFmtId="169" fontId="8" fillId="0" borderId="1" xfId="0" applyNumberFormat="1" applyFont="1" applyBorder="1" applyAlignment="1">
      <alignment vertical="center"/>
    </xf>
    <xf numFmtId="2" fontId="8" fillId="0" borderId="1" xfId="0" applyNumberFormat="1" applyFont="1" applyBorder="1" applyAlignment="1">
      <alignment vertical="center"/>
    </xf>
    <xf numFmtId="3" fontId="8" fillId="3" borderId="1" xfId="0" applyNumberFormat="1" applyFont="1" applyFill="1" applyBorder="1" applyAlignment="1">
      <alignment vertical="center"/>
    </xf>
    <xf numFmtId="169" fontId="8" fillId="3" borderId="1" xfId="0" applyNumberFormat="1" applyFont="1" applyFill="1" applyBorder="1" applyAlignment="1">
      <alignment vertical="center"/>
    </xf>
    <xf numFmtId="2" fontId="8" fillId="3" borderId="1" xfId="0" applyNumberFormat="1" applyFont="1" applyFill="1" applyBorder="1" applyAlignment="1">
      <alignment vertical="center"/>
    </xf>
    <xf numFmtId="0" fontId="6" fillId="2" borderId="0" xfId="0" applyFont="1" applyFill="1" applyAlignment="1">
      <alignment horizontal="left" vertical="top"/>
    </xf>
    <xf numFmtId="0" fontId="8" fillId="0" borderId="0" xfId="0" applyFont="1" applyAlignment="1">
      <alignment horizontal="left" vertical="top"/>
    </xf>
    <xf numFmtId="3" fontId="26" fillId="4" borderId="1" xfId="0" applyNumberFormat="1" applyFont="1" applyFill="1" applyBorder="1" applyAlignment="1">
      <alignment horizontal="right" vertical="top"/>
    </xf>
    <xf numFmtId="0" fontId="13" fillId="0" borderId="0" xfId="0" applyFont="1" applyAlignment="1">
      <alignment horizontal="left" vertical="top"/>
    </xf>
    <xf numFmtId="2" fontId="26" fillId="5" borderId="1" xfId="0" applyNumberFormat="1" applyFont="1" applyFill="1" applyBorder="1" applyAlignment="1">
      <alignment horizontal="right" vertical="top"/>
    </xf>
    <xf numFmtId="2" fontId="26" fillId="4" borderId="1" xfId="0" applyNumberFormat="1" applyFont="1" applyFill="1" applyBorder="1" applyAlignment="1">
      <alignment horizontal="right" vertical="top"/>
    </xf>
    <xf numFmtId="0" fontId="6" fillId="2" borderId="0" xfId="0" applyFont="1" applyFill="1" applyAlignment="1">
      <alignment horizontal="center"/>
    </xf>
    <xf numFmtId="3" fontId="8" fillId="0" borderId="0" xfId="0" applyNumberFormat="1" applyFont="1" applyAlignment="1">
      <alignment horizontal="left" vertical="top"/>
    </xf>
    <xf numFmtId="0" fontId="2" fillId="0" borderId="0" xfId="0" applyFont="1" applyAlignment="1">
      <alignment horizontal="center" vertical="top"/>
    </xf>
    <xf numFmtId="171" fontId="8" fillId="0" borderId="0" xfId="0" applyNumberFormat="1" applyFont="1" applyAlignment="1">
      <alignment horizontal="left" vertical="top"/>
    </xf>
    <xf numFmtId="172" fontId="17" fillId="0" borderId="0" xfId="0" applyNumberFormat="1" applyFont="1" applyAlignment="1">
      <alignment horizontal="left" vertical="top"/>
    </xf>
    <xf numFmtId="173" fontId="27" fillId="0" borderId="0" xfId="0" applyNumberFormat="1" applyFont="1" applyAlignment="1">
      <alignment horizontal="left" vertical="top"/>
    </xf>
    <xf numFmtId="0" fontId="7" fillId="6" borderId="0" xfId="0" applyFont="1" applyFill="1" applyAlignment="1">
      <alignment horizontal="left" vertical="top"/>
    </xf>
    <xf numFmtId="3" fontId="8" fillId="6" borderId="0" xfId="0" applyNumberFormat="1" applyFont="1" applyFill="1" applyAlignment="1">
      <alignment horizontal="left" vertical="top"/>
    </xf>
    <xf numFmtId="172" fontId="17" fillId="6" borderId="0" xfId="0" applyNumberFormat="1" applyFont="1" applyFill="1" applyAlignment="1">
      <alignment horizontal="left" vertical="top"/>
    </xf>
    <xf numFmtId="171" fontId="7" fillId="6" borderId="0" xfId="0" applyNumberFormat="1" applyFont="1" applyFill="1" applyAlignment="1">
      <alignment horizontal="left" vertical="top"/>
    </xf>
    <xf numFmtId="173" fontId="17" fillId="6" borderId="0" xfId="0" applyNumberFormat="1" applyFont="1" applyFill="1" applyAlignment="1">
      <alignment horizontal="left" vertical="top"/>
    </xf>
    <xf numFmtId="173" fontId="4" fillId="0" borderId="0" xfId="0" applyNumberFormat="1" applyFont="1" applyAlignment="1">
      <alignment horizontal="left" vertical="top"/>
    </xf>
    <xf numFmtId="173" fontId="3" fillId="6" borderId="0" xfId="0" applyNumberFormat="1" applyFont="1" applyFill="1" applyAlignment="1">
      <alignment horizontal="left" vertical="top"/>
    </xf>
    <xf numFmtId="1" fontId="26" fillId="4" borderId="1" xfId="0" applyNumberFormat="1" applyFont="1" applyFill="1" applyBorder="1" applyAlignment="1">
      <alignment horizontal="right" vertical="top"/>
    </xf>
    <xf numFmtId="166" fontId="4" fillId="0" borderId="0" xfId="0" applyNumberFormat="1" applyFont="1" applyAlignment="1">
      <alignment horizontal="right" vertical="top"/>
    </xf>
    <xf numFmtId="0" fontId="26" fillId="0" borderId="0" xfId="0" applyFont="1" applyAlignment="1">
      <alignment horizontal="left" vertical="top"/>
    </xf>
    <xf numFmtId="3" fontId="28" fillId="6" borderId="0" xfId="0" applyNumberFormat="1" applyFont="1" applyFill="1" applyAlignment="1">
      <alignment horizontal="right" vertical="top"/>
    </xf>
    <xf numFmtId="164" fontId="26" fillId="0" borderId="0" xfId="0" applyNumberFormat="1" applyFont="1" applyAlignment="1">
      <alignment horizontal="right" vertical="top"/>
    </xf>
    <xf numFmtId="3" fontId="26" fillId="3" borderId="0" xfId="0" applyNumberFormat="1" applyFont="1" applyFill="1" applyAlignment="1">
      <alignment horizontal="left" vertical="top"/>
    </xf>
    <xf numFmtId="174" fontId="26" fillId="3" borderId="0" xfId="0" applyNumberFormat="1" applyFont="1" applyFill="1" applyAlignment="1">
      <alignment horizontal="left" vertical="top"/>
    </xf>
    <xf numFmtId="49" fontId="29" fillId="0" borderId="0" xfId="0" applyNumberFormat="1" applyFont="1" applyAlignment="1">
      <alignment horizontal="left" vertical="top" wrapText="1"/>
    </xf>
    <xf numFmtId="174" fontId="26" fillId="6" borderId="0" xfId="0" applyNumberFormat="1" applyFont="1" applyFill="1" applyAlignment="1">
      <alignment horizontal="right" vertical="top"/>
    </xf>
    <xf numFmtId="174" fontId="2" fillId="0" borderId="0" xfId="0" applyNumberFormat="1" applyFont="1" applyAlignment="1">
      <alignment horizontal="right" vertical="top"/>
    </xf>
    <xf numFmtId="0" fontId="17" fillId="0" borderId="0" xfId="0" applyFont="1" applyAlignment="1">
      <alignment horizontal="center" vertical="top"/>
    </xf>
    <xf numFmtId="175" fontId="26" fillId="6" borderId="0" xfId="0" applyNumberFormat="1" applyFont="1" applyFill="1" applyAlignment="1">
      <alignment horizontal="right" vertical="top"/>
    </xf>
    <xf numFmtId="175" fontId="2" fillId="0" borderId="0" xfId="0" applyNumberFormat="1" applyFont="1" applyAlignment="1">
      <alignment horizontal="right" vertical="top"/>
    </xf>
    <xf numFmtId="164" fontId="26" fillId="6" borderId="0" xfId="0" applyNumberFormat="1" applyFont="1" applyFill="1" applyAlignment="1">
      <alignment horizontal="right" vertical="top"/>
    </xf>
    <xf numFmtId="164" fontId="2" fillId="0" borderId="0" xfId="0" applyNumberFormat="1" applyFont="1" applyAlignment="1">
      <alignment horizontal="right" vertical="top"/>
    </xf>
    <xf numFmtId="167" fontId="26" fillId="6" borderId="0" xfId="0" applyNumberFormat="1" applyFont="1" applyFill="1" applyAlignment="1">
      <alignment horizontal="right" vertical="top"/>
    </xf>
    <xf numFmtId="167" fontId="2" fillId="0" borderId="0" xfId="0" applyNumberFormat="1" applyFont="1" applyAlignment="1">
      <alignment horizontal="right" vertical="top"/>
    </xf>
    <xf numFmtId="168" fontId="26" fillId="6" borderId="0" xfId="0" applyNumberFormat="1" applyFont="1" applyFill="1" applyAlignment="1">
      <alignment horizontal="right" vertical="top"/>
    </xf>
    <xf numFmtId="0" fontId="13" fillId="0" borderId="0" xfId="0" applyFont="1" applyAlignment="1">
      <alignment horizontal="right" vertical="top"/>
    </xf>
    <xf numFmtId="176" fontId="26" fillId="6" borderId="0" xfId="0" applyNumberFormat="1" applyFont="1" applyFill="1" applyAlignment="1">
      <alignment horizontal="right" vertical="top"/>
    </xf>
    <xf numFmtId="176" fontId="2" fillId="0" borderId="0" xfId="0" applyNumberFormat="1" applyFont="1" applyAlignment="1">
      <alignment horizontal="right" vertical="top"/>
    </xf>
    <xf numFmtId="0" fontId="10" fillId="0" borderId="0" xfId="0" applyFont="1" applyAlignment="1">
      <alignment vertical="top" wrapText="1"/>
    </xf>
    <xf numFmtId="0" fontId="8" fillId="0" borderId="1" xfId="0" applyFont="1" applyBorder="1"/>
    <xf numFmtId="0" fontId="17" fillId="0" borderId="1" xfId="0" applyFont="1" applyBorder="1"/>
    <xf numFmtId="0" fontId="6" fillId="7" borderId="0" xfId="0" applyFont="1" applyFill="1" applyAlignment="1">
      <alignment vertical="center" wrapText="1"/>
    </xf>
    <xf numFmtId="0" fontId="8" fillId="0" borderId="0" xfId="0" applyFont="1"/>
    <xf numFmtId="3" fontId="8" fillId="0" borderId="0" xfId="0" applyNumberFormat="1" applyFont="1"/>
    <xf numFmtId="2" fontId="8" fillId="0" borderId="0" xfId="0" applyNumberFormat="1" applyFont="1"/>
    <xf numFmtId="4" fontId="8" fillId="0" borderId="0" xfId="0" applyNumberFormat="1" applyFont="1"/>
    <xf numFmtId="2" fontId="16" fillId="0" borderId="0" xfId="0" applyNumberFormat="1" applyFont="1"/>
    <xf numFmtId="177" fontId="16" fillId="0" borderId="0" xfId="0" applyNumberFormat="1" applyFont="1"/>
    <xf numFmtId="0" fontId="16" fillId="0" borderId="0" xfId="0" applyFont="1"/>
    <xf numFmtId="169" fontId="16" fillId="0" borderId="0" xfId="0" applyNumberFormat="1" applyFont="1"/>
    <xf numFmtId="0" fontId="8" fillId="3" borderId="0" xfId="0" applyFont="1" applyFill="1"/>
    <xf numFmtId="3" fontId="8" fillId="3" borderId="0" xfId="0" applyNumberFormat="1" applyFont="1" applyFill="1"/>
    <xf numFmtId="2" fontId="8" fillId="3" borderId="0" xfId="0" applyNumberFormat="1" applyFont="1" applyFill="1"/>
    <xf numFmtId="4" fontId="8" fillId="3" borderId="0" xfId="0" applyNumberFormat="1" applyFont="1" applyFill="1"/>
    <xf numFmtId="2" fontId="16" fillId="3" borderId="0" xfId="0" applyNumberFormat="1" applyFont="1" applyFill="1"/>
    <xf numFmtId="4" fontId="8" fillId="0" borderId="1" xfId="0" applyNumberFormat="1" applyFont="1" applyBorder="1" applyAlignment="1">
      <alignment vertical="center"/>
    </xf>
    <xf numFmtId="4" fontId="8" fillId="3" borderId="1" xfId="0" applyNumberFormat="1" applyFont="1" applyFill="1" applyBorder="1" applyAlignment="1">
      <alignment vertical="center"/>
    </xf>
    <xf numFmtId="0" fontId="30" fillId="0" borderId="0" xfId="0" applyFont="1"/>
    <xf numFmtId="178" fontId="0" fillId="0" borderId="0" xfId="0" applyNumberFormat="1"/>
    <xf numFmtId="0" fontId="41" fillId="8" borderId="3" xfId="0" applyFont="1" applyFill="1" applyBorder="1" applyAlignment="1">
      <alignment horizontal="left" vertical="center"/>
    </xf>
    <xf numFmtId="1" fontId="48" fillId="8" borderId="2" xfId="0" applyNumberFormat="1" applyFont="1" applyFill="1" applyBorder="1" applyAlignment="1">
      <alignment horizontal="center" vertical="center"/>
    </xf>
    <xf numFmtId="1" fontId="49" fillId="8" borderId="2" xfId="0" applyNumberFormat="1" applyFont="1" applyFill="1" applyBorder="1" applyAlignment="1">
      <alignment horizontal="center" vertical="center"/>
    </xf>
    <xf numFmtId="0" fontId="53" fillId="8" borderId="2" xfId="0" applyFont="1" applyFill="1" applyBorder="1" applyAlignment="1">
      <alignment horizontal="left" vertical="center"/>
    </xf>
    <xf numFmtId="0" fontId="54" fillId="8" borderId="2" xfId="0" applyFont="1" applyFill="1" applyBorder="1" applyAlignment="1">
      <alignment horizontal="left" vertical="center"/>
    </xf>
    <xf numFmtId="0" fontId="55" fillId="8" borderId="2" xfId="0" applyFont="1" applyFill="1" applyBorder="1" applyAlignment="1">
      <alignment horizontal="left" vertical="center"/>
    </xf>
    <xf numFmtId="169" fontId="55" fillId="8" borderId="2" xfId="0" applyNumberFormat="1" applyFont="1" applyFill="1" applyBorder="1" applyAlignment="1">
      <alignment horizontal="left" vertical="center"/>
    </xf>
    <xf numFmtId="0" fontId="56" fillId="10" borderId="2" xfId="0" applyFont="1" applyFill="1" applyBorder="1" applyAlignment="1">
      <alignment horizontal="center" vertical="center" wrapText="1"/>
    </xf>
    <xf numFmtId="3" fontId="41" fillId="8" borderId="3" xfId="0" applyNumberFormat="1" applyFont="1" applyFill="1" applyBorder="1" applyAlignment="1">
      <alignment horizontal="center" vertical="center"/>
    </xf>
    <xf numFmtId="3" fontId="57" fillId="8" borderId="3" xfId="0" applyNumberFormat="1" applyFont="1" applyFill="1" applyBorder="1" applyAlignment="1">
      <alignment horizontal="center" vertical="center"/>
    </xf>
    <xf numFmtId="0" fontId="36" fillId="8" borderId="3" xfId="0" applyFont="1" applyFill="1" applyBorder="1" applyAlignment="1">
      <alignment horizontal="center" vertical="center"/>
    </xf>
    <xf numFmtId="1" fontId="41" fillId="8" borderId="3" xfId="0" applyNumberFormat="1" applyFont="1" applyFill="1" applyBorder="1" applyAlignment="1">
      <alignment horizontal="center" vertical="center"/>
    </xf>
    <xf numFmtId="1" fontId="57" fillId="8" borderId="3" xfId="0" applyNumberFormat="1" applyFont="1" applyFill="1" applyBorder="1" applyAlignment="1">
      <alignment horizontal="center" vertical="center"/>
    </xf>
    <xf numFmtId="0" fontId="47" fillId="8" borderId="3" xfId="0" applyFont="1" applyFill="1" applyBorder="1" applyAlignment="1">
      <alignment horizontal="left" vertical="center"/>
    </xf>
    <xf numFmtId="2" fontId="41" fillId="8" borderId="3" xfId="0" applyNumberFormat="1" applyFont="1" applyFill="1" applyBorder="1" applyAlignment="1">
      <alignment horizontal="center" vertical="center"/>
    </xf>
    <xf numFmtId="2" fontId="50" fillId="12" borderId="3" xfId="0" applyNumberFormat="1" applyFont="1" applyFill="1" applyBorder="1" applyAlignment="1">
      <alignment horizontal="center" vertical="center"/>
    </xf>
    <xf numFmtId="169" fontId="58" fillId="8" borderId="3" xfId="0" applyNumberFormat="1" applyFont="1" applyFill="1" applyBorder="1" applyAlignment="1">
      <alignment horizontal="center" vertical="center"/>
    </xf>
    <xf numFmtId="0" fontId="59" fillId="8" borderId="3" xfId="0" applyFont="1" applyFill="1" applyBorder="1" applyAlignment="1">
      <alignment horizontal="left" vertical="center"/>
    </xf>
    <xf numFmtId="168" fontId="58" fillId="8" borderId="3" xfId="0" applyNumberFormat="1" applyFont="1" applyFill="1" applyBorder="1" applyAlignment="1">
      <alignment horizontal="center" vertical="center"/>
    </xf>
    <xf numFmtId="2" fontId="50" fillId="8" borderId="3" xfId="0" applyNumberFormat="1" applyFont="1" applyFill="1" applyBorder="1" applyAlignment="1">
      <alignment horizontal="center" vertical="center"/>
    </xf>
    <xf numFmtId="169" fontId="50" fillId="8" borderId="3" xfId="0" applyNumberFormat="1" applyFont="1" applyFill="1" applyBorder="1" applyAlignment="1">
      <alignment horizontal="center" vertical="center"/>
    </xf>
    <xf numFmtId="11" fontId="50" fillId="12" borderId="3" xfId="0" applyNumberFormat="1" applyFont="1" applyFill="1" applyBorder="1" applyAlignment="1">
      <alignment horizontal="center" vertical="center"/>
    </xf>
    <xf numFmtId="0" fontId="47" fillId="8" borderId="3" xfId="0" applyFont="1" applyFill="1" applyBorder="1" applyAlignment="1">
      <alignment horizontal="left" vertical="center" wrapText="1"/>
    </xf>
    <xf numFmtId="0" fontId="47" fillId="8" borderId="3" xfId="0" applyFont="1" applyFill="1" applyBorder="1" applyAlignment="1">
      <alignment horizontal="center" vertical="center"/>
    </xf>
    <xf numFmtId="0" fontId="41" fillId="8" borderId="3" xfId="0" applyFont="1" applyFill="1" applyBorder="1" applyAlignment="1">
      <alignment horizontal="left" vertical="center" wrapText="1"/>
    </xf>
    <xf numFmtId="0" fontId="61" fillId="8" borderId="3" xfId="0" applyFont="1" applyFill="1" applyBorder="1" applyAlignment="1">
      <alignment horizontal="center" vertical="center"/>
    </xf>
    <xf numFmtId="0" fontId="58" fillId="8" borderId="2" xfId="0" applyFont="1" applyFill="1" applyBorder="1" applyAlignment="1">
      <alignment horizontal="left" vertical="center"/>
    </xf>
    <xf numFmtId="180" fontId="63" fillId="12" borderId="2" xfId="0" applyNumberFormat="1" applyFont="1" applyFill="1" applyBorder="1" applyAlignment="1">
      <alignment horizontal="center" vertical="center"/>
    </xf>
    <xf numFmtId="0" fontId="59" fillId="8" borderId="2" xfId="0" applyFont="1" applyFill="1" applyBorder="1" applyAlignment="1">
      <alignment horizontal="left" vertical="center"/>
    </xf>
    <xf numFmtId="169" fontId="63" fillId="12" borderId="2" xfId="0" applyNumberFormat="1" applyFont="1" applyFill="1" applyBorder="1" applyAlignment="1">
      <alignment horizontal="center" vertical="center"/>
    </xf>
    <xf numFmtId="0" fontId="57" fillId="8" borderId="2" xfId="0" applyFont="1" applyFill="1" applyBorder="1" applyAlignment="1">
      <alignment horizontal="left" vertical="center"/>
    </xf>
    <xf numFmtId="179" fontId="64" fillId="12" borderId="2" xfId="0" applyNumberFormat="1" applyFont="1" applyFill="1" applyBorder="1" applyAlignment="1">
      <alignment horizontal="center" vertical="center"/>
    </xf>
    <xf numFmtId="0" fontId="65" fillId="8" borderId="2" xfId="0" applyFont="1" applyFill="1" applyBorder="1" applyAlignment="1">
      <alignment horizontal="left" vertical="center"/>
    </xf>
    <xf numFmtId="1" fontId="45" fillId="8" borderId="2" xfId="0" applyNumberFormat="1" applyFont="1" applyFill="1" applyBorder="1" applyAlignment="1">
      <alignment horizontal="center" vertical="center"/>
    </xf>
    <xf numFmtId="1" fontId="66" fillId="12" borderId="2" xfId="0" applyNumberFormat="1" applyFont="1" applyFill="1" applyBorder="1" applyAlignment="1">
      <alignment horizontal="center" vertical="center"/>
    </xf>
    <xf numFmtId="180" fontId="67" fillId="12" borderId="2" xfId="0" applyNumberFormat="1" applyFont="1" applyFill="1" applyBorder="1" applyAlignment="1">
      <alignment horizontal="center" vertical="center"/>
    </xf>
    <xf numFmtId="0" fontId="68" fillId="8" borderId="2" xfId="0" applyFont="1" applyFill="1" applyBorder="1" applyAlignment="1">
      <alignment horizontal="left" vertical="center"/>
    </xf>
    <xf numFmtId="0" fontId="56" fillId="10" borderId="2" xfId="0" applyFont="1" applyFill="1" applyBorder="1" applyAlignment="1">
      <alignment horizontal="center" vertical="center"/>
    </xf>
    <xf numFmtId="9" fontId="41" fillId="8" borderId="3" xfId="0" applyNumberFormat="1" applyFont="1" applyFill="1" applyBorder="1" applyAlignment="1">
      <alignment horizontal="center" vertical="center"/>
    </xf>
    <xf numFmtId="9" fontId="41" fillId="12" borderId="3" xfId="0" applyNumberFormat="1" applyFont="1" applyFill="1" applyBorder="1" applyAlignment="1">
      <alignment horizontal="center" vertical="center"/>
    </xf>
    <xf numFmtId="1" fontId="41" fillId="12" borderId="3" xfId="0" applyNumberFormat="1" applyFont="1" applyFill="1" applyBorder="1" applyAlignment="1">
      <alignment horizontal="center" vertical="center"/>
    </xf>
    <xf numFmtId="1" fontId="47" fillId="12" borderId="3" xfId="0" applyNumberFormat="1" applyFont="1" applyFill="1" applyBorder="1" applyAlignment="1">
      <alignment horizontal="center" vertical="center"/>
    </xf>
    <xf numFmtId="179" fontId="48" fillId="12" borderId="2" xfId="0" applyNumberFormat="1" applyFont="1" applyFill="1" applyBorder="1" applyAlignment="1">
      <alignment horizontal="center" vertical="center"/>
    </xf>
    <xf numFmtId="179" fontId="47" fillId="8" borderId="3" xfId="0" applyNumberFormat="1" applyFont="1" applyFill="1" applyBorder="1" applyAlignment="1">
      <alignment horizontal="center" vertical="center"/>
    </xf>
    <xf numFmtId="179" fontId="41" fillId="8" borderId="3" xfId="0" applyNumberFormat="1" applyFont="1" applyFill="1" applyBorder="1" applyAlignment="1">
      <alignment horizontal="center" vertical="center"/>
    </xf>
    <xf numFmtId="186" fontId="47" fillId="8" borderId="3" xfId="0" applyNumberFormat="1" applyFont="1" applyFill="1" applyBorder="1" applyAlignment="1">
      <alignment horizontal="center" vertical="center"/>
    </xf>
    <xf numFmtId="0" fontId="41" fillId="8" borderId="3" xfId="0" applyFont="1" applyFill="1" applyBorder="1" applyAlignment="1">
      <alignment horizontal="center" vertical="center"/>
    </xf>
    <xf numFmtId="1" fontId="67" fillId="12" borderId="2" xfId="0" applyNumberFormat="1" applyFont="1" applyFill="1" applyBorder="1" applyAlignment="1">
      <alignment horizontal="center" vertical="center"/>
    </xf>
    <xf numFmtId="1" fontId="69" fillId="12" borderId="2" xfId="0" applyNumberFormat="1" applyFont="1" applyFill="1" applyBorder="1" applyAlignment="1">
      <alignment horizontal="center" vertical="center"/>
    </xf>
    <xf numFmtId="0" fontId="41" fillId="8" borderId="3" xfId="0" applyFont="1" applyFill="1" applyBorder="1" applyAlignment="1">
      <alignment horizontal="left" vertical="center"/>
    </xf>
    <xf numFmtId="0" fontId="43" fillId="8" borderId="3" xfId="0" applyFont="1" applyFill="1" applyBorder="1" applyAlignment="1">
      <alignment horizontal="center" vertical="center"/>
    </xf>
    <xf numFmtId="0" fontId="34" fillId="11" borderId="2" xfId="0" applyFont="1" applyFill="1" applyBorder="1" applyAlignment="1">
      <alignment horizontal="left" vertical="center" wrapText="1"/>
    </xf>
    <xf numFmtId="0" fontId="51" fillId="12" borderId="2" xfId="0" applyFont="1" applyFill="1" applyBorder="1" applyAlignment="1">
      <alignment horizontal="left" vertical="center" wrapText="1"/>
    </xf>
    <xf numFmtId="0" fontId="31" fillId="12" borderId="2" xfId="0" applyFont="1" applyFill="1" applyBorder="1"/>
    <xf numFmtId="0" fontId="42" fillId="8" borderId="2" xfId="0" applyFont="1" applyFill="1" applyBorder="1" applyAlignment="1">
      <alignment horizontal="left" vertical="center"/>
    </xf>
    <xf numFmtId="3" fontId="35" fillId="11" borderId="2" xfId="0" applyNumberFormat="1" applyFont="1" applyFill="1" applyBorder="1" applyAlignment="1">
      <alignment horizontal="left" vertical="center" wrapText="1"/>
    </xf>
    <xf numFmtId="180" fontId="37" fillId="11" borderId="2" xfId="0" applyNumberFormat="1" applyFont="1" applyFill="1" applyBorder="1" applyAlignment="1">
      <alignment horizontal="left" vertical="center" wrapText="1"/>
    </xf>
    <xf numFmtId="0" fontId="33" fillId="10" borderId="2" xfId="0" applyFont="1" applyFill="1" applyBorder="1" applyAlignment="1">
      <alignment horizontal="left" vertical="center" wrapText="1"/>
    </xf>
    <xf numFmtId="0" fontId="31" fillId="10" borderId="2" xfId="0" applyFont="1" applyFill="1" applyBorder="1"/>
    <xf numFmtId="183" fontId="42" fillId="8" borderId="3" xfId="0" applyNumberFormat="1" applyFont="1" applyFill="1" applyBorder="1" applyAlignment="1">
      <alignment horizontal="center" vertical="center"/>
    </xf>
    <xf numFmtId="0" fontId="44" fillId="11" borderId="2" xfId="0" applyFont="1" applyFill="1" applyBorder="1" applyAlignment="1">
      <alignment horizontal="left" vertical="center" wrapText="1"/>
    </xf>
    <xf numFmtId="179" fontId="35" fillId="11" borderId="2" xfId="0" applyNumberFormat="1" applyFont="1" applyFill="1" applyBorder="1" applyAlignment="1">
      <alignment horizontal="left" vertical="center" wrapText="1"/>
    </xf>
    <xf numFmtId="182" fontId="38" fillId="11" borderId="2" xfId="0" applyNumberFormat="1" applyFont="1" applyFill="1" applyBorder="1" applyAlignment="1">
      <alignment horizontal="left" vertical="center" wrapText="1"/>
    </xf>
    <xf numFmtId="184" fontId="46" fillId="8" borderId="3" xfId="0" applyNumberFormat="1" applyFont="1" applyFill="1" applyBorder="1" applyAlignment="1">
      <alignment horizontal="center" vertical="center"/>
    </xf>
    <xf numFmtId="0" fontId="40" fillId="10" borderId="2" xfId="0" applyFont="1" applyFill="1" applyBorder="1" applyAlignment="1">
      <alignment horizontal="left" vertical="center"/>
    </xf>
    <xf numFmtId="3" fontId="45" fillId="8" borderId="3" xfId="0" applyNumberFormat="1" applyFont="1" applyFill="1" applyBorder="1" applyAlignment="1">
      <alignment horizontal="center" vertical="center"/>
    </xf>
    <xf numFmtId="181" fontId="37" fillId="11" borderId="2" xfId="0" applyNumberFormat="1" applyFont="1" applyFill="1" applyBorder="1" applyAlignment="1">
      <alignment horizontal="left" vertical="center" wrapText="1"/>
    </xf>
    <xf numFmtId="0" fontId="52" fillId="11" borderId="2" xfId="0" applyFont="1" applyFill="1" applyBorder="1" applyAlignment="1">
      <alignment horizontal="left" vertical="center" wrapText="1"/>
    </xf>
    <xf numFmtId="185" fontId="46" fillId="8" borderId="3" xfId="0" applyNumberFormat="1" applyFont="1" applyFill="1" applyBorder="1" applyAlignment="1">
      <alignment horizontal="center" vertical="center"/>
    </xf>
    <xf numFmtId="0" fontId="40" fillId="10" borderId="2" xfId="0" applyFont="1" applyFill="1" applyBorder="1" applyAlignment="1">
      <alignment horizontal="center" vertical="center"/>
    </xf>
    <xf numFmtId="0" fontId="32" fillId="9" borderId="2" xfId="0" applyFont="1" applyFill="1" applyBorder="1" applyAlignment="1">
      <alignment horizontal="left" vertical="center" wrapText="1"/>
    </xf>
    <xf numFmtId="0" fontId="31" fillId="9" borderId="2" xfId="0" applyFont="1" applyFill="1" applyBorder="1"/>
    <xf numFmtId="0" fontId="42" fillId="11" borderId="2" xfId="0" applyFont="1" applyFill="1" applyBorder="1" applyAlignment="1">
      <alignment horizontal="left" vertical="center" wrapText="1"/>
    </xf>
    <xf numFmtId="0" fontId="59" fillId="8" borderId="3" xfId="0" applyFont="1" applyFill="1" applyBorder="1" applyAlignment="1">
      <alignment horizontal="left" vertical="center"/>
    </xf>
    <xf numFmtId="0" fontId="60" fillId="8" borderId="3" xfId="0" applyFont="1" applyFill="1" applyBorder="1" applyAlignment="1">
      <alignment horizontal="left" vertical="center" wrapText="1"/>
    </xf>
    <xf numFmtId="0" fontId="56" fillId="10" borderId="2" xfId="0" applyFont="1" applyFill="1" applyBorder="1" applyAlignment="1">
      <alignment horizontal="center" vertical="center" wrapText="1"/>
    </xf>
    <xf numFmtId="0" fontId="62" fillId="12" borderId="2" xfId="0" applyFont="1" applyFill="1" applyBorder="1" applyAlignment="1">
      <alignment horizontal="left" vertical="center" wrapText="1"/>
    </xf>
    <xf numFmtId="0" fontId="11" fillId="3" borderId="0" xfId="0" applyFont="1" applyFill="1" applyAlignment="1">
      <alignment horizontal="left" vertical="top"/>
    </xf>
    <xf numFmtId="3" fontId="12" fillId="3" borderId="0" xfId="0" applyNumberFormat="1" applyFont="1" applyFill="1" applyAlignment="1">
      <alignment horizontal="left" vertical="top"/>
    </xf>
    <xf numFmtId="164" fontId="12" fillId="3" borderId="0" xfId="0" applyNumberFormat="1" applyFont="1" applyFill="1" applyAlignment="1">
      <alignment horizontal="left" vertical="top"/>
    </xf>
    <xf numFmtId="165" fontId="12" fillId="3" borderId="0" xfId="0" applyNumberFormat="1" applyFont="1" applyFill="1" applyAlignment="1">
      <alignment horizontal="left" vertical="top"/>
    </xf>
    <xf numFmtId="0" fontId="13" fillId="3" borderId="0" xfId="0" applyFont="1" applyFill="1" applyAlignment="1">
      <alignment horizontal="left" vertical="top" wrapText="1"/>
    </xf>
    <xf numFmtId="0" fontId="2" fillId="0" borderId="0" xfId="0" applyFont="1" applyAlignment="1">
      <alignment horizontal="left" vertical="top" wrapText="1"/>
    </xf>
    <xf numFmtId="0" fontId="5" fillId="0" borderId="0" xfId="0" applyFont="1" applyAlignment="1">
      <alignment vertical="top" wrapText="1"/>
    </xf>
    <xf numFmtId="0" fontId="19" fillId="0" borderId="0" xfId="0" applyFont="1" applyAlignment="1">
      <alignment vertical="top" wrapText="1"/>
    </xf>
    <xf numFmtId="0" fontId="8" fillId="0" borderId="1" xfId="0" applyFont="1" applyBorder="1" applyAlignment="1">
      <alignment vertical="top" wrapText="1"/>
    </xf>
    <xf numFmtId="0" fontId="20" fillId="0" borderId="0" xfId="0" applyFont="1" applyAlignment="1">
      <alignment vertical="top" wrapText="1"/>
    </xf>
    <xf numFmtId="0" fontId="21" fillId="0" borderId="0" xfId="0" applyFont="1"/>
    <xf numFmtId="0" fontId="22" fillId="0" borderId="0" xfId="0" applyFont="1" applyAlignment="1">
      <alignment vertical="top" wrapText="1"/>
    </xf>
    <xf numFmtId="0" fontId="23" fillId="0" borderId="0" xfId="0" applyFont="1" applyAlignment="1">
      <alignment vertical="top" wrapText="1"/>
    </xf>
    <xf numFmtId="0" fontId="24" fillId="0" borderId="0" xfId="0" applyFont="1" applyAlignment="1">
      <alignment vertical="top" wrapText="1"/>
    </xf>
    <xf numFmtId="0" fontId="25" fillId="0" borderId="0" xfId="0" applyFont="1" applyAlignment="1">
      <alignment vertical="top" wrapText="1"/>
    </xf>
    <xf numFmtId="0" fontId="7" fillId="4" borderId="0" xfId="0" applyFont="1" applyFill="1" applyAlignment="1">
      <alignment horizontal="left" vertical="top" wrapText="1"/>
    </xf>
    <xf numFmtId="0" fontId="7" fillId="3" borderId="0" xfId="0" applyFont="1" applyFill="1" applyAlignment="1">
      <alignment horizontal="lef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641312"/>
      <rgbColor rgb="FF008000"/>
      <rgbColor rgb="FF000080"/>
      <rgbColor rgb="FF808000"/>
      <rgbColor rgb="FF800080"/>
      <rgbColor rgb="FF008080"/>
      <rgbColor rgb="FFC8C2BE"/>
      <rgbColor rgb="FF878787"/>
      <rgbColor rgb="FF9999FF"/>
      <rgbColor rgb="FF993366"/>
      <rgbColor rgb="FFFBF3EF"/>
      <rgbColor rgb="FFE6DEDA"/>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F7EBE4"/>
      <rgbColor rgb="FFFFFF99"/>
      <rgbColor rgb="FFB3B3B3"/>
      <rgbColor rgb="FFFF99CC"/>
      <rgbColor rgb="FFCC99FF"/>
      <rgbColor rgb="FFFCE4D6"/>
      <rgbColor rgb="FF3366FF"/>
      <rgbColor rgb="FF33CCCC"/>
      <rgbColor rgb="FF99CC00"/>
      <rgbColor rgb="FFFFCC00"/>
      <rgbColor rgb="FFFF9900"/>
      <rgbColor rgb="FFD9534F"/>
      <rgbColor rgb="FF5A5A5A"/>
      <rgbColor rgb="FF8C8C8C"/>
      <rgbColor rgb="FF003366"/>
      <rgbColor rgb="FF339966"/>
      <rgbColor rgb="FF003300"/>
      <rgbColor rgb="FF333300"/>
      <rgbColor rgb="FF901C1A"/>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000" b="1">
                <a:latin typeface="Calibri"/>
              </a:defRPr>
            </a:pPr>
            <a:r>
              <a:rPr lang="en-US" sz="1000" b="1">
                <a:latin typeface="Calibri"/>
              </a:rPr>
              <a:t>Apertura según cómo arranca el asunto (%)</a:t>
            </a:r>
          </a:p>
        </c:rich>
      </c:tx>
      <c:layout>
        <c:manualLayout>
          <c:xMode val="edge"/>
          <c:yMode val="edge"/>
          <c:x val="0.32118563034188041"/>
          <c:y val="2.3836336336336337E-2"/>
        </c:manualLayout>
      </c:layout>
      <c:overlay val="1"/>
    </c:title>
    <c:autoTitleDeleted val="0"/>
    <c:plotArea>
      <c:layout/>
      <c:barChart>
        <c:barDir val="col"/>
        <c:grouping val="clustered"/>
        <c:varyColors val="1"/>
        <c:ser>
          <c:idx val="0"/>
          <c:order val="0"/>
          <c:tx>
            <c:strRef>
              <c:f>'TABLERO PRO'!$B$43</c:f>
              <c:strCache>
                <c:ptCount val="1"/>
                <c:pt idx="0">
                  <c:v>Apertura</c:v>
                </c:pt>
              </c:strCache>
            </c:strRef>
          </c:tx>
          <c:spPr>
            <a:solidFill>
              <a:srgbClr val="901C1A"/>
            </a:solidFill>
            <a:ln>
              <a:solidFill>
                <a:srgbClr val="901C1A"/>
              </a:solidFill>
              <a:prstDash val="solid"/>
            </a:ln>
          </c:spPr>
          <c:invertIfNegative val="1"/>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'TABLERO PRO'!$A$44:$A$45</c:f>
              <c:strCache>
                <c:ptCount val="2"/>
                <c:pt idx="0">
                  <c:v>Dice qué hay dentro</c:v>
                </c:pt>
                <c:pt idx="1">
                  <c:v>Abre con etiqueta</c:v>
                </c:pt>
              </c:strCache>
            </c:strRef>
          </c:cat>
          <c:val>
            <c:numRef>
              <c:f>'TABLERO PRO'!$B$44:$B$45</c:f>
              <c:numCache>
                <c:formatCode>0.0</c:formatCode>
                <c:ptCount val="2"/>
                <c:pt idx="0">
                  <c:v>32.873288836884214</c:v>
                </c:pt>
                <c:pt idx="1">
                  <c:v>19.617522758584379</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901C1A"/>
                    </a:solidFill>
                    <a:prstDash val="solid"/>
                  </a:ln>
                </c14:spPr>
              </c14:invertSolidFillFmt>
            </c:ext>
            <c:ext xmlns:c16="http://schemas.microsoft.com/office/drawing/2014/chart" uri="{C3380CC4-5D6E-409C-BE32-E72D297353CC}">
              <c16:uniqueId val="{00000000-233A-DB4C-91BA-6E72769328BA}"/>
            </c:ext>
          </c:extLst>
        </c:ser>
        <c:dLbls>
          <c:showLegendKey val="0"/>
          <c:showVal val="1"/>
          <c:showCatName val="0"/>
          <c:showSerName val="0"/>
          <c:showPercent val="0"/>
          <c:showBubbleSize val="0"/>
        </c:dLbls>
        <c:gapWidth val="15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in val="0"/>
        </c:scaling>
        <c:delete val="1"/>
        <c:axPos val="l"/>
        <c:majorGridlines/>
        <c:numFmt formatCode="0.0"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000" b="1">
                <a:latin typeface="Calibri"/>
              </a:defRPr>
            </a:pPr>
            <a:r>
              <a:rPr lang="en-US" sz="1000" b="1">
                <a:latin typeface="Calibri"/>
              </a:rPr>
              <a:t>La misma brecha, mes por mes (%)</a:t>
            </a:r>
          </a:p>
        </c:rich>
      </c:tx>
      <c:overlay val="1"/>
    </c:title>
    <c:autoTitleDeleted val="0"/>
    <c:plotArea>
      <c:layout/>
      <c:barChart>
        <c:barDir val="col"/>
        <c:grouping val="clustered"/>
        <c:varyColors val="1"/>
        <c:ser>
          <c:idx val="0"/>
          <c:order val="0"/>
          <c:tx>
            <c:strRef>
              <c:f>'TABLERO PRO'!$B$47</c:f>
              <c:strCache>
                <c:ptCount val="1"/>
                <c:pt idx="0">
                  <c:v>Dice qué hay dentro</c:v>
                </c:pt>
              </c:strCache>
            </c:strRef>
          </c:tx>
          <c:spPr>
            <a:solidFill>
              <a:srgbClr val="901C1A"/>
            </a:solidFill>
            <a:ln>
              <a:prstDash val="solid"/>
            </a:ln>
          </c:spPr>
          <c:invertIfNegative val="1"/>
          <c:cat>
            <c:strRef>
              <c:f>'TABLERO PRO'!$A$48:$A$50</c:f>
              <c:strCache>
                <c:ptCount val="3"/>
                <c:pt idx="0">
                  <c:v>Agosto</c:v>
                </c:pt>
                <c:pt idx="1">
                  <c:v>Septiembre</c:v>
                </c:pt>
                <c:pt idx="2">
                  <c:v>Octubre</c:v>
                </c:pt>
              </c:strCache>
            </c:strRef>
          </c:cat>
          <c:val>
            <c:numRef>
              <c:f>'TABLERO PRO'!$B$48:$B$50</c:f>
              <c:numCache>
                <c:formatCode>0.0</c:formatCode>
                <c:ptCount val="3"/>
                <c:pt idx="0">
                  <c:v>32.555381701825404</c:v>
                </c:pt>
                <c:pt idx="1">
                  <c:v>32.878149610269382</c:v>
                </c:pt>
                <c:pt idx="2">
                  <c:v>33.164493821488726</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0C0B-264B-9039-0F5461F81D72}"/>
            </c:ext>
          </c:extLst>
        </c:ser>
        <c:ser>
          <c:idx val="1"/>
          <c:order val="1"/>
          <c:tx>
            <c:strRef>
              <c:f>'TABLERO PRO'!$C$47</c:f>
              <c:strCache>
                <c:ptCount val="1"/>
                <c:pt idx="0">
                  <c:v>Abre con etiqueta</c:v>
                </c:pt>
              </c:strCache>
            </c:strRef>
          </c:tx>
          <c:spPr>
            <a:solidFill>
              <a:srgbClr val="C9C9C9"/>
            </a:solidFill>
            <a:ln>
              <a:prstDash val="solid"/>
            </a:ln>
          </c:spPr>
          <c:invertIfNegative val="1"/>
          <c:cat>
            <c:strRef>
              <c:f>'TABLERO PRO'!$A$48:$A$50</c:f>
              <c:strCache>
                <c:ptCount val="3"/>
                <c:pt idx="0">
                  <c:v>Agosto</c:v>
                </c:pt>
                <c:pt idx="1">
                  <c:v>Septiembre</c:v>
                </c:pt>
                <c:pt idx="2">
                  <c:v>Octubre</c:v>
                </c:pt>
              </c:strCache>
            </c:strRef>
          </c:cat>
          <c:val>
            <c:numRef>
              <c:f>'TABLERO PRO'!$C$48:$C$50</c:f>
              <c:numCache>
                <c:formatCode>0.0</c:formatCode>
                <c:ptCount val="3"/>
                <c:pt idx="0">
                  <c:v>22.687529323820609</c:v>
                </c:pt>
                <c:pt idx="1">
                  <c:v>16.127339318316405</c:v>
                </c:pt>
                <c:pt idx="2">
                  <c:v>19.532131265132833</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1-0C0B-264B-9039-0F5461F81D72}"/>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in val="0"/>
        </c:scaling>
        <c:delete val="1"/>
        <c:axPos val="l"/>
        <c:majorGridlines/>
        <c:numFmt formatCode="0.0" sourceLinked="1"/>
        <c:majorTickMark val="none"/>
        <c:minorTickMark val="none"/>
        <c:tickLblPos val="nextTo"/>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000" b="1">
                <a:latin typeface="Calibri"/>
              </a:defRPr>
            </a:pPr>
            <a:r>
              <a:rPr lang="en-US" sz="1000" b="1">
                <a:latin typeface="Calibri"/>
              </a:rPr>
              <a:t>Qué explica la apertura (%)</a:t>
            </a:r>
          </a:p>
        </c:rich>
      </c:tx>
      <c:overlay val="1"/>
    </c:title>
    <c:autoTitleDeleted val="0"/>
    <c:plotArea>
      <c:layout/>
      <c:barChart>
        <c:barDir val="bar"/>
        <c:grouping val="clustered"/>
        <c:varyColors val="1"/>
        <c:ser>
          <c:idx val="0"/>
          <c:order val="0"/>
          <c:tx>
            <c:strRef>
              <c:f>'TABLERO PRO'!$B$52</c:f>
              <c:strCache>
                <c:ptCount val="1"/>
                <c:pt idx="0">
                  <c:v>% explicado</c:v>
                </c:pt>
              </c:strCache>
            </c:strRef>
          </c:tx>
          <c:spPr>
            <a:solidFill>
              <a:srgbClr val="111111"/>
            </a:solidFill>
            <a:ln>
              <a:solidFill>
                <a:srgbClr val="111111"/>
              </a:solidFill>
              <a:prstDash val="solid"/>
            </a:ln>
          </c:spPr>
          <c:invertIfNegative val="1"/>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'TABLERO PRO'!$A$53:$A$57</c:f>
              <c:strCache>
                <c:ptCount val="5"/>
                <c:pt idx="0">
                  <c:v>El asunto</c:v>
                </c:pt>
                <c:pt idx="1">
                  <c:v>El tipo de campaña</c:v>
                </c:pt>
                <c:pt idx="2">
                  <c:v>La hora</c:v>
                </c:pt>
                <c:pt idx="3">
                  <c:v>El día</c:v>
                </c:pt>
                <c:pt idx="4">
                  <c:v>El mes</c:v>
                </c:pt>
              </c:strCache>
            </c:strRef>
          </c:cat>
          <c:val>
            <c:numRef>
              <c:f>'TABLERO PRO'!$B$53:$B$57</c:f>
              <c:numCache>
                <c:formatCode>0.0</c:formatCode>
                <c:ptCount val="5"/>
                <c:pt idx="0">
                  <c:v>47.41037221266307</c:v>
                </c:pt>
                <c:pt idx="1">
                  <c:v>1.3828802115824816</c:v>
                </c:pt>
                <c:pt idx="2">
                  <c:v>1.0467797552456561</c:v>
                </c:pt>
                <c:pt idx="3">
                  <c:v>0.52913857855511603</c:v>
                </c:pt>
                <c:pt idx="4">
                  <c:v>9.4078929895030472E-2</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111111"/>
                    </a:solidFill>
                    <a:prstDash val="solid"/>
                  </a:ln>
                </c14:spPr>
              </c14:invertSolidFillFmt>
            </c:ext>
            <c:ext xmlns:c16="http://schemas.microsoft.com/office/drawing/2014/chart" uri="{C3380CC4-5D6E-409C-BE32-E72D297353CC}">
              <c16:uniqueId val="{00000000-DA88-0645-98CB-9A0C93F84B44}"/>
            </c:ext>
          </c:extLst>
        </c:ser>
        <c:dLbls>
          <c:showLegendKey val="0"/>
          <c:showVal val="1"/>
          <c:showCatName val="0"/>
          <c:showSerName val="0"/>
          <c:showPercent val="0"/>
          <c:showBubbleSize val="0"/>
        </c:dLbls>
        <c:gapWidth val="150"/>
        <c:axId val="10"/>
        <c:axId val="100"/>
      </c:barChart>
      <c:catAx>
        <c:axId val="10"/>
        <c:scaling>
          <c:orientation val="minMax"/>
        </c:scaling>
        <c:delete val="1"/>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b"/>
        <c:majorGridlines/>
        <c:numFmt formatCode="0.0"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s-CO" sz="1800" b="1" strike="noStrike" spc="-1">
                <a:solidFill>
                  <a:srgbClr val="000000"/>
                </a:solidFill>
                <a:latin typeface="Calibri"/>
              </a:defRPr>
            </a:pPr>
            <a:r>
              <a:rPr lang="es-CO" sz="1800" b="1" strike="noStrike" spc="-1">
                <a:solidFill>
                  <a:srgbClr val="000000"/>
                </a:solidFill>
                <a:latin typeface="Calibri"/>
              </a:rPr>
              <a:t>El asunto lo decide todo: del 41,6 % al 10,7 %</a:t>
            </a:r>
          </a:p>
        </c:rich>
      </c:tx>
      <c:overlay val="0"/>
      <c:spPr>
        <a:noFill/>
        <a:ln w="0">
          <a:noFill/>
        </a:ln>
      </c:spPr>
    </c:title>
    <c:autoTitleDeleted val="0"/>
    <c:plotArea>
      <c:layout/>
      <c:barChart>
        <c:barDir val="bar"/>
        <c:grouping val="clustered"/>
        <c:varyColors val="0"/>
        <c:ser>
          <c:idx val="0"/>
          <c:order val="0"/>
          <c:tx>
            <c:strRef>
              <c:f>_datos_graficos!$B$1</c:f>
              <c:strCache>
                <c:ptCount val="1"/>
                <c:pt idx="0">
                  <c:v>Tasa de apertura (%)</c:v>
                </c:pt>
              </c:strCache>
            </c:strRef>
          </c:tx>
          <c:spPr>
            <a:solidFill>
              <a:srgbClr val="901C1A"/>
            </a:solidFill>
            <a:ln w="0">
              <a:solidFill>
                <a:srgbClr val="000000"/>
              </a:solidFill>
            </a:ln>
          </c:spPr>
          <c:invertIfNegative val="0"/>
          <c:dLbls>
            <c:spPr>
              <a:noFill/>
              <a:ln>
                <a:noFill/>
              </a:ln>
              <a:effectLst/>
            </c:spPr>
            <c:txPr>
              <a:bodyPr wrap="square"/>
              <a:lstStyle/>
              <a:p>
                <a:pPr>
                  <a:defRPr sz="1000" b="0" strike="noStrike" spc="-1">
                    <a:solidFill>
                      <a:srgbClr val="000000"/>
                    </a:solidFill>
                    <a:latin typeface="Arial"/>
                  </a:defRPr>
                </a:pPr>
                <a:endParaRPr lang="en-CO"/>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_datos_graficos!$A$2:$A$16</c:f>
              <c:strCache>
                <c:ptCount val="15"/>
                <c:pt idx="0">
                  <c:v>¡Ahorra YA! Flash Sale: Hasta 50% en tus favoritos</c:v>
                </c:pt>
                <c:pt idx="1">
                  <c:v>¡Tu lealtad tiene recompensa! Descúbrela, sorpresas para t</c:v>
                </c:pt>
                <c:pt idx="2">
                  <c:v>¡Pensamos en ti! Descubre estas sorpresas exclusivas</c:v>
                </c:pt>
                <c:pt idx="3">
                  <c:v>¡Solo un clic te separa de estas ofertas! L'Oréal Paris</c:v>
                </c:pt>
                <c:pt idx="4">
                  <c:v>Lo último en L'Oréal: Mantente informad@ de las novedades</c:v>
                </c:pt>
                <c:pt idx="5">
                  <c:v>¡El futuro de tu piel ha llegado! Nuevo Producto revolucio</c:v>
                </c:pt>
                <c:pt idx="6">
                  <c:v>¡Aprovecha los descuentos! Temporada de Fiestas, beauty de</c:v>
                </c:pt>
                <c:pt idx="7">
                  <c:v>¡Regalos perfectos te esperan! Descuentos de Lujo, L'Oréal</c:v>
                </c:pt>
                <c:pt idx="8">
                  <c:v>Tu Dosis de Belleza: ¡No te lo pierdas! Tips y trucos</c:v>
                </c:pt>
                <c:pt idx="9">
                  <c:v>¡Ofertas Exclusivas! Solo para nuestra comunidad VIP</c:v>
                </c:pt>
                <c:pt idx="10">
                  <c:v>¡Un pequeño detalle para agradecerte tu lealtad! L'Oréal</c:v>
                </c:pt>
                <c:pt idx="11">
                  <c:v>¡Oportunidad Única! Solo por hoy, tus favoritos a un clic</c:v>
                </c:pt>
                <c:pt idx="12">
                  <c:v>¡Gran oferta! Por tiempo limitado, no te lo pierdas</c:v>
                </c:pt>
                <c:pt idx="13">
                  <c:v>Actualización de L'Oréal: ¿Qué hay de nuevo en el mundo be</c:v>
                </c:pt>
                <c:pt idx="14">
                  <c:v>¡Oportunidades de ahorro! Descúbrelas, solo para ti</c:v>
                </c:pt>
              </c:strCache>
            </c:strRef>
          </c:cat>
          <c:val>
            <c:numRef>
              <c:f>_datos_graficos!$B$2:$B$16</c:f>
              <c:numCache>
                <c:formatCode>General</c:formatCode>
                <c:ptCount val="15"/>
                <c:pt idx="0">
                  <c:v>41.6</c:v>
                </c:pt>
                <c:pt idx="1">
                  <c:v>40.700000000000003</c:v>
                </c:pt>
                <c:pt idx="2">
                  <c:v>39.200000000000003</c:v>
                </c:pt>
                <c:pt idx="3">
                  <c:v>38.700000000000003</c:v>
                </c:pt>
                <c:pt idx="4">
                  <c:v>36.799999999999997</c:v>
                </c:pt>
                <c:pt idx="5">
                  <c:v>36.1</c:v>
                </c:pt>
                <c:pt idx="6">
                  <c:v>35.6</c:v>
                </c:pt>
                <c:pt idx="7">
                  <c:v>35.4</c:v>
                </c:pt>
                <c:pt idx="8">
                  <c:v>33.4</c:v>
                </c:pt>
                <c:pt idx="9">
                  <c:v>33</c:v>
                </c:pt>
                <c:pt idx="10">
                  <c:v>20.7</c:v>
                </c:pt>
                <c:pt idx="11">
                  <c:v>18.399999999999999</c:v>
                </c:pt>
                <c:pt idx="12">
                  <c:v>17.399999999999999</c:v>
                </c:pt>
                <c:pt idx="13">
                  <c:v>15.9</c:v>
                </c:pt>
                <c:pt idx="14">
                  <c:v>10.7</c:v>
                </c:pt>
              </c:numCache>
            </c:numRef>
          </c:val>
          <c:extLst>
            <c:ext xmlns:c16="http://schemas.microsoft.com/office/drawing/2014/chart" uri="{C3380CC4-5D6E-409C-BE32-E72D297353CC}">
              <c16:uniqueId val="{00000000-9EB3-7345-BF9D-9DBA307E4623}"/>
            </c:ext>
          </c:extLst>
        </c:ser>
        <c:dLbls>
          <c:showLegendKey val="0"/>
          <c:showVal val="0"/>
          <c:showCatName val="0"/>
          <c:showSerName val="0"/>
          <c:showPercent val="0"/>
          <c:showBubbleSize val="0"/>
        </c:dLbls>
        <c:gapWidth val="40"/>
        <c:axId val="19115378"/>
        <c:axId val="26746479"/>
      </c:barChart>
      <c:catAx>
        <c:axId val="19115378"/>
        <c:scaling>
          <c:orientation val="minMax"/>
        </c:scaling>
        <c:delete val="0"/>
        <c:axPos val="l"/>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CO"/>
          </a:p>
        </c:txPr>
        <c:crossAx val="26746479"/>
        <c:crosses val="autoZero"/>
        <c:auto val="1"/>
        <c:lblAlgn val="ctr"/>
        <c:lblOffset val="100"/>
        <c:noMultiLvlLbl val="0"/>
      </c:catAx>
      <c:valAx>
        <c:axId val="26746479"/>
        <c:scaling>
          <c:orientation val="minMax"/>
        </c:scaling>
        <c:delete val="0"/>
        <c:axPos val="b"/>
        <c:majorGridlines>
          <c:spPr>
            <a:ln w="9360">
              <a:solidFill>
                <a:srgbClr val="878787"/>
              </a:solidFill>
              <a:round/>
            </a:ln>
          </c:spPr>
        </c:majorGridlines>
        <c:title>
          <c:tx>
            <c:rich>
              <a:bodyPr rot="0"/>
              <a:lstStyle/>
              <a:p>
                <a:pPr>
                  <a:defRPr lang="es-CO" sz="1000" b="1" strike="noStrike" spc="-1">
                    <a:solidFill>
                      <a:srgbClr val="000000"/>
                    </a:solidFill>
                    <a:latin typeface="Calibri"/>
                  </a:defRPr>
                </a:pPr>
                <a:r>
                  <a:rPr lang="es-CO" sz="1000" b="1" strike="noStrike" spc="-1">
                    <a:solidFill>
                      <a:srgbClr val="000000"/>
                    </a:solidFill>
                    <a:latin typeface="Calibri"/>
                  </a:rPr>
                  <a:t>Tasa de apertura (%)</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CO"/>
          </a:p>
        </c:txPr>
        <c:crossAx val="19115378"/>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s-CO" sz="1800" b="1" strike="noStrike" spc="-1">
                <a:solidFill>
                  <a:srgbClr val="000000"/>
                </a:solidFill>
                <a:latin typeface="Calibri"/>
              </a:defRPr>
            </a:pPr>
            <a:r>
              <a:rPr lang="es-CO" sz="1800" b="1" strike="noStrike" spc="-1">
                <a:solidFill>
                  <a:srgbClr val="000000"/>
                </a:solidFill>
                <a:latin typeface="Calibri"/>
              </a:rPr>
              <a:t>Qué explica la apertura, y qué no</a:t>
            </a:r>
          </a:p>
        </c:rich>
      </c:tx>
      <c:overlay val="0"/>
      <c:spPr>
        <a:noFill/>
        <a:ln w="0">
          <a:noFill/>
        </a:ln>
      </c:spPr>
    </c:title>
    <c:autoTitleDeleted val="0"/>
    <c:plotArea>
      <c:layout/>
      <c:barChart>
        <c:barDir val="col"/>
        <c:grouping val="clustered"/>
        <c:varyColors val="0"/>
        <c:ser>
          <c:idx val="0"/>
          <c:order val="0"/>
          <c:tx>
            <c:strRef>
              <c:f>_datos_graficos!$E$1</c:f>
              <c:strCache>
                <c:ptCount val="1"/>
                <c:pt idx="0">
                  <c:v>% de la variación que explica</c:v>
                </c:pt>
              </c:strCache>
            </c:strRef>
          </c:tx>
          <c:spPr>
            <a:solidFill>
              <a:srgbClr val="000000"/>
            </a:solidFill>
            <a:ln w="0">
              <a:solidFill>
                <a:srgbClr val="000000"/>
              </a:solidFill>
            </a:ln>
          </c:spPr>
          <c:invertIfNegative val="0"/>
          <c:dLbls>
            <c:spPr>
              <a:noFill/>
              <a:ln>
                <a:noFill/>
              </a:ln>
              <a:effectLst/>
            </c:spPr>
            <c:txPr>
              <a:bodyPr wrap="square"/>
              <a:lstStyle/>
              <a:p>
                <a:pPr>
                  <a:defRPr sz="1000" b="0" strike="noStrike" spc="-1">
                    <a:solidFill>
                      <a:srgbClr val="000000"/>
                    </a:solidFill>
                    <a:latin typeface="Arial"/>
                  </a:defRPr>
                </a:pPr>
                <a:endParaRPr lang="en-CO"/>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_datos_graficos!$D$2:$D$6</c:f>
              <c:strCache>
                <c:ptCount val="5"/>
                <c:pt idx="0">
                  <c:v>Asunto + preheader</c:v>
                </c:pt>
                <c:pt idx="1">
                  <c:v>Tipo de campaña</c:v>
                </c:pt>
                <c:pt idx="2">
                  <c:v>Hora de envío</c:v>
                </c:pt>
                <c:pt idx="3">
                  <c:v>Día de la semana</c:v>
                </c:pt>
                <c:pt idx="4">
                  <c:v>Mes</c:v>
                </c:pt>
              </c:strCache>
            </c:strRef>
          </c:cat>
          <c:val>
            <c:numRef>
              <c:f>_datos_graficos!$E$2:$E$6</c:f>
              <c:numCache>
                <c:formatCode>General</c:formatCode>
                <c:ptCount val="5"/>
                <c:pt idx="0">
                  <c:v>47.4</c:v>
                </c:pt>
                <c:pt idx="1">
                  <c:v>1.4</c:v>
                </c:pt>
                <c:pt idx="2">
                  <c:v>1</c:v>
                </c:pt>
                <c:pt idx="3">
                  <c:v>0.5</c:v>
                </c:pt>
                <c:pt idx="4">
                  <c:v>0.1</c:v>
                </c:pt>
              </c:numCache>
            </c:numRef>
          </c:val>
          <c:extLst>
            <c:ext xmlns:c16="http://schemas.microsoft.com/office/drawing/2014/chart" uri="{C3380CC4-5D6E-409C-BE32-E72D297353CC}">
              <c16:uniqueId val="{00000000-8C1C-3549-90ED-42280D5C8464}"/>
            </c:ext>
          </c:extLst>
        </c:ser>
        <c:dLbls>
          <c:showLegendKey val="0"/>
          <c:showVal val="0"/>
          <c:showCatName val="0"/>
          <c:showSerName val="0"/>
          <c:showPercent val="0"/>
          <c:showBubbleSize val="0"/>
        </c:dLbls>
        <c:gapWidth val="60"/>
        <c:axId val="2449120"/>
        <c:axId val="16196656"/>
      </c:barChart>
      <c:catAx>
        <c:axId val="2449120"/>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CO"/>
          </a:p>
        </c:txPr>
        <c:crossAx val="16196656"/>
        <c:crosses val="autoZero"/>
        <c:auto val="1"/>
        <c:lblAlgn val="ctr"/>
        <c:lblOffset val="100"/>
        <c:noMultiLvlLbl val="0"/>
      </c:catAx>
      <c:valAx>
        <c:axId val="16196656"/>
        <c:scaling>
          <c:orientation val="minMax"/>
        </c:scaling>
        <c:delete val="0"/>
        <c:axPos val="l"/>
        <c:majorGridlines>
          <c:spPr>
            <a:ln w="9360">
              <a:solidFill>
                <a:srgbClr val="878787"/>
              </a:solidFill>
              <a:round/>
            </a:ln>
          </c:spPr>
        </c:majorGridlines>
        <c:title>
          <c:tx>
            <c:rich>
              <a:bodyPr rot="-5400000"/>
              <a:lstStyle/>
              <a:p>
                <a:pPr>
                  <a:defRPr lang="es-CO" sz="1000" b="1" strike="noStrike" spc="-1">
                    <a:solidFill>
                      <a:srgbClr val="000000"/>
                    </a:solidFill>
                    <a:latin typeface="Calibri"/>
                  </a:defRPr>
                </a:pPr>
                <a:r>
                  <a:rPr lang="es-CO" sz="1000" b="1" strike="noStrike" spc="-1">
                    <a:solidFill>
                      <a:srgbClr val="000000"/>
                    </a:solidFill>
                    <a:latin typeface="Calibri"/>
                  </a:rPr>
                  <a:t>% de la variación</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CO"/>
          </a:p>
        </c:txPr>
        <c:crossAx val="2449120"/>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s-CO" sz="1800" b="1" strike="noStrike" spc="-1">
                <a:solidFill>
                  <a:srgbClr val="000000"/>
                </a:solidFill>
                <a:latin typeface="Calibri"/>
              </a:defRPr>
            </a:pPr>
            <a:r>
              <a:rPr lang="es-CO" sz="1800" b="1" strike="noStrike" spc="-1">
                <a:solidFill>
                  <a:srgbClr val="000000"/>
                </a:solidFill>
                <a:latin typeface="Calibri"/>
              </a:rPr>
              <a:t>El mes no mueve nada: tres meses planos</a:t>
            </a:r>
          </a:p>
        </c:rich>
      </c:tx>
      <c:overlay val="0"/>
      <c:spPr>
        <a:noFill/>
        <a:ln w="0">
          <a:noFill/>
        </a:ln>
      </c:spPr>
    </c:title>
    <c:autoTitleDeleted val="0"/>
    <c:plotArea>
      <c:layout/>
      <c:lineChart>
        <c:grouping val="standard"/>
        <c:varyColors val="0"/>
        <c:ser>
          <c:idx val="0"/>
          <c:order val="0"/>
          <c:tx>
            <c:strRef>
              <c:f>_datos_graficos!$H$1</c:f>
              <c:strCache>
                <c:ptCount val="1"/>
                <c:pt idx="0">
                  <c:v>Apertura (%)</c:v>
                </c:pt>
              </c:strCache>
            </c:strRef>
          </c:tx>
          <c:spPr>
            <a:ln w="28080">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en-CO"/>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_datos_graficos!$G$2:$G$4</c:f>
              <c:strCache>
                <c:ptCount val="3"/>
                <c:pt idx="0">
                  <c:v>Agosto</c:v>
                </c:pt>
                <c:pt idx="1">
                  <c:v>Septiembre</c:v>
                </c:pt>
                <c:pt idx="2">
                  <c:v>Octubre</c:v>
                </c:pt>
              </c:strCache>
            </c:strRef>
          </c:cat>
          <c:val>
            <c:numRef>
              <c:f>_datos_graficos!$H$2:$H$4</c:f>
              <c:numCache>
                <c:formatCode>General</c:formatCode>
                <c:ptCount val="3"/>
                <c:pt idx="0">
                  <c:v>29.5</c:v>
                </c:pt>
                <c:pt idx="1">
                  <c:v>28.7</c:v>
                </c:pt>
                <c:pt idx="2">
                  <c:v>29.4</c:v>
                </c:pt>
              </c:numCache>
            </c:numRef>
          </c:val>
          <c:smooth val="1"/>
          <c:extLst>
            <c:ext xmlns:c16="http://schemas.microsoft.com/office/drawing/2014/chart" uri="{C3380CC4-5D6E-409C-BE32-E72D297353CC}">
              <c16:uniqueId val="{00000000-04DE-954D-867B-4DCEAD627EF8}"/>
            </c:ext>
          </c:extLst>
        </c:ser>
        <c:ser>
          <c:idx val="1"/>
          <c:order val="1"/>
          <c:tx>
            <c:strRef>
              <c:f>_datos_graficos!$I$1</c:f>
              <c:strCache>
                <c:ptCount val="1"/>
                <c:pt idx="0">
                  <c:v>CTR (%)</c:v>
                </c:pt>
              </c:strCache>
            </c:strRef>
          </c:tx>
          <c:spPr>
            <a:ln w="28080">
              <a:solidFill>
                <a:srgbClr val="901C1A"/>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en-CO"/>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_datos_graficos!$G$2:$G$4</c:f>
              <c:strCache>
                <c:ptCount val="3"/>
                <c:pt idx="0">
                  <c:v>Agosto</c:v>
                </c:pt>
                <c:pt idx="1">
                  <c:v>Septiembre</c:v>
                </c:pt>
                <c:pt idx="2">
                  <c:v>Octubre</c:v>
                </c:pt>
              </c:strCache>
            </c:strRef>
          </c:cat>
          <c:val>
            <c:numRef>
              <c:f>_datos_graficos!$I$2:$I$4</c:f>
              <c:numCache>
                <c:formatCode>General</c:formatCode>
                <c:ptCount val="3"/>
                <c:pt idx="0">
                  <c:v>10</c:v>
                </c:pt>
                <c:pt idx="1">
                  <c:v>9.6</c:v>
                </c:pt>
                <c:pt idx="2">
                  <c:v>9.6999999999999993</c:v>
                </c:pt>
              </c:numCache>
            </c:numRef>
          </c:val>
          <c:smooth val="1"/>
          <c:extLst>
            <c:ext xmlns:c16="http://schemas.microsoft.com/office/drawing/2014/chart" uri="{C3380CC4-5D6E-409C-BE32-E72D297353CC}">
              <c16:uniqueId val="{00000001-04DE-954D-867B-4DCEAD627EF8}"/>
            </c:ext>
          </c:extLst>
        </c:ser>
        <c:dLbls>
          <c:showLegendKey val="0"/>
          <c:showVal val="0"/>
          <c:showCatName val="0"/>
          <c:showSerName val="0"/>
          <c:showPercent val="0"/>
          <c:showBubbleSize val="0"/>
        </c:dLbls>
        <c:hiLowLines>
          <c:spPr>
            <a:ln w="0">
              <a:noFill/>
            </a:ln>
          </c:spPr>
        </c:hiLowLines>
        <c:smooth val="0"/>
        <c:axId val="19715916"/>
        <c:axId val="90739829"/>
      </c:lineChart>
      <c:catAx>
        <c:axId val="19715916"/>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CO"/>
          </a:p>
        </c:txPr>
        <c:crossAx val="90739829"/>
        <c:crosses val="autoZero"/>
        <c:auto val="1"/>
        <c:lblAlgn val="ctr"/>
        <c:lblOffset val="100"/>
        <c:noMultiLvlLbl val="0"/>
      </c:catAx>
      <c:valAx>
        <c:axId val="90739829"/>
        <c:scaling>
          <c:orientation val="minMax"/>
          <c:max val="40"/>
          <c:min val="0"/>
        </c:scaling>
        <c:delete val="0"/>
        <c:axPos val="l"/>
        <c:majorGridlines>
          <c:spPr>
            <a:ln w="9360">
              <a:solidFill>
                <a:srgbClr val="878787"/>
              </a:solidFill>
              <a:round/>
            </a:ln>
          </c:spPr>
        </c:majorGridlines>
        <c:title>
          <c:tx>
            <c:rich>
              <a:bodyPr rot="-5400000"/>
              <a:lstStyle/>
              <a:p>
                <a:pPr>
                  <a:defRPr lang="es-CO" sz="1000" b="1" strike="noStrike" spc="-1">
                    <a:solidFill>
                      <a:srgbClr val="000000"/>
                    </a:solidFill>
                    <a:latin typeface="Calibri"/>
                  </a:defRPr>
                </a:pPr>
                <a:r>
                  <a:rPr lang="es-CO" sz="1000" b="1" strike="noStrike" spc="-1">
                    <a:solidFill>
                      <a:srgbClr val="000000"/>
                    </a:solidFill>
                    <a:latin typeface="Calibri"/>
                  </a:rPr>
                  <a:t>%</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CO"/>
          </a:p>
        </c:txPr>
        <c:crossAx val="19715916"/>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CO"/>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s-CO" sz="1800" b="1" strike="noStrike" spc="-1">
                <a:solidFill>
                  <a:srgbClr val="000000"/>
                </a:solidFill>
                <a:latin typeface="Calibri"/>
              </a:defRPr>
            </a:pPr>
            <a:r>
              <a:rPr lang="es-CO" sz="1800" b="1" strike="noStrike" spc="-1">
                <a:solidFill>
                  <a:srgbClr val="000000"/>
                </a:solidFill>
                <a:latin typeface="Calibri"/>
              </a:rPr>
              <a:t>Ingresos vs clics: una nube sin forma (r = +0,04)</a:t>
            </a:r>
          </a:p>
        </c:rich>
      </c:tx>
      <c:overlay val="0"/>
      <c:spPr>
        <a:noFill/>
        <a:ln w="0">
          <a:noFill/>
        </a:ln>
      </c:spPr>
    </c:title>
    <c:autoTitleDeleted val="0"/>
    <c:plotArea>
      <c:layout/>
      <c:scatterChart>
        <c:scatterStyle val="lineMarker"/>
        <c:varyColors val="0"/>
        <c:ser>
          <c:idx val="0"/>
          <c:order val="0"/>
          <c:tx>
            <c:v>Campañas</c:v>
          </c:tx>
          <c:spPr>
            <a:ln w="28440">
              <a:noFill/>
            </a:ln>
          </c:spPr>
          <c:marker>
            <c:symbol val="circle"/>
            <c:size val="5"/>
            <c:spPr>
              <a:solidFill>
                <a:srgbClr val="000000"/>
              </a:solidFill>
            </c:spPr>
          </c:marker>
          <c:dLbls>
            <c:spPr>
              <a:noFill/>
              <a:ln>
                <a:noFill/>
              </a:ln>
              <a:effectLst/>
            </c:spPr>
            <c:txPr>
              <a:bodyPr wrap="square"/>
              <a:lstStyle/>
              <a:p>
                <a:pPr>
                  <a:defRPr sz="1000" b="0" strike="noStrike" spc="-1">
                    <a:solidFill>
                      <a:srgbClr val="000000"/>
                    </a:solidFill>
                    <a:latin typeface="Arial"/>
                  </a:defRPr>
                </a:pPr>
                <a:endParaRPr lang="en-CO"/>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_datos_graficos!$K$2:$K$490</c:f>
              <c:numCache>
                <c:formatCode>General</c:formatCode>
                <c:ptCount val="489"/>
                <c:pt idx="0">
                  <c:v>20073</c:v>
                </c:pt>
                <c:pt idx="1">
                  <c:v>2229</c:v>
                </c:pt>
                <c:pt idx="2">
                  <c:v>3224</c:v>
                </c:pt>
                <c:pt idx="3">
                  <c:v>17739</c:v>
                </c:pt>
                <c:pt idx="4">
                  <c:v>13237</c:v>
                </c:pt>
                <c:pt idx="5">
                  <c:v>42023</c:v>
                </c:pt>
                <c:pt idx="6">
                  <c:v>46845</c:v>
                </c:pt>
                <c:pt idx="7">
                  <c:v>7287</c:v>
                </c:pt>
                <c:pt idx="8">
                  <c:v>29335</c:v>
                </c:pt>
                <c:pt idx="9">
                  <c:v>37424</c:v>
                </c:pt>
                <c:pt idx="10">
                  <c:v>4132</c:v>
                </c:pt>
                <c:pt idx="11">
                  <c:v>14925</c:v>
                </c:pt>
                <c:pt idx="12">
                  <c:v>1934</c:v>
                </c:pt>
                <c:pt idx="13">
                  <c:v>61376</c:v>
                </c:pt>
                <c:pt idx="14">
                  <c:v>1463</c:v>
                </c:pt>
                <c:pt idx="15">
                  <c:v>10452</c:v>
                </c:pt>
                <c:pt idx="16">
                  <c:v>1750</c:v>
                </c:pt>
                <c:pt idx="17">
                  <c:v>32630</c:v>
                </c:pt>
                <c:pt idx="18">
                  <c:v>254</c:v>
                </c:pt>
                <c:pt idx="19">
                  <c:v>5284</c:v>
                </c:pt>
                <c:pt idx="20">
                  <c:v>16599</c:v>
                </c:pt>
                <c:pt idx="21">
                  <c:v>24598</c:v>
                </c:pt>
                <c:pt idx="22">
                  <c:v>1501</c:v>
                </c:pt>
                <c:pt idx="23">
                  <c:v>12903</c:v>
                </c:pt>
                <c:pt idx="24">
                  <c:v>290</c:v>
                </c:pt>
                <c:pt idx="25">
                  <c:v>13010</c:v>
                </c:pt>
                <c:pt idx="26">
                  <c:v>52796</c:v>
                </c:pt>
                <c:pt idx="27">
                  <c:v>49514</c:v>
                </c:pt>
                <c:pt idx="28">
                  <c:v>4734</c:v>
                </c:pt>
                <c:pt idx="29">
                  <c:v>35754</c:v>
                </c:pt>
                <c:pt idx="30">
                  <c:v>58022</c:v>
                </c:pt>
                <c:pt idx="31">
                  <c:v>45450</c:v>
                </c:pt>
                <c:pt idx="32">
                  <c:v>53518</c:v>
                </c:pt>
                <c:pt idx="33">
                  <c:v>15039</c:v>
                </c:pt>
                <c:pt idx="34">
                  <c:v>64344</c:v>
                </c:pt>
                <c:pt idx="35">
                  <c:v>56911</c:v>
                </c:pt>
                <c:pt idx="36">
                  <c:v>18501</c:v>
                </c:pt>
                <c:pt idx="37">
                  <c:v>55022</c:v>
                </c:pt>
                <c:pt idx="38">
                  <c:v>60677</c:v>
                </c:pt>
                <c:pt idx="39">
                  <c:v>60616</c:v>
                </c:pt>
                <c:pt idx="40">
                  <c:v>9719</c:v>
                </c:pt>
                <c:pt idx="41">
                  <c:v>87178</c:v>
                </c:pt>
                <c:pt idx="42">
                  <c:v>66579</c:v>
                </c:pt>
                <c:pt idx="43">
                  <c:v>40810</c:v>
                </c:pt>
                <c:pt idx="44">
                  <c:v>15112</c:v>
                </c:pt>
                <c:pt idx="45">
                  <c:v>64273</c:v>
                </c:pt>
                <c:pt idx="46">
                  <c:v>25666</c:v>
                </c:pt>
                <c:pt idx="47">
                  <c:v>44440</c:v>
                </c:pt>
                <c:pt idx="48">
                  <c:v>63953</c:v>
                </c:pt>
                <c:pt idx="49">
                  <c:v>16654</c:v>
                </c:pt>
                <c:pt idx="50">
                  <c:v>10031</c:v>
                </c:pt>
                <c:pt idx="51">
                  <c:v>49999</c:v>
                </c:pt>
                <c:pt idx="52">
                  <c:v>64696</c:v>
                </c:pt>
                <c:pt idx="53">
                  <c:v>26905</c:v>
                </c:pt>
                <c:pt idx="54">
                  <c:v>11162</c:v>
                </c:pt>
                <c:pt idx="55">
                  <c:v>54877</c:v>
                </c:pt>
                <c:pt idx="56">
                  <c:v>11406</c:v>
                </c:pt>
                <c:pt idx="57">
                  <c:v>22283</c:v>
                </c:pt>
                <c:pt idx="58">
                  <c:v>6070</c:v>
                </c:pt>
                <c:pt idx="59">
                  <c:v>13470</c:v>
                </c:pt>
                <c:pt idx="60">
                  <c:v>3634</c:v>
                </c:pt>
                <c:pt idx="61">
                  <c:v>32412</c:v>
                </c:pt>
                <c:pt idx="62">
                  <c:v>16503</c:v>
                </c:pt>
                <c:pt idx="63">
                  <c:v>77123</c:v>
                </c:pt>
                <c:pt idx="64">
                  <c:v>3963</c:v>
                </c:pt>
                <c:pt idx="65">
                  <c:v>17522</c:v>
                </c:pt>
                <c:pt idx="66">
                  <c:v>7392</c:v>
                </c:pt>
                <c:pt idx="67">
                  <c:v>41724</c:v>
                </c:pt>
                <c:pt idx="68">
                  <c:v>29147</c:v>
                </c:pt>
                <c:pt idx="69">
                  <c:v>58607</c:v>
                </c:pt>
                <c:pt idx="70">
                  <c:v>11872</c:v>
                </c:pt>
                <c:pt idx="71">
                  <c:v>16723</c:v>
                </c:pt>
                <c:pt idx="72">
                  <c:v>17307</c:v>
                </c:pt>
                <c:pt idx="73">
                  <c:v>57199</c:v>
                </c:pt>
                <c:pt idx="74">
                  <c:v>24299</c:v>
                </c:pt>
                <c:pt idx="75">
                  <c:v>2070</c:v>
                </c:pt>
                <c:pt idx="76">
                  <c:v>6093</c:v>
                </c:pt>
                <c:pt idx="77">
                  <c:v>48106</c:v>
                </c:pt>
                <c:pt idx="78">
                  <c:v>8616</c:v>
                </c:pt>
                <c:pt idx="79">
                  <c:v>7371</c:v>
                </c:pt>
                <c:pt idx="80">
                  <c:v>23933</c:v>
                </c:pt>
                <c:pt idx="81">
                  <c:v>23858</c:v>
                </c:pt>
                <c:pt idx="82">
                  <c:v>2899</c:v>
                </c:pt>
                <c:pt idx="83">
                  <c:v>15469</c:v>
                </c:pt>
                <c:pt idx="84">
                  <c:v>25492</c:v>
                </c:pt>
                <c:pt idx="85">
                  <c:v>9365</c:v>
                </c:pt>
                <c:pt idx="86">
                  <c:v>2985</c:v>
                </c:pt>
                <c:pt idx="87">
                  <c:v>46849</c:v>
                </c:pt>
                <c:pt idx="88">
                  <c:v>61005</c:v>
                </c:pt>
                <c:pt idx="89">
                  <c:v>182</c:v>
                </c:pt>
                <c:pt idx="90">
                  <c:v>12959</c:v>
                </c:pt>
                <c:pt idx="91">
                  <c:v>10397</c:v>
                </c:pt>
                <c:pt idx="92">
                  <c:v>15277</c:v>
                </c:pt>
                <c:pt idx="93">
                  <c:v>7830</c:v>
                </c:pt>
                <c:pt idx="94">
                  <c:v>34129</c:v>
                </c:pt>
                <c:pt idx="95">
                  <c:v>4862</c:v>
                </c:pt>
                <c:pt idx="96">
                  <c:v>49609</c:v>
                </c:pt>
                <c:pt idx="97">
                  <c:v>27439</c:v>
                </c:pt>
                <c:pt idx="98">
                  <c:v>48425</c:v>
                </c:pt>
                <c:pt idx="99">
                  <c:v>59253</c:v>
                </c:pt>
                <c:pt idx="100">
                  <c:v>34741</c:v>
                </c:pt>
                <c:pt idx="101">
                  <c:v>65111</c:v>
                </c:pt>
                <c:pt idx="102">
                  <c:v>19225</c:v>
                </c:pt>
                <c:pt idx="103">
                  <c:v>27399</c:v>
                </c:pt>
                <c:pt idx="104">
                  <c:v>4052</c:v>
                </c:pt>
                <c:pt idx="105">
                  <c:v>7731</c:v>
                </c:pt>
                <c:pt idx="106">
                  <c:v>3315</c:v>
                </c:pt>
                <c:pt idx="107">
                  <c:v>5382</c:v>
                </c:pt>
                <c:pt idx="108">
                  <c:v>64955</c:v>
                </c:pt>
                <c:pt idx="109">
                  <c:v>4865</c:v>
                </c:pt>
                <c:pt idx="110">
                  <c:v>13702</c:v>
                </c:pt>
                <c:pt idx="111">
                  <c:v>7898</c:v>
                </c:pt>
                <c:pt idx="112">
                  <c:v>13324</c:v>
                </c:pt>
                <c:pt idx="113">
                  <c:v>9427</c:v>
                </c:pt>
                <c:pt idx="114">
                  <c:v>13374</c:v>
                </c:pt>
                <c:pt idx="115">
                  <c:v>14555</c:v>
                </c:pt>
                <c:pt idx="116">
                  <c:v>96</c:v>
                </c:pt>
                <c:pt idx="117">
                  <c:v>10190</c:v>
                </c:pt>
                <c:pt idx="118">
                  <c:v>21699</c:v>
                </c:pt>
                <c:pt idx="119">
                  <c:v>63986</c:v>
                </c:pt>
                <c:pt idx="120">
                  <c:v>12155</c:v>
                </c:pt>
                <c:pt idx="121">
                  <c:v>42841</c:v>
                </c:pt>
                <c:pt idx="122">
                  <c:v>7200</c:v>
                </c:pt>
                <c:pt idx="123">
                  <c:v>35133</c:v>
                </c:pt>
                <c:pt idx="124">
                  <c:v>16281</c:v>
                </c:pt>
                <c:pt idx="125">
                  <c:v>7080</c:v>
                </c:pt>
                <c:pt idx="126">
                  <c:v>4283</c:v>
                </c:pt>
                <c:pt idx="127">
                  <c:v>23024</c:v>
                </c:pt>
                <c:pt idx="128">
                  <c:v>22266</c:v>
                </c:pt>
                <c:pt idx="129">
                  <c:v>900</c:v>
                </c:pt>
                <c:pt idx="130">
                  <c:v>20668</c:v>
                </c:pt>
                <c:pt idx="131">
                  <c:v>81744</c:v>
                </c:pt>
                <c:pt idx="132">
                  <c:v>65466</c:v>
                </c:pt>
                <c:pt idx="133">
                  <c:v>17926</c:v>
                </c:pt>
                <c:pt idx="134">
                  <c:v>2263</c:v>
                </c:pt>
                <c:pt idx="135">
                  <c:v>15951</c:v>
                </c:pt>
                <c:pt idx="136">
                  <c:v>15423</c:v>
                </c:pt>
                <c:pt idx="137">
                  <c:v>2335</c:v>
                </c:pt>
                <c:pt idx="138">
                  <c:v>8605</c:v>
                </c:pt>
                <c:pt idx="139">
                  <c:v>28205</c:v>
                </c:pt>
                <c:pt idx="140">
                  <c:v>2187</c:v>
                </c:pt>
                <c:pt idx="141">
                  <c:v>28394</c:v>
                </c:pt>
                <c:pt idx="142">
                  <c:v>11158</c:v>
                </c:pt>
                <c:pt idx="143">
                  <c:v>11351</c:v>
                </c:pt>
                <c:pt idx="144">
                  <c:v>44837</c:v>
                </c:pt>
                <c:pt idx="145">
                  <c:v>36386</c:v>
                </c:pt>
                <c:pt idx="146">
                  <c:v>46654</c:v>
                </c:pt>
                <c:pt idx="147">
                  <c:v>25116</c:v>
                </c:pt>
                <c:pt idx="148">
                  <c:v>13271</c:v>
                </c:pt>
                <c:pt idx="149">
                  <c:v>1769</c:v>
                </c:pt>
                <c:pt idx="150">
                  <c:v>14934</c:v>
                </c:pt>
                <c:pt idx="151">
                  <c:v>3888</c:v>
                </c:pt>
                <c:pt idx="152">
                  <c:v>7643</c:v>
                </c:pt>
                <c:pt idx="153">
                  <c:v>5127</c:v>
                </c:pt>
                <c:pt idx="154">
                  <c:v>42859</c:v>
                </c:pt>
                <c:pt idx="155">
                  <c:v>57467</c:v>
                </c:pt>
                <c:pt idx="156">
                  <c:v>3194</c:v>
                </c:pt>
                <c:pt idx="157">
                  <c:v>4714</c:v>
                </c:pt>
                <c:pt idx="158">
                  <c:v>2538</c:v>
                </c:pt>
                <c:pt idx="159">
                  <c:v>5401</c:v>
                </c:pt>
                <c:pt idx="160">
                  <c:v>10562</c:v>
                </c:pt>
                <c:pt idx="161">
                  <c:v>9625</c:v>
                </c:pt>
                <c:pt idx="162">
                  <c:v>266</c:v>
                </c:pt>
                <c:pt idx="163">
                  <c:v>2719</c:v>
                </c:pt>
                <c:pt idx="164">
                  <c:v>2348</c:v>
                </c:pt>
                <c:pt idx="165">
                  <c:v>5987</c:v>
                </c:pt>
                <c:pt idx="166">
                  <c:v>16730</c:v>
                </c:pt>
                <c:pt idx="167">
                  <c:v>22765</c:v>
                </c:pt>
                <c:pt idx="168">
                  <c:v>824</c:v>
                </c:pt>
                <c:pt idx="169">
                  <c:v>3910</c:v>
                </c:pt>
                <c:pt idx="170">
                  <c:v>43110</c:v>
                </c:pt>
                <c:pt idx="171">
                  <c:v>14341</c:v>
                </c:pt>
                <c:pt idx="172">
                  <c:v>44665</c:v>
                </c:pt>
                <c:pt idx="173">
                  <c:v>10762</c:v>
                </c:pt>
                <c:pt idx="174">
                  <c:v>13547</c:v>
                </c:pt>
                <c:pt idx="175">
                  <c:v>25920</c:v>
                </c:pt>
                <c:pt idx="176">
                  <c:v>18524</c:v>
                </c:pt>
                <c:pt idx="177">
                  <c:v>14022</c:v>
                </c:pt>
                <c:pt idx="178">
                  <c:v>46282</c:v>
                </c:pt>
                <c:pt idx="179">
                  <c:v>12485</c:v>
                </c:pt>
                <c:pt idx="180">
                  <c:v>6980</c:v>
                </c:pt>
                <c:pt idx="181">
                  <c:v>5830</c:v>
                </c:pt>
                <c:pt idx="182">
                  <c:v>61771</c:v>
                </c:pt>
                <c:pt idx="183">
                  <c:v>47470</c:v>
                </c:pt>
                <c:pt idx="184">
                  <c:v>11184</c:v>
                </c:pt>
                <c:pt idx="185">
                  <c:v>6334</c:v>
                </c:pt>
                <c:pt idx="186">
                  <c:v>40004</c:v>
                </c:pt>
                <c:pt idx="187">
                  <c:v>72671</c:v>
                </c:pt>
                <c:pt idx="188">
                  <c:v>11520</c:v>
                </c:pt>
                <c:pt idx="189">
                  <c:v>3891</c:v>
                </c:pt>
                <c:pt idx="190">
                  <c:v>53412</c:v>
                </c:pt>
                <c:pt idx="191">
                  <c:v>43900</c:v>
                </c:pt>
                <c:pt idx="192">
                  <c:v>61869</c:v>
                </c:pt>
                <c:pt idx="193">
                  <c:v>9760</c:v>
                </c:pt>
                <c:pt idx="194">
                  <c:v>28263</c:v>
                </c:pt>
                <c:pt idx="195">
                  <c:v>21915</c:v>
                </c:pt>
                <c:pt idx="196">
                  <c:v>9041</c:v>
                </c:pt>
                <c:pt idx="197">
                  <c:v>53457</c:v>
                </c:pt>
                <c:pt idx="198">
                  <c:v>1110</c:v>
                </c:pt>
                <c:pt idx="199">
                  <c:v>4289</c:v>
                </c:pt>
                <c:pt idx="200">
                  <c:v>5335</c:v>
                </c:pt>
                <c:pt idx="201">
                  <c:v>32398</c:v>
                </c:pt>
                <c:pt idx="202">
                  <c:v>2073</c:v>
                </c:pt>
                <c:pt idx="203">
                  <c:v>18730</c:v>
                </c:pt>
                <c:pt idx="204">
                  <c:v>2618</c:v>
                </c:pt>
                <c:pt idx="205">
                  <c:v>22402</c:v>
                </c:pt>
                <c:pt idx="206">
                  <c:v>7262</c:v>
                </c:pt>
                <c:pt idx="207">
                  <c:v>11265</c:v>
                </c:pt>
                <c:pt idx="208">
                  <c:v>4278</c:v>
                </c:pt>
                <c:pt idx="209">
                  <c:v>22370</c:v>
                </c:pt>
                <c:pt idx="210">
                  <c:v>56850</c:v>
                </c:pt>
                <c:pt idx="211">
                  <c:v>3902</c:v>
                </c:pt>
                <c:pt idx="212">
                  <c:v>52495</c:v>
                </c:pt>
                <c:pt idx="213">
                  <c:v>43916</c:v>
                </c:pt>
                <c:pt idx="214">
                  <c:v>19681</c:v>
                </c:pt>
                <c:pt idx="215">
                  <c:v>11136</c:v>
                </c:pt>
                <c:pt idx="216">
                  <c:v>4500</c:v>
                </c:pt>
                <c:pt idx="217">
                  <c:v>8568</c:v>
                </c:pt>
                <c:pt idx="218">
                  <c:v>34255</c:v>
                </c:pt>
                <c:pt idx="219">
                  <c:v>23112</c:v>
                </c:pt>
                <c:pt idx="220">
                  <c:v>7598</c:v>
                </c:pt>
                <c:pt idx="221">
                  <c:v>23229</c:v>
                </c:pt>
                <c:pt idx="222">
                  <c:v>8823</c:v>
                </c:pt>
                <c:pt idx="223">
                  <c:v>12810</c:v>
                </c:pt>
                <c:pt idx="224">
                  <c:v>50505</c:v>
                </c:pt>
                <c:pt idx="225">
                  <c:v>3116</c:v>
                </c:pt>
                <c:pt idx="226">
                  <c:v>37575</c:v>
                </c:pt>
                <c:pt idx="227">
                  <c:v>30979</c:v>
                </c:pt>
                <c:pt idx="228">
                  <c:v>32135</c:v>
                </c:pt>
                <c:pt idx="229">
                  <c:v>16757</c:v>
                </c:pt>
                <c:pt idx="230">
                  <c:v>41872</c:v>
                </c:pt>
                <c:pt idx="231">
                  <c:v>13377</c:v>
                </c:pt>
                <c:pt idx="232">
                  <c:v>8584</c:v>
                </c:pt>
                <c:pt idx="233">
                  <c:v>612</c:v>
                </c:pt>
                <c:pt idx="234">
                  <c:v>93270</c:v>
                </c:pt>
                <c:pt idx="235">
                  <c:v>11425</c:v>
                </c:pt>
                <c:pt idx="236">
                  <c:v>58356</c:v>
                </c:pt>
                <c:pt idx="237">
                  <c:v>32906</c:v>
                </c:pt>
                <c:pt idx="238">
                  <c:v>7009</c:v>
                </c:pt>
                <c:pt idx="239">
                  <c:v>5026</c:v>
                </c:pt>
                <c:pt idx="240">
                  <c:v>18884</c:v>
                </c:pt>
                <c:pt idx="241">
                  <c:v>31835</c:v>
                </c:pt>
                <c:pt idx="242">
                  <c:v>38210</c:v>
                </c:pt>
                <c:pt idx="243">
                  <c:v>38053</c:v>
                </c:pt>
                <c:pt idx="244">
                  <c:v>14966</c:v>
                </c:pt>
                <c:pt idx="245">
                  <c:v>54124</c:v>
                </c:pt>
                <c:pt idx="246">
                  <c:v>18855</c:v>
                </c:pt>
                <c:pt idx="247">
                  <c:v>2368</c:v>
                </c:pt>
                <c:pt idx="248">
                  <c:v>20155</c:v>
                </c:pt>
                <c:pt idx="249">
                  <c:v>1501</c:v>
                </c:pt>
                <c:pt idx="250">
                  <c:v>13075</c:v>
                </c:pt>
                <c:pt idx="251">
                  <c:v>5166</c:v>
                </c:pt>
                <c:pt idx="252">
                  <c:v>264</c:v>
                </c:pt>
                <c:pt idx="253">
                  <c:v>21250</c:v>
                </c:pt>
                <c:pt idx="254">
                  <c:v>6849</c:v>
                </c:pt>
                <c:pt idx="255">
                  <c:v>33284</c:v>
                </c:pt>
                <c:pt idx="256">
                  <c:v>16581</c:v>
                </c:pt>
                <c:pt idx="257">
                  <c:v>17300</c:v>
                </c:pt>
                <c:pt idx="258">
                  <c:v>1857</c:v>
                </c:pt>
                <c:pt idx="259">
                  <c:v>45856</c:v>
                </c:pt>
                <c:pt idx="260">
                  <c:v>16301</c:v>
                </c:pt>
                <c:pt idx="261">
                  <c:v>5413</c:v>
                </c:pt>
                <c:pt idx="262">
                  <c:v>17387</c:v>
                </c:pt>
                <c:pt idx="263">
                  <c:v>25345</c:v>
                </c:pt>
                <c:pt idx="264">
                  <c:v>31988</c:v>
                </c:pt>
                <c:pt idx="265">
                  <c:v>6370</c:v>
                </c:pt>
                <c:pt idx="266">
                  <c:v>46497</c:v>
                </c:pt>
                <c:pt idx="267">
                  <c:v>207</c:v>
                </c:pt>
                <c:pt idx="268">
                  <c:v>1353</c:v>
                </c:pt>
                <c:pt idx="269">
                  <c:v>10679</c:v>
                </c:pt>
                <c:pt idx="270">
                  <c:v>17799</c:v>
                </c:pt>
                <c:pt idx="271">
                  <c:v>2371</c:v>
                </c:pt>
                <c:pt idx="272">
                  <c:v>83827</c:v>
                </c:pt>
                <c:pt idx="273">
                  <c:v>16752</c:v>
                </c:pt>
                <c:pt idx="274">
                  <c:v>27500</c:v>
                </c:pt>
                <c:pt idx="275">
                  <c:v>847</c:v>
                </c:pt>
                <c:pt idx="276">
                  <c:v>57530</c:v>
                </c:pt>
                <c:pt idx="277">
                  <c:v>29813</c:v>
                </c:pt>
                <c:pt idx="278">
                  <c:v>12128</c:v>
                </c:pt>
                <c:pt idx="279">
                  <c:v>8050</c:v>
                </c:pt>
                <c:pt idx="280">
                  <c:v>18484</c:v>
                </c:pt>
                <c:pt idx="281">
                  <c:v>14041</c:v>
                </c:pt>
                <c:pt idx="282">
                  <c:v>45904</c:v>
                </c:pt>
                <c:pt idx="283">
                  <c:v>9638</c:v>
                </c:pt>
                <c:pt idx="284">
                  <c:v>24076</c:v>
                </c:pt>
                <c:pt idx="285">
                  <c:v>42188</c:v>
                </c:pt>
                <c:pt idx="286">
                  <c:v>34547</c:v>
                </c:pt>
                <c:pt idx="287">
                  <c:v>43854</c:v>
                </c:pt>
                <c:pt idx="288">
                  <c:v>5500</c:v>
                </c:pt>
                <c:pt idx="289">
                  <c:v>6866</c:v>
                </c:pt>
                <c:pt idx="290">
                  <c:v>16649</c:v>
                </c:pt>
                <c:pt idx="291">
                  <c:v>27681</c:v>
                </c:pt>
                <c:pt idx="292">
                  <c:v>5348</c:v>
                </c:pt>
                <c:pt idx="293">
                  <c:v>22588</c:v>
                </c:pt>
                <c:pt idx="294">
                  <c:v>2980</c:v>
                </c:pt>
                <c:pt idx="295">
                  <c:v>35153</c:v>
                </c:pt>
                <c:pt idx="296">
                  <c:v>18972</c:v>
                </c:pt>
                <c:pt idx="297">
                  <c:v>2091</c:v>
                </c:pt>
                <c:pt idx="298">
                  <c:v>17242</c:v>
                </c:pt>
                <c:pt idx="299">
                  <c:v>14653</c:v>
                </c:pt>
                <c:pt idx="300">
                  <c:v>1927</c:v>
                </c:pt>
                <c:pt idx="301">
                  <c:v>30956</c:v>
                </c:pt>
                <c:pt idx="302">
                  <c:v>73456</c:v>
                </c:pt>
                <c:pt idx="303">
                  <c:v>36709</c:v>
                </c:pt>
                <c:pt idx="304">
                  <c:v>7995</c:v>
                </c:pt>
                <c:pt idx="305">
                  <c:v>72619</c:v>
                </c:pt>
                <c:pt idx="306">
                  <c:v>2662</c:v>
                </c:pt>
                <c:pt idx="307">
                  <c:v>60882</c:v>
                </c:pt>
                <c:pt idx="308">
                  <c:v>14697</c:v>
                </c:pt>
                <c:pt idx="309">
                  <c:v>74092</c:v>
                </c:pt>
                <c:pt idx="310">
                  <c:v>47892</c:v>
                </c:pt>
                <c:pt idx="311">
                  <c:v>39281</c:v>
                </c:pt>
                <c:pt idx="312">
                  <c:v>13829</c:v>
                </c:pt>
                <c:pt idx="313">
                  <c:v>22266</c:v>
                </c:pt>
                <c:pt idx="314">
                  <c:v>2197</c:v>
                </c:pt>
                <c:pt idx="315">
                  <c:v>29762</c:v>
                </c:pt>
                <c:pt idx="316">
                  <c:v>7510</c:v>
                </c:pt>
                <c:pt idx="317">
                  <c:v>10970</c:v>
                </c:pt>
                <c:pt idx="318">
                  <c:v>33134</c:v>
                </c:pt>
                <c:pt idx="319">
                  <c:v>43360</c:v>
                </c:pt>
                <c:pt idx="320">
                  <c:v>43344</c:v>
                </c:pt>
                <c:pt idx="321">
                  <c:v>54256</c:v>
                </c:pt>
                <c:pt idx="322">
                  <c:v>38444</c:v>
                </c:pt>
                <c:pt idx="323">
                  <c:v>19504</c:v>
                </c:pt>
                <c:pt idx="324">
                  <c:v>25141</c:v>
                </c:pt>
                <c:pt idx="325">
                  <c:v>48074</c:v>
                </c:pt>
                <c:pt idx="326">
                  <c:v>60573</c:v>
                </c:pt>
                <c:pt idx="327">
                  <c:v>5840</c:v>
                </c:pt>
                <c:pt idx="328">
                  <c:v>2180</c:v>
                </c:pt>
                <c:pt idx="329">
                  <c:v>28646</c:v>
                </c:pt>
                <c:pt idx="330">
                  <c:v>9401</c:v>
                </c:pt>
                <c:pt idx="331">
                  <c:v>16200</c:v>
                </c:pt>
                <c:pt idx="332">
                  <c:v>74676</c:v>
                </c:pt>
                <c:pt idx="333">
                  <c:v>7306</c:v>
                </c:pt>
                <c:pt idx="334">
                  <c:v>10590</c:v>
                </c:pt>
                <c:pt idx="335">
                  <c:v>1333</c:v>
                </c:pt>
                <c:pt idx="336">
                  <c:v>8087</c:v>
                </c:pt>
                <c:pt idx="337">
                  <c:v>7640</c:v>
                </c:pt>
                <c:pt idx="338">
                  <c:v>11014</c:v>
                </c:pt>
                <c:pt idx="339">
                  <c:v>1552</c:v>
                </c:pt>
                <c:pt idx="340">
                  <c:v>61320</c:v>
                </c:pt>
                <c:pt idx="341">
                  <c:v>17807</c:v>
                </c:pt>
                <c:pt idx="342">
                  <c:v>3287</c:v>
                </c:pt>
                <c:pt idx="343">
                  <c:v>8738</c:v>
                </c:pt>
                <c:pt idx="344">
                  <c:v>33463</c:v>
                </c:pt>
                <c:pt idx="345">
                  <c:v>7261</c:v>
                </c:pt>
                <c:pt idx="346">
                  <c:v>38176</c:v>
                </c:pt>
                <c:pt idx="347">
                  <c:v>23811</c:v>
                </c:pt>
                <c:pt idx="348">
                  <c:v>2123</c:v>
                </c:pt>
                <c:pt idx="349">
                  <c:v>34966</c:v>
                </c:pt>
                <c:pt idx="350">
                  <c:v>65313</c:v>
                </c:pt>
                <c:pt idx="351">
                  <c:v>61517</c:v>
                </c:pt>
                <c:pt idx="352">
                  <c:v>11606</c:v>
                </c:pt>
                <c:pt idx="353">
                  <c:v>15024</c:v>
                </c:pt>
                <c:pt idx="354">
                  <c:v>42</c:v>
                </c:pt>
                <c:pt idx="355">
                  <c:v>20658</c:v>
                </c:pt>
                <c:pt idx="356">
                  <c:v>15971</c:v>
                </c:pt>
                <c:pt idx="357">
                  <c:v>41295</c:v>
                </c:pt>
                <c:pt idx="358">
                  <c:v>3472</c:v>
                </c:pt>
                <c:pt idx="359">
                  <c:v>9811</c:v>
                </c:pt>
                <c:pt idx="360">
                  <c:v>3055</c:v>
                </c:pt>
                <c:pt idx="361">
                  <c:v>10279</c:v>
                </c:pt>
                <c:pt idx="362">
                  <c:v>12388</c:v>
                </c:pt>
                <c:pt idx="363">
                  <c:v>9191</c:v>
                </c:pt>
                <c:pt idx="364">
                  <c:v>19564</c:v>
                </c:pt>
                <c:pt idx="365">
                  <c:v>6177</c:v>
                </c:pt>
                <c:pt idx="366">
                  <c:v>2216</c:v>
                </c:pt>
                <c:pt idx="367">
                  <c:v>5820</c:v>
                </c:pt>
                <c:pt idx="368">
                  <c:v>67406</c:v>
                </c:pt>
                <c:pt idx="369">
                  <c:v>7973</c:v>
                </c:pt>
                <c:pt idx="370">
                  <c:v>46675</c:v>
                </c:pt>
                <c:pt idx="371">
                  <c:v>10708</c:v>
                </c:pt>
                <c:pt idx="372">
                  <c:v>208</c:v>
                </c:pt>
                <c:pt idx="373">
                  <c:v>29642</c:v>
                </c:pt>
                <c:pt idx="374">
                  <c:v>53920</c:v>
                </c:pt>
                <c:pt idx="375">
                  <c:v>26757</c:v>
                </c:pt>
                <c:pt idx="376">
                  <c:v>39877</c:v>
                </c:pt>
                <c:pt idx="377">
                  <c:v>32532</c:v>
                </c:pt>
                <c:pt idx="378">
                  <c:v>2543</c:v>
                </c:pt>
                <c:pt idx="379">
                  <c:v>4334</c:v>
                </c:pt>
                <c:pt idx="380">
                  <c:v>43634</c:v>
                </c:pt>
                <c:pt idx="381">
                  <c:v>44477</c:v>
                </c:pt>
                <c:pt idx="382">
                  <c:v>28198</c:v>
                </c:pt>
                <c:pt idx="383">
                  <c:v>53760</c:v>
                </c:pt>
                <c:pt idx="384">
                  <c:v>24949</c:v>
                </c:pt>
                <c:pt idx="385">
                  <c:v>1475</c:v>
                </c:pt>
                <c:pt idx="386">
                  <c:v>15648</c:v>
                </c:pt>
                <c:pt idx="387">
                  <c:v>26006</c:v>
                </c:pt>
                <c:pt idx="388">
                  <c:v>17013</c:v>
                </c:pt>
                <c:pt idx="389">
                  <c:v>2557</c:v>
                </c:pt>
                <c:pt idx="390">
                  <c:v>6481</c:v>
                </c:pt>
                <c:pt idx="391">
                  <c:v>39994</c:v>
                </c:pt>
                <c:pt idx="392">
                  <c:v>14480</c:v>
                </c:pt>
                <c:pt idx="393">
                  <c:v>43477</c:v>
                </c:pt>
                <c:pt idx="394">
                  <c:v>32082</c:v>
                </c:pt>
                <c:pt idx="395">
                  <c:v>32799</c:v>
                </c:pt>
                <c:pt idx="396">
                  <c:v>46174</c:v>
                </c:pt>
                <c:pt idx="397">
                  <c:v>12467</c:v>
                </c:pt>
                <c:pt idx="398">
                  <c:v>6766</c:v>
                </c:pt>
                <c:pt idx="399">
                  <c:v>11400</c:v>
                </c:pt>
                <c:pt idx="400">
                  <c:v>37311</c:v>
                </c:pt>
                <c:pt idx="401">
                  <c:v>16503</c:v>
                </c:pt>
                <c:pt idx="402">
                  <c:v>47317</c:v>
                </c:pt>
                <c:pt idx="403">
                  <c:v>34749</c:v>
                </c:pt>
                <c:pt idx="404">
                  <c:v>42294</c:v>
                </c:pt>
                <c:pt idx="405">
                  <c:v>32493</c:v>
                </c:pt>
                <c:pt idx="406">
                  <c:v>16263</c:v>
                </c:pt>
                <c:pt idx="407">
                  <c:v>3044</c:v>
                </c:pt>
                <c:pt idx="408">
                  <c:v>61343</c:v>
                </c:pt>
                <c:pt idx="409">
                  <c:v>24645</c:v>
                </c:pt>
                <c:pt idx="410">
                  <c:v>13032</c:v>
                </c:pt>
                <c:pt idx="411">
                  <c:v>3890</c:v>
                </c:pt>
                <c:pt idx="412">
                  <c:v>9635</c:v>
                </c:pt>
                <c:pt idx="413">
                  <c:v>26909</c:v>
                </c:pt>
                <c:pt idx="414">
                  <c:v>16382</c:v>
                </c:pt>
                <c:pt idx="415">
                  <c:v>54737</c:v>
                </c:pt>
                <c:pt idx="416">
                  <c:v>30376</c:v>
                </c:pt>
                <c:pt idx="417">
                  <c:v>58022</c:v>
                </c:pt>
                <c:pt idx="418">
                  <c:v>6324</c:v>
                </c:pt>
                <c:pt idx="419">
                  <c:v>59998</c:v>
                </c:pt>
                <c:pt idx="420">
                  <c:v>74700</c:v>
                </c:pt>
                <c:pt idx="421">
                  <c:v>14917</c:v>
                </c:pt>
                <c:pt idx="422">
                  <c:v>52981</c:v>
                </c:pt>
                <c:pt idx="423">
                  <c:v>20925</c:v>
                </c:pt>
                <c:pt idx="424">
                  <c:v>43927</c:v>
                </c:pt>
                <c:pt idx="425">
                  <c:v>25405</c:v>
                </c:pt>
                <c:pt idx="426">
                  <c:v>6452</c:v>
                </c:pt>
                <c:pt idx="427">
                  <c:v>23157</c:v>
                </c:pt>
                <c:pt idx="428">
                  <c:v>36768</c:v>
                </c:pt>
                <c:pt idx="429">
                  <c:v>6361</c:v>
                </c:pt>
                <c:pt idx="430">
                  <c:v>6747</c:v>
                </c:pt>
                <c:pt idx="431">
                  <c:v>22687</c:v>
                </c:pt>
                <c:pt idx="432">
                  <c:v>34958</c:v>
                </c:pt>
                <c:pt idx="433">
                  <c:v>2309</c:v>
                </c:pt>
                <c:pt idx="434">
                  <c:v>20063</c:v>
                </c:pt>
                <c:pt idx="435">
                  <c:v>12511</c:v>
                </c:pt>
                <c:pt idx="436">
                  <c:v>49575</c:v>
                </c:pt>
                <c:pt idx="437">
                  <c:v>81084</c:v>
                </c:pt>
                <c:pt idx="438">
                  <c:v>3183</c:v>
                </c:pt>
                <c:pt idx="439">
                  <c:v>35787</c:v>
                </c:pt>
                <c:pt idx="440">
                  <c:v>1355</c:v>
                </c:pt>
                <c:pt idx="441">
                  <c:v>37021</c:v>
                </c:pt>
                <c:pt idx="442">
                  <c:v>2504</c:v>
                </c:pt>
                <c:pt idx="443">
                  <c:v>75908</c:v>
                </c:pt>
                <c:pt idx="444">
                  <c:v>50462</c:v>
                </c:pt>
                <c:pt idx="445">
                  <c:v>29218</c:v>
                </c:pt>
                <c:pt idx="446">
                  <c:v>31317</c:v>
                </c:pt>
                <c:pt idx="447">
                  <c:v>9939</c:v>
                </c:pt>
                <c:pt idx="448">
                  <c:v>10594</c:v>
                </c:pt>
                <c:pt idx="449">
                  <c:v>52210</c:v>
                </c:pt>
                <c:pt idx="450">
                  <c:v>19626</c:v>
                </c:pt>
                <c:pt idx="451">
                  <c:v>61819</c:v>
                </c:pt>
                <c:pt idx="452">
                  <c:v>11623</c:v>
                </c:pt>
                <c:pt idx="453">
                  <c:v>12224</c:v>
                </c:pt>
                <c:pt idx="454">
                  <c:v>1996</c:v>
                </c:pt>
                <c:pt idx="455">
                  <c:v>8111</c:v>
                </c:pt>
                <c:pt idx="456">
                  <c:v>9633</c:v>
                </c:pt>
                <c:pt idx="457">
                  <c:v>20716</c:v>
                </c:pt>
                <c:pt idx="458">
                  <c:v>9324</c:v>
                </c:pt>
                <c:pt idx="459">
                  <c:v>78400</c:v>
                </c:pt>
                <c:pt idx="460">
                  <c:v>6560</c:v>
                </c:pt>
                <c:pt idx="461">
                  <c:v>17079</c:v>
                </c:pt>
                <c:pt idx="462">
                  <c:v>22248</c:v>
                </c:pt>
                <c:pt idx="463">
                  <c:v>227</c:v>
                </c:pt>
                <c:pt idx="464">
                  <c:v>19504</c:v>
                </c:pt>
                <c:pt idx="465">
                  <c:v>24317</c:v>
                </c:pt>
                <c:pt idx="466">
                  <c:v>33668</c:v>
                </c:pt>
                <c:pt idx="467">
                  <c:v>31620</c:v>
                </c:pt>
                <c:pt idx="468">
                  <c:v>59871</c:v>
                </c:pt>
                <c:pt idx="469">
                  <c:v>2654</c:v>
                </c:pt>
                <c:pt idx="470">
                  <c:v>11887</c:v>
                </c:pt>
                <c:pt idx="471">
                  <c:v>15615</c:v>
                </c:pt>
                <c:pt idx="472">
                  <c:v>54609</c:v>
                </c:pt>
                <c:pt idx="473">
                  <c:v>13753</c:v>
                </c:pt>
                <c:pt idx="474">
                  <c:v>7736</c:v>
                </c:pt>
                <c:pt idx="475">
                  <c:v>9506</c:v>
                </c:pt>
                <c:pt idx="476">
                  <c:v>20641</c:v>
                </c:pt>
                <c:pt idx="477">
                  <c:v>1543</c:v>
                </c:pt>
                <c:pt idx="478">
                  <c:v>1562</c:v>
                </c:pt>
                <c:pt idx="479">
                  <c:v>6003</c:v>
                </c:pt>
                <c:pt idx="480">
                  <c:v>18491</c:v>
                </c:pt>
                <c:pt idx="481">
                  <c:v>7651</c:v>
                </c:pt>
                <c:pt idx="482">
                  <c:v>21151</c:v>
                </c:pt>
                <c:pt idx="483">
                  <c:v>13511</c:v>
                </c:pt>
                <c:pt idx="484">
                  <c:v>50444</c:v>
                </c:pt>
                <c:pt idx="485">
                  <c:v>13101</c:v>
                </c:pt>
                <c:pt idx="486">
                  <c:v>76722</c:v>
                </c:pt>
                <c:pt idx="487">
                  <c:v>9667</c:v>
                </c:pt>
                <c:pt idx="488">
                  <c:v>20257</c:v>
                </c:pt>
              </c:numCache>
            </c:numRef>
          </c:xVal>
          <c:yVal>
            <c:numRef>
              <c:f>_datos_graficos!$L$2:$L$490</c:f>
              <c:numCache>
                <c:formatCode>General</c:formatCode>
                <c:ptCount val="489"/>
                <c:pt idx="0">
                  <c:v>37643.980000000003</c:v>
                </c:pt>
                <c:pt idx="1">
                  <c:v>57634.13</c:v>
                </c:pt>
                <c:pt idx="2">
                  <c:v>47581.07</c:v>
                </c:pt>
                <c:pt idx="3">
                  <c:v>55342.07</c:v>
                </c:pt>
                <c:pt idx="4">
                  <c:v>51666.46</c:v>
                </c:pt>
                <c:pt idx="5">
                  <c:v>57418.39</c:v>
                </c:pt>
                <c:pt idx="6">
                  <c:v>78459.67</c:v>
                </c:pt>
                <c:pt idx="7">
                  <c:v>81300.960000000006</c:v>
                </c:pt>
                <c:pt idx="8">
                  <c:v>55378.06</c:v>
                </c:pt>
                <c:pt idx="9">
                  <c:v>92095.51</c:v>
                </c:pt>
                <c:pt idx="10">
                  <c:v>6070.02</c:v>
                </c:pt>
                <c:pt idx="11">
                  <c:v>7682.24</c:v>
                </c:pt>
                <c:pt idx="12">
                  <c:v>77099.27</c:v>
                </c:pt>
                <c:pt idx="13">
                  <c:v>61885.22</c:v>
                </c:pt>
                <c:pt idx="14">
                  <c:v>41057.08</c:v>
                </c:pt>
                <c:pt idx="15">
                  <c:v>78024.83</c:v>
                </c:pt>
                <c:pt idx="16">
                  <c:v>92852.77</c:v>
                </c:pt>
                <c:pt idx="17">
                  <c:v>54788.94</c:v>
                </c:pt>
                <c:pt idx="18">
                  <c:v>21469.34</c:v>
                </c:pt>
                <c:pt idx="19">
                  <c:v>7323.9</c:v>
                </c:pt>
                <c:pt idx="20">
                  <c:v>73501.820000000007</c:v>
                </c:pt>
                <c:pt idx="21">
                  <c:v>71686.22</c:v>
                </c:pt>
                <c:pt idx="22">
                  <c:v>99555.03</c:v>
                </c:pt>
                <c:pt idx="23">
                  <c:v>33369.83</c:v>
                </c:pt>
                <c:pt idx="24">
                  <c:v>27543.42</c:v>
                </c:pt>
                <c:pt idx="25">
                  <c:v>4496.2299999999996</c:v>
                </c:pt>
                <c:pt idx="26">
                  <c:v>15388.5</c:v>
                </c:pt>
                <c:pt idx="27">
                  <c:v>14635.06</c:v>
                </c:pt>
                <c:pt idx="28">
                  <c:v>62749.3</c:v>
                </c:pt>
                <c:pt idx="29">
                  <c:v>63259.55</c:v>
                </c:pt>
                <c:pt idx="30">
                  <c:v>78858.039999999994</c:v>
                </c:pt>
                <c:pt idx="31">
                  <c:v>48477.74</c:v>
                </c:pt>
                <c:pt idx="32">
                  <c:v>62544.44</c:v>
                </c:pt>
                <c:pt idx="33">
                  <c:v>39163.67</c:v>
                </c:pt>
                <c:pt idx="34">
                  <c:v>90073.75</c:v>
                </c:pt>
                <c:pt idx="35">
                  <c:v>98786.880000000005</c:v>
                </c:pt>
                <c:pt idx="36">
                  <c:v>2130.54</c:v>
                </c:pt>
                <c:pt idx="37">
                  <c:v>53016.85</c:v>
                </c:pt>
                <c:pt idx="38">
                  <c:v>98358.06</c:v>
                </c:pt>
                <c:pt idx="39">
                  <c:v>28815.07</c:v>
                </c:pt>
                <c:pt idx="40">
                  <c:v>21634.89</c:v>
                </c:pt>
                <c:pt idx="41">
                  <c:v>42784.63</c:v>
                </c:pt>
                <c:pt idx="42">
                  <c:v>67416.97</c:v>
                </c:pt>
                <c:pt idx="43">
                  <c:v>48736.85</c:v>
                </c:pt>
                <c:pt idx="44">
                  <c:v>92249.48</c:v>
                </c:pt>
                <c:pt idx="45">
                  <c:v>35207.519999999997</c:v>
                </c:pt>
                <c:pt idx="46">
                  <c:v>99053.81</c:v>
                </c:pt>
                <c:pt idx="47">
                  <c:v>5810.77</c:v>
                </c:pt>
                <c:pt idx="48">
                  <c:v>22287.89</c:v>
                </c:pt>
                <c:pt idx="49">
                  <c:v>24399.38</c:v>
                </c:pt>
                <c:pt idx="50">
                  <c:v>81503.960000000006</c:v>
                </c:pt>
                <c:pt idx="51">
                  <c:v>92152.24</c:v>
                </c:pt>
                <c:pt idx="52">
                  <c:v>90695.45</c:v>
                </c:pt>
                <c:pt idx="53">
                  <c:v>81585.279999999999</c:v>
                </c:pt>
                <c:pt idx="54">
                  <c:v>79501.97</c:v>
                </c:pt>
                <c:pt idx="55">
                  <c:v>69908.160000000003</c:v>
                </c:pt>
                <c:pt idx="56">
                  <c:v>64960.61</c:v>
                </c:pt>
                <c:pt idx="57">
                  <c:v>69489.91</c:v>
                </c:pt>
                <c:pt idx="58">
                  <c:v>32743.99</c:v>
                </c:pt>
                <c:pt idx="59">
                  <c:v>50670.86</c:v>
                </c:pt>
                <c:pt idx="60">
                  <c:v>22616.959999999999</c:v>
                </c:pt>
                <c:pt idx="61">
                  <c:v>82515.179999999993</c:v>
                </c:pt>
                <c:pt idx="62">
                  <c:v>71951.22</c:v>
                </c:pt>
                <c:pt idx="63">
                  <c:v>7126.15</c:v>
                </c:pt>
                <c:pt idx="64">
                  <c:v>86469.28</c:v>
                </c:pt>
                <c:pt idx="65">
                  <c:v>52063.17</c:v>
                </c:pt>
                <c:pt idx="66">
                  <c:v>59969.83</c:v>
                </c:pt>
                <c:pt idx="67">
                  <c:v>52610.3</c:v>
                </c:pt>
                <c:pt idx="68">
                  <c:v>73624.429999999993</c:v>
                </c:pt>
                <c:pt idx="69">
                  <c:v>37944.71</c:v>
                </c:pt>
                <c:pt idx="70">
                  <c:v>3216.69</c:v>
                </c:pt>
                <c:pt idx="71">
                  <c:v>11259.63</c:v>
                </c:pt>
                <c:pt idx="72">
                  <c:v>32712.47</c:v>
                </c:pt>
                <c:pt idx="73">
                  <c:v>62074.52</c:v>
                </c:pt>
                <c:pt idx="74">
                  <c:v>56237.78</c:v>
                </c:pt>
                <c:pt idx="75">
                  <c:v>72855.850000000006</c:v>
                </c:pt>
                <c:pt idx="76">
                  <c:v>82876.23</c:v>
                </c:pt>
                <c:pt idx="77">
                  <c:v>7899.25</c:v>
                </c:pt>
                <c:pt idx="78">
                  <c:v>58776.63</c:v>
                </c:pt>
                <c:pt idx="79">
                  <c:v>812.31</c:v>
                </c:pt>
                <c:pt idx="80">
                  <c:v>42310.11</c:v>
                </c:pt>
                <c:pt idx="81">
                  <c:v>86483.74</c:v>
                </c:pt>
                <c:pt idx="82">
                  <c:v>5826.86</c:v>
                </c:pt>
                <c:pt idx="83">
                  <c:v>86393.13</c:v>
                </c:pt>
                <c:pt idx="84">
                  <c:v>53475.74</c:v>
                </c:pt>
                <c:pt idx="85">
                  <c:v>55544.98</c:v>
                </c:pt>
                <c:pt idx="86">
                  <c:v>84901.43</c:v>
                </c:pt>
                <c:pt idx="87">
                  <c:v>77549.61</c:v>
                </c:pt>
                <c:pt idx="88">
                  <c:v>4852.82</c:v>
                </c:pt>
                <c:pt idx="89">
                  <c:v>42334.99</c:v>
                </c:pt>
                <c:pt idx="90">
                  <c:v>23759.31</c:v>
                </c:pt>
                <c:pt idx="91">
                  <c:v>12277.03</c:v>
                </c:pt>
                <c:pt idx="92">
                  <c:v>85625.12</c:v>
                </c:pt>
                <c:pt idx="93">
                  <c:v>34383.61</c:v>
                </c:pt>
                <c:pt idx="94">
                  <c:v>57427.42</c:v>
                </c:pt>
                <c:pt idx="95">
                  <c:v>86916</c:v>
                </c:pt>
                <c:pt idx="96">
                  <c:v>93065.66</c:v>
                </c:pt>
                <c:pt idx="97">
                  <c:v>61578.7</c:v>
                </c:pt>
                <c:pt idx="98">
                  <c:v>41690.870000000003</c:v>
                </c:pt>
                <c:pt idx="99">
                  <c:v>68769.259999999995</c:v>
                </c:pt>
                <c:pt idx="100">
                  <c:v>27092.09</c:v>
                </c:pt>
                <c:pt idx="101">
                  <c:v>63810.16</c:v>
                </c:pt>
                <c:pt idx="102">
                  <c:v>50557.2</c:v>
                </c:pt>
                <c:pt idx="103">
                  <c:v>77598.539999999994</c:v>
                </c:pt>
                <c:pt idx="104">
                  <c:v>59087.4</c:v>
                </c:pt>
                <c:pt idx="105">
                  <c:v>61284.54</c:v>
                </c:pt>
                <c:pt idx="106">
                  <c:v>53308.41</c:v>
                </c:pt>
                <c:pt idx="107">
                  <c:v>24423.67</c:v>
                </c:pt>
                <c:pt idx="108">
                  <c:v>61318.8</c:v>
                </c:pt>
                <c:pt idx="109">
                  <c:v>60008.800000000003</c:v>
                </c:pt>
                <c:pt idx="110">
                  <c:v>7688.97</c:v>
                </c:pt>
                <c:pt idx="111">
                  <c:v>61656.53</c:v>
                </c:pt>
                <c:pt idx="112">
                  <c:v>15892.41</c:v>
                </c:pt>
                <c:pt idx="113">
                  <c:v>15749.46</c:v>
                </c:pt>
                <c:pt idx="114">
                  <c:v>84736.93</c:v>
                </c:pt>
                <c:pt idx="115">
                  <c:v>45551.16</c:v>
                </c:pt>
                <c:pt idx="116">
                  <c:v>52105.06</c:v>
                </c:pt>
                <c:pt idx="117">
                  <c:v>70418.63</c:v>
                </c:pt>
                <c:pt idx="118">
                  <c:v>15396.96</c:v>
                </c:pt>
                <c:pt idx="119">
                  <c:v>72829.710000000006</c:v>
                </c:pt>
                <c:pt idx="120">
                  <c:v>7834.09</c:v>
                </c:pt>
                <c:pt idx="121">
                  <c:v>69051.64</c:v>
                </c:pt>
                <c:pt idx="122">
                  <c:v>55867.51</c:v>
                </c:pt>
                <c:pt idx="123">
                  <c:v>33658.9</c:v>
                </c:pt>
                <c:pt idx="124">
                  <c:v>9198.9599999999991</c:v>
                </c:pt>
                <c:pt idx="125">
                  <c:v>11207.21</c:v>
                </c:pt>
                <c:pt idx="126">
                  <c:v>62907.38</c:v>
                </c:pt>
                <c:pt idx="127">
                  <c:v>74058.009999999995</c:v>
                </c:pt>
                <c:pt idx="128">
                  <c:v>55675.97</c:v>
                </c:pt>
                <c:pt idx="129">
                  <c:v>22815.1</c:v>
                </c:pt>
                <c:pt idx="130">
                  <c:v>91986.21</c:v>
                </c:pt>
                <c:pt idx="131">
                  <c:v>26450.13</c:v>
                </c:pt>
                <c:pt idx="132">
                  <c:v>87138.48</c:v>
                </c:pt>
                <c:pt idx="133">
                  <c:v>68207.08</c:v>
                </c:pt>
                <c:pt idx="134">
                  <c:v>19846.38</c:v>
                </c:pt>
                <c:pt idx="135">
                  <c:v>25942</c:v>
                </c:pt>
                <c:pt idx="136">
                  <c:v>21454.77</c:v>
                </c:pt>
                <c:pt idx="137">
                  <c:v>48623.3</c:v>
                </c:pt>
                <c:pt idx="138">
                  <c:v>75709.84</c:v>
                </c:pt>
                <c:pt idx="139">
                  <c:v>97442.17</c:v>
                </c:pt>
                <c:pt idx="140">
                  <c:v>63468.22</c:v>
                </c:pt>
                <c:pt idx="141">
                  <c:v>61533.91</c:v>
                </c:pt>
                <c:pt idx="142">
                  <c:v>54696.09</c:v>
                </c:pt>
                <c:pt idx="143">
                  <c:v>71163.19</c:v>
                </c:pt>
                <c:pt idx="144">
                  <c:v>48380.14</c:v>
                </c:pt>
                <c:pt idx="145">
                  <c:v>72537.73</c:v>
                </c:pt>
                <c:pt idx="146">
                  <c:v>64530.47</c:v>
                </c:pt>
                <c:pt idx="147">
                  <c:v>46648.27</c:v>
                </c:pt>
                <c:pt idx="148">
                  <c:v>59527.83</c:v>
                </c:pt>
                <c:pt idx="149">
                  <c:v>54153.13</c:v>
                </c:pt>
                <c:pt idx="150">
                  <c:v>22076</c:v>
                </c:pt>
                <c:pt idx="151">
                  <c:v>81046.17</c:v>
                </c:pt>
                <c:pt idx="152">
                  <c:v>81888.679999999993</c:v>
                </c:pt>
                <c:pt idx="153">
                  <c:v>75397.91</c:v>
                </c:pt>
                <c:pt idx="154">
                  <c:v>15130.32</c:v>
                </c:pt>
                <c:pt idx="155">
                  <c:v>2721.69</c:v>
                </c:pt>
                <c:pt idx="156">
                  <c:v>77045.81</c:v>
                </c:pt>
                <c:pt idx="157">
                  <c:v>98477.29</c:v>
                </c:pt>
                <c:pt idx="158">
                  <c:v>57913.49</c:v>
                </c:pt>
                <c:pt idx="159">
                  <c:v>27492.37</c:v>
                </c:pt>
                <c:pt idx="160">
                  <c:v>88778.77</c:v>
                </c:pt>
                <c:pt idx="161">
                  <c:v>85936.82</c:v>
                </c:pt>
                <c:pt idx="162">
                  <c:v>21964.59</c:v>
                </c:pt>
                <c:pt idx="163">
                  <c:v>68337.429999999993</c:v>
                </c:pt>
                <c:pt idx="164">
                  <c:v>19456.55</c:v>
                </c:pt>
                <c:pt idx="165">
                  <c:v>65086</c:v>
                </c:pt>
                <c:pt idx="166">
                  <c:v>5547.69</c:v>
                </c:pt>
                <c:pt idx="167">
                  <c:v>12815.99</c:v>
                </c:pt>
                <c:pt idx="168">
                  <c:v>36918.31</c:v>
                </c:pt>
                <c:pt idx="169">
                  <c:v>41624.82</c:v>
                </c:pt>
                <c:pt idx="170">
                  <c:v>60537.17</c:v>
                </c:pt>
                <c:pt idx="171">
                  <c:v>26677.37</c:v>
                </c:pt>
                <c:pt idx="172">
                  <c:v>80467.539999999994</c:v>
                </c:pt>
                <c:pt idx="173">
                  <c:v>71424.98</c:v>
                </c:pt>
                <c:pt idx="174">
                  <c:v>16440.78</c:v>
                </c:pt>
                <c:pt idx="175">
                  <c:v>43224.3</c:v>
                </c:pt>
                <c:pt idx="176">
                  <c:v>83250.009999999995</c:v>
                </c:pt>
                <c:pt idx="177">
                  <c:v>15607.02</c:v>
                </c:pt>
                <c:pt idx="178">
                  <c:v>23470.68</c:v>
                </c:pt>
                <c:pt idx="179">
                  <c:v>81145.990000000005</c:v>
                </c:pt>
                <c:pt idx="180">
                  <c:v>26089.360000000001</c:v>
                </c:pt>
                <c:pt idx="181">
                  <c:v>85955.69</c:v>
                </c:pt>
                <c:pt idx="182">
                  <c:v>82384.06</c:v>
                </c:pt>
                <c:pt idx="183">
                  <c:v>531.04999999999995</c:v>
                </c:pt>
                <c:pt idx="184">
                  <c:v>70075.490000000005</c:v>
                </c:pt>
                <c:pt idx="185">
                  <c:v>73074.929999999993</c:v>
                </c:pt>
                <c:pt idx="186">
                  <c:v>23117.81</c:v>
                </c:pt>
                <c:pt idx="187">
                  <c:v>28096.3</c:v>
                </c:pt>
                <c:pt idx="188">
                  <c:v>34469.269999999997</c:v>
                </c:pt>
                <c:pt idx="189">
                  <c:v>57593.78</c:v>
                </c:pt>
                <c:pt idx="190">
                  <c:v>43415.38</c:v>
                </c:pt>
                <c:pt idx="191">
                  <c:v>50008.82</c:v>
                </c:pt>
                <c:pt idx="192">
                  <c:v>9190.6299999999992</c:v>
                </c:pt>
                <c:pt idx="193">
                  <c:v>10627.54</c:v>
                </c:pt>
                <c:pt idx="194">
                  <c:v>29402.79</c:v>
                </c:pt>
                <c:pt idx="195">
                  <c:v>26768.13</c:v>
                </c:pt>
                <c:pt idx="196">
                  <c:v>95924.7</c:v>
                </c:pt>
                <c:pt idx="197">
                  <c:v>40128.46</c:v>
                </c:pt>
                <c:pt idx="198">
                  <c:v>96098.06</c:v>
                </c:pt>
                <c:pt idx="199">
                  <c:v>43449.04</c:v>
                </c:pt>
                <c:pt idx="200">
                  <c:v>50640.31</c:v>
                </c:pt>
                <c:pt idx="201">
                  <c:v>6538.92</c:v>
                </c:pt>
                <c:pt idx="202">
                  <c:v>17255.62</c:v>
                </c:pt>
                <c:pt idx="203">
                  <c:v>21704.29</c:v>
                </c:pt>
                <c:pt idx="204">
                  <c:v>16419.43</c:v>
                </c:pt>
                <c:pt idx="205">
                  <c:v>8275.61</c:v>
                </c:pt>
                <c:pt idx="206">
                  <c:v>89191.22</c:v>
                </c:pt>
                <c:pt idx="207">
                  <c:v>10274.450000000001</c:v>
                </c:pt>
                <c:pt idx="208">
                  <c:v>11585.62</c:v>
                </c:pt>
                <c:pt idx="209">
                  <c:v>97545.9</c:v>
                </c:pt>
                <c:pt idx="210">
                  <c:v>28854.98</c:v>
                </c:pt>
                <c:pt idx="211">
                  <c:v>76480.75</c:v>
                </c:pt>
                <c:pt idx="212">
                  <c:v>96530.31</c:v>
                </c:pt>
                <c:pt idx="213">
                  <c:v>93228.56</c:v>
                </c:pt>
                <c:pt idx="214">
                  <c:v>72129.06</c:v>
                </c:pt>
                <c:pt idx="215">
                  <c:v>42048.74</c:v>
                </c:pt>
                <c:pt idx="216">
                  <c:v>74019.02</c:v>
                </c:pt>
                <c:pt idx="217">
                  <c:v>20126.63</c:v>
                </c:pt>
                <c:pt idx="218">
                  <c:v>67213.22</c:v>
                </c:pt>
                <c:pt idx="219">
                  <c:v>60490.64</c:v>
                </c:pt>
                <c:pt idx="220">
                  <c:v>7160.31</c:v>
                </c:pt>
                <c:pt idx="221">
                  <c:v>40232.19</c:v>
                </c:pt>
                <c:pt idx="222">
                  <c:v>3537.6</c:v>
                </c:pt>
                <c:pt idx="223">
                  <c:v>9269.4</c:v>
                </c:pt>
                <c:pt idx="224">
                  <c:v>55410.23</c:v>
                </c:pt>
                <c:pt idx="225">
                  <c:v>75489.490000000005</c:v>
                </c:pt>
                <c:pt idx="226">
                  <c:v>74179.44</c:v>
                </c:pt>
                <c:pt idx="227">
                  <c:v>11431.97</c:v>
                </c:pt>
                <c:pt idx="228">
                  <c:v>79621.34</c:v>
                </c:pt>
                <c:pt idx="229">
                  <c:v>74208.97</c:v>
                </c:pt>
                <c:pt idx="230">
                  <c:v>54779.6</c:v>
                </c:pt>
                <c:pt idx="231">
                  <c:v>23557.27</c:v>
                </c:pt>
                <c:pt idx="232">
                  <c:v>84064.47</c:v>
                </c:pt>
                <c:pt idx="233">
                  <c:v>28855.88</c:v>
                </c:pt>
                <c:pt idx="234">
                  <c:v>1984.81</c:v>
                </c:pt>
                <c:pt idx="235">
                  <c:v>80821.23</c:v>
                </c:pt>
                <c:pt idx="236">
                  <c:v>46126.22</c:v>
                </c:pt>
                <c:pt idx="237">
                  <c:v>29459.27</c:v>
                </c:pt>
                <c:pt idx="238">
                  <c:v>74303.679999999993</c:v>
                </c:pt>
                <c:pt idx="239">
                  <c:v>51392.86</c:v>
                </c:pt>
                <c:pt idx="240">
                  <c:v>35517.21</c:v>
                </c:pt>
                <c:pt idx="241">
                  <c:v>97125.07</c:v>
                </c:pt>
                <c:pt idx="242">
                  <c:v>24126.65</c:v>
                </c:pt>
                <c:pt idx="243">
                  <c:v>32246.09</c:v>
                </c:pt>
                <c:pt idx="244">
                  <c:v>25400.77</c:v>
                </c:pt>
                <c:pt idx="245">
                  <c:v>93809.82</c:v>
                </c:pt>
                <c:pt idx="246">
                  <c:v>59693.48</c:v>
                </c:pt>
                <c:pt idx="247">
                  <c:v>93351.79</c:v>
                </c:pt>
                <c:pt idx="248">
                  <c:v>69462.86</c:v>
                </c:pt>
                <c:pt idx="249">
                  <c:v>87067.26</c:v>
                </c:pt>
                <c:pt idx="250">
                  <c:v>70039.62</c:v>
                </c:pt>
                <c:pt idx="251">
                  <c:v>55380.89</c:v>
                </c:pt>
                <c:pt idx="252">
                  <c:v>82070.850000000006</c:v>
                </c:pt>
                <c:pt idx="253">
                  <c:v>63544.72</c:v>
                </c:pt>
                <c:pt idx="254">
                  <c:v>44234.47</c:v>
                </c:pt>
                <c:pt idx="255">
                  <c:v>61753.67</c:v>
                </c:pt>
                <c:pt idx="256">
                  <c:v>70697.41</c:v>
                </c:pt>
                <c:pt idx="257">
                  <c:v>95953.88</c:v>
                </c:pt>
                <c:pt idx="258">
                  <c:v>59886.62</c:v>
                </c:pt>
                <c:pt idx="259">
                  <c:v>63974.58</c:v>
                </c:pt>
                <c:pt idx="260">
                  <c:v>43115.58</c:v>
                </c:pt>
                <c:pt idx="261">
                  <c:v>9557.11</c:v>
                </c:pt>
                <c:pt idx="262">
                  <c:v>74255.990000000005</c:v>
                </c:pt>
                <c:pt idx="263">
                  <c:v>99909.8</c:v>
                </c:pt>
                <c:pt idx="264">
                  <c:v>23454.35</c:v>
                </c:pt>
                <c:pt idx="265">
                  <c:v>4507.16</c:v>
                </c:pt>
                <c:pt idx="266">
                  <c:v>65663.14</c:v>
                </c:pt>
                <c:pt idx="267">
                  <c:v>29163.72</c:v>
                </c:pt>
                <c:pt idx="268">
                  <c:v>68551.56</c:v>
                </c:pt>
                <c:pt idx="269">
                  <c:v>91222.77</c:v>
                </c:pt>
                <c:pt idx="270">
                  <c:v>17649.080000000002</c:v>
                </c:pt>
                <c:pt idx="271">
                  <c:v>72530.320000000007</c:v>
                </c:pt>
                <c:pt idx="272">
                  <c:v>48098.39</c:v>
                </c:pt>
                <c:pt idx="273">
                  <c:v>40053.89</c:v>
                </c:pt>
                <c:pt idx="274">
                  <c:v>37084.22</c:v>
                </c:pt>
                <c:pt idx="275">
                  <c:v>7581.43</c:v>
                </c:pt>
                <c:pt idx="276">
                  <c:v>33546.83</c:v>
                </c:pt>
                <c:pt idx="277">
                  <c:v>95826.96</c:v>
                </c:pt>
                <c:pt idx="278">
                  <c:v>76718.710000000006</c:v>
                </c:pt>
                <c:pt idx="279">
                  <c:v>3683.55</c:v>
                </c:pt>
                <c:pt idx="280">
                  <c:v>87556.79</c:v>
                </c:pt>
                <c:pt idx="281">
                  <c:v>18570.03</c:v>
                </c:pt>
                <c:pt idx="282">
                  <c:v>18017.63</c:v>
                </c:pt>
                <c:pt idx="283">
                  <c:v>88252.28</c:v>
                </c:pt>
                <c:pt idx="284">
                  <c:v>18297.75</c:v>
                </c:pt>
                <c:pt idx="285">
                  <c:v>63655.48</c:v>
                </c:pt>
                <c:pt idx="286">
                  <c:v>73811.42</c:v>
                </c:pt>
                <c:pt idx="287">
                  <c:v>34346.129999999997</c:v>
                </c:pt>
                <c:pt idx="288">
                  <c:v>59431.19</c:v>
                </c:pt>
                <c:pt idx="289">
                  <c:v>73137.73</c:v>
                </c:pt>
                <c:pt idx="290">
                  <c:v>56791.040000000001</c:v>
                </c:pt>
                <c:pt idx="291">
                  <c:v>36597.64</c:v>
                </c:pt>
                <c:pt idx="292">
                  <c:v>21048.7</c:v>
                </c:pt>
                <c:pt idx="293">
                  <c:v>51188.26</c:v>
                </c:pt>
                <c:pt idx="294">
                  <c:v>13528.35</c:v>
                </c:pt>
                <c:pt idx="295">
                  <c:v>19048.93</c:v>
                </c:pt>
                <c:pt idx="296">
                  <c:v>88722.4</c:v>
                </c:pt>
                <c:pt idx="297">
                  <c:v>92646</c:v>
                </c:pt>
                <c:pt idx="298">
                  <c:v>44169.57</c:v>
                </c:pt>
                <c:pt idx="299">
                  <c:v>97146.41</c:v>
                </c:pt>
                <c:pt idx="300">
                  <c:v>98251.83</c:v>
                </c:pt>
                <c:pt idx="301">
                  <c:v>65911.06</c:v>
                </c:pt>
                <c:pt idx="302">
                  <c:v>59684.27</c:v>
                </c:pt>
                <c:pt idx="303">
                  <c:v>69874.17</c:v>
                </c:pt>
                <c:pt idx="304">
                  <c:v>99041.9</c:v>
                </c:pt>
                <c:pt idx="305">
                  <c:v>36558.29</c:v>
                </c:pt>
                <c:pt idx="306">
                  <c:v>92268.27</c:v>
                </c:pt>
                <c:pt idx="307">
                  <c:v>73920.600000000006</c:v>
                </c:pt>
                <c:pt idx="308">
                  <c:v>22392.68</c:v>
                </c:pt>
                <c:pt idx="309">
                  <c:v>67449.33</c:v>
                </c:pt>
                <c:pt idx="310">
                  <c:v>23968.97</c:v>
                </c:pt>
                <c:pt idx="311">
                  <c:v>40367.519999999997</c:v>
                </c:pt>
                <c:pt idx="312">
                  <c:v>88902.59</c:v>
                </c:pt>
                <c:pt idx="313">
                  <c:v>14236.43</c:v>
                </c:pt>
                <c:pt idx="314">
                  <c:v>66333.78</c:v>
                </c:pt>
                <c:pt idx="315">
                  <c:v>91453.36</c:v>
                </c:pt>
                <c:pt idx="316">
                  <c:v>28698.29</c:v>
                </c:pt>
                <c:pt idx="317">
                  <c:v>33204.49</c:v>
                </c:pt>
                <c:pt idx="318">
                  <c:v>54737.37</c:v>
                </c:pt>
                <c:pt idx="319">
                  <c:v>36160.550000000003</c:v>
                </c:pt>
                <c:pt idx="320">
                  <c:v>46813.72</c:v>
                </c:pt>
                <c:pt idx="321">
                  <c:v>36988.5</c:v>
                </c:pt>
                <c:pt idx="322">
                  <c:v>67143</c:v>
                </c:pt>
                <c:pt idx="323">
                  <c:v>51885.13</c:v>
                </c:pt>
                <c:pt idx="324">
                  <c:v>5211.03</c:v>
                </c:pt>
                <c:pt idx="325">
                  <c:v>3767.88</c:v>
                </c:pt>
                <c:pt idx="326">
                  <c:v>73951.06</c:v>
                </c:pt>
                <c:pt idx="327">
                  <c:v>39319.42</c:v>
                </c:pt>
                <c:pt idx="328">
                  <c:v>65503.1</c:v>
                </c:pt>
                <c:pt idx="329">
                  <c:v>88528.95</c:v>
                </c:pt>
                <c:pt idx="330">
                  <c:v>15173.38</c:v>
                </c:pt>
                <c:pt idx="331">
                  <c:v>56413.84</c:v>
                </c:pt>
                <c:pt idx="332">
                  <c:v>91962.03</c:v>
                </c:pt>
                <c:pt idx="333">
                  <c:v>99844.46</c:v>
                </c:pt>
                <c:pt idx="334">
                  <c:v>27991.119999999999</c:v>
                </c:pt>
                <c:pt idx="335">
                  <c:v>38554.46</c:v>
                </c:pt>
                <c:pt idx="336">
                  <c:v>39571.269999999997</c:v>
                </c:pt>
                <c:pt idx="337">
                  <c:v>88555.89</c:v>
                </c:pt>
                <c:pt idx="338">
                  <c:v>84008.85</c:v>
                </c:pt>
                <c:pt idx="339">
                  <c:v>73141.56</c:v>
                </c:pt>
                <c:pt idx="340">
                  <c:v>85075.29</c:v>
                </c:pt>
                <c:pt idx="341">
                  <c:v>82539.64</c:v>
                </c:pt>
                <c:pt idx="342">
                  <c:v>71144.490000000005</c:v>
                </c:pt>
                <c:pt idx="343">
                  <c:v>39237.56</c:v>
                </c:pt>
                <c:pt idx="344">
                  <c:v>29281.23</c:v>
                </c:pt>
                <c:pt idx="345">
                  <c:v>20975.22</c:v>
                </c:pt>
                <c:pt idx="346">
                  <c:v>27341.33</c:v>
                </c:pt>
                <c:pt idx="347">
                  <c:v>20681.57</c:v>
                </c:pt>
                <c:pt idx="348">
                  <c:v>4423.54</c:v>
                </c:pt>
                <c:pt idx="349">
                  <c:v>82080.789999999994</c:v>
                </c:pt>
                <c:pt idx="350">
                  <c:v>74527.16</c:v>
                </c:pt>
                <c:pt idx="351">
                  <c:v>79183.91</c:v>
                </c:pt>
                <c:pt idx="352">
                  <c:v>24107.03</c:v>
                </c:pt>
                <c:pt idx="353">
                  <c:v>24404.81</c:v>
                </c:pt>
                <c:pt idx="354">
                  <c:v>49459.42</c:v>
                </c:pt>
                <c:pt idx="355">
                  <c:v>26821.58</c:v>
                </c:pt>
                <c:pt idx="356">
                  <c:v>22237.97</c:v>
                </c:pt>
                <c:pt idx="357">
                  <c:v>50990.21</c:v>
                </c:pt>
                <c:pt idx="358">
                  <c:v>20044.75</c:v>
                </c:pt>
                <c:pt idx="359">
                  <c:v>59386.84</c:v>
                </c:pt>
                <c:pt idx="360">
                  <c:v>79219.360000000001</c:v>
                </c:pt>
                <c:pt idx="361">
                  <c:v>17378.310000000001</c:v>
                </c:pt>
                <c:pt idx="362">
                  <c:v>52975.3</c:v>
                </c:pt>
                <c:pt idx="363">
                  <c:v>65956.160000000003</c:v>
                </c:pt>
                <c:pt idx="364">
                  <c:v>59105.98</c:v>
                </c:pt>
                <c:pt idx="365">
                  <c:v>96562.93</c:v>
                </c:pt>
                <c:pt idx="366">
                  <c:v>70279.41</c:v>
                </c:pt>
                <c:pt idx="367">
                  <c:v>52708.12</c:v>
                </c:pt>
                <c:pt idx="368">
                  <c:v>96248.35</c:v>
                </c:pt>
                <c:pt idx="369">
                  <c:v>17298.97</c:v>
                </c:pt>
                <c:pt idx="370">
                  <c:v>70643.179999999993</c:v>
                </c:pt>
                <c:pt idx="371">
                  <c:v>12796.48</c:v>
                </c:pt>
                <c:pt idx="372">
                  <c:v>24137.200000000001</c:v>
                </c:pt>
                <c:pt idx="373">
                  <c:v>9382.36</c:v>
                </c:pt>
                <c:pt idx="374">
                  <c:v>69759.81</c:v>
                </c:pt>
                <c:pt idx="375">
                  <c:v>85776.71</c:v>
                </c:pt>
                <c:pt idx="376">
                  <c:v>40955.129999999997</c:v>
                </c:pt>
                <c:pt idx="377">
                  <c:v>5795.58</c:v>
                </c:pt>
                <c:pt idx="378">
                  <c:v>79795.63</c:v>
                </c:pt>
                <c:pt idx="379">
                  <c:v>36331.120000000003</c:v>
                </c:pt>
                <c:pt idx="380">
                  <c:v>20255.29</c:v>
                </c:pt>
                <c:pt idx="381">
                  <c:v>27628.31</c:v>
                </c:pt>
                <c:pt idx="382">
                  <c:v>63491.73</c:v>
                </c:pt>
                <c:pt idx="383">
                  <c:v>45473.04</c:v>
                </c:pt>
                <c:pt idx="384">
                  <c:v>63891.24</c:v>
                </c:pt>
                <c:pt idx="385">
                  <c:v>59476.32</c:v>
                </c:pt>
                <c:pt idx="386">
                  <c:v>39220</c:v>
                </c:pt>
                <c:pt idx="387">
                  <c:v>36850.050000000003</c:v>
                </c:pt>
                <c:pt idx="388">
                  <c:v>67102.39</c:v>
                </c:pt>
                <c:pt idx="389">
                  <c:v>39119.61</c:v>
                </c:pt>
                <c:pt idx="390">
                  <c:v>15326.38</c:v>
                </c:pt>
                <c:pt idx="391">
                  <c:v>69092.179999999993</c:v>
                </c:pt>
                <c:pt idx="392">
                  <c:v>79922.66</c:v>
                </c:pt>
                <c:pt idx="393">
                  <c:v>87359.06</c:v>
                </c:pt>
                <c:pt idx="394">
                  <c:v>32101.32</c:v>
                </c:pt>
                <c:pt idx="395">
                  <c:v>31057</c:v>
                </c:pt>
                <c:pt idx="396">
                  <c:v>51603.55</c:v>
                </c:pt>
                <c:pt idx="397">
                  <c:v>67974.38</c:v>
                </c:pt>
                <c:pt idx="398">
                  <c:v>99217.55</c:v>
                </c:pt>
                <c:pt idx="399">
                  <c:v>4300.99</c:v>
                </c:pt>
                <c:pt idx="400">
                  <c:v>23259.64</c:v>
                </c:pt>
                <c:pt idx="401">
                  <c:v>56164.160000000003</c:v>
                </c:pt>
                <c:pt idx="402">
                  <c:v>23223.45</c:v>
                </c:pt>
                <c:pt idx="403">
                  <c:v>85310.74</c:v>
                </c:pt>
                <c:pt idx="404">
                  <c:v>67500.38</c:v>
                </c:pt>
                <c:pt idx="405">
                  <c:v>6737.32</c:v>
                </c:pt>
                <c:pt idx="406">
                  <c:v>96393.09</c:v>
                </c:pt>
                <c:pt idx="407">
                  <c:v>20455.560000000001</c:v>
                </c:pt>
                <c:pt idx="408">
                  <c:v>9682.26</c:v>
                </c:pt>
                <c:pt idx="409">
                  <c:v>9153.18</c:v>
                </c:pt>
                <c:pt idx="410">
                  <c:v>34304.79</c:v>
                </c:pt>
                <c:pt idx="411">
                  <c:v>11748.81</c:v>
                </c:pt>
                <c:pt idx="412">
                  <c:v>23364.400000000001</c:v>
                </c:pt>
                <c:pt idx="413">
                  <c:v>77346.080000000002</c:v>
                </c:pt>
                <c:pt idx="414">
                  <c:v>30770.42</c:v>
                </c:pt>
                <c:pt idx="415">
                  <c:v>92615.49</c:v>
                </c:pt>
                <c:pt idx="416">
                  <c:v>34573.96</c:v>
                </c:pt>
                <c:pt idx="417">
                  <c:v>44574.53</c:v>
                </c:pt>
                <c:pt idx="418">
                  <c:v>68021.11</c:v>
                </c:pt>
                <c:pt idx="419">
                  <c:v>64463.48</c:v>
                </c:pt>
                <c:pt idx="420">
                  <c:v>84357.41</c:v>
                </c:pt>
                <c:pt idx="421">
                  <c:v>8100.14</c:v>
                </c:pt>
                <c:pt idx="422">
                  <c:v>19206.830000000002</c:v>
                </c:pt>
                <c:pt idx="423">
                  <c:v>31920.87</c:v>
                </c:pt>
                <c:pt idx="424">
                  <c:v>51400.77</c:v>
                </c:pt>
                <c:pt idx="425">
                  <c:v>31968.98</c:v>
                </c:pt>
                <c:pt idx="426">
                  <c:v>34655.93</c:v>
                </c:pt>
                <c:pt idx="427">
                  <c:v>9226.3700000000008</c:v>
                </c:pt>
                <c:pt idx="428">
                  <c:v>98115.71</c:v>
                </c:pt>
                <c:pt idx="429">
                  <c:v>4568.13</c:v>
                </c:pt>
                <c:pt idx="430">
                  <c:v>17963.29</c:v>
                </c:pt>
                <c:pt idx="431">
                  <c:v>3221.17</c:v>
                </c:pt>
                <c:pt idx="432">
                  <c:v>48198.62</c:v>
                </c:pt>
                <c:pt idx="433">
                  <c:v>10180.969999999999</c:v>
                </c:pt>
                <c:pt idx="434">
                  <c:v>57100.44</c:v>
                </c:pt>
                <c:pt idx="435">
                  <c:v>38278.410000000003</c:v>
                </c:pt>
                <c:pt idx="436">
                  <c:v>71952.03</c:v>
                </c:pt>
                <c:pt idx="437">
                  <c:v>66030.600000000006</c:v>
                </c:pt>
                <c:pt idx="438">
                  <c:v>1420.55</c:v>
                </c:pt>
                <c:pt idx="439">
                  <c:v>51055.18</c:v>
                </c:pt>
                <c:pt idx="440">
                  <c:v>86482.23</c:v>
                </c:pt>
                <c:pt idx="441">
                  <c:v>31952.36</c:v>
                </c:pt>
                <c:pt idx="442">
                  <c:v>72376.800000000003</c:v>
                </c:pt>
                <c:pt idx="443">
                  <c:v>27117.56</c:v>
                </c:pt>
                <c:pt idx="444">
                  <c:v>48291.19</c:v>
                </c:pt>
                <c:pt idx="445">
                  <c:v>5831.19</c:v>
                </c:pt>
                <c:pt idx="446">
                  <c:v>36278.300000000003</c:v>
                </c:pt>
                <c:pt idx="447">
                  <c:v>79200.53</c:v>
                </c:pt>
                <c:pt idx="448">
                  <c:v>80601.02</c:v>
                </c:pt>
                <c:pt idx="449">
                  <c:v>60696.11</c:v>
                </c:pt>
                <c:pt idx="450">
                  <c:v>79848.78</c:v>
                </c:pt>
                <c:pt idx="451">
                  <c:v>73769.350000000006</c:v>
                </c:pt>
                <c:pt idx="452">
                  <c:v>51310.73</c:v>
                </c:pt>
                <c:pt idx="453">
                  <c:v>541.48</c:v>
                </c:pt>
                <c:pt idx="454">
                  <c:v>22065.69</c:v>
                </c:pt>
                <c:pt idx="455">
                  <c:v>89357.38</c:v>
                </c:pt>
                <c:pt idx="456">
                  <c:v>77158.81</c:v>
                </c:pt>
                <c:pt idx="457">
                  <c:v>89538.72</c:v>
                </c:pt>
                <c:pt idx="458">
                  <c:v>82054.7</c:v>
                </c:pt>
                <c:pt idx="459">
                  <c:v>64328.480000000003</c:v>
                </c:pt>
                <c:pt idx="460">
                  <c:v>75589.350000000006</c:v>
                </c:pt>
                <c:pt idx="461">
                  <c:v>23450.76</c:v>
                </c:pt>
                <c:pt idx="462">
                  <c:v>73130.3</c:v>
                </c:pt>
                <c:pt idx="463">
                  <c:v>98444.97</c:v>
                </c:pt>
                <c:pt idx="464">
                  <c:v>50908.95</c:v>
                </c:pt>
                <c:pt idx="465">
                  <c:v>38484.22</c:v>
                </c:pt>
                <c:pt idx="466">
                  <c:v>8809.15</c:v>
                </c:pt>
                <c:pt idx="467">
                  <c:v>20372.91</c:v>
                </c:pt>
                <c:pt idx="468">
                  <c:v>25180.44</c:v>
                </c:pt>
                <c:pt idx="469">
                  <c:v>97061.11</c:v>
                </c:pt>
                <c:pt idx="470">
                  <c:v>5677.63</c:v>
                </c:pt>
                <c:pt idx="471">
                  <c:v>65718.61</c:v>
                </c:pt>
                <c:pt idx="472">
                  <c:v>47977.83</c:v>
                </c:pt>
                <c:pt idx="473">
                  <c:v>19139.060000000001</c:v>
                </c:pt>
                <c:pt idx="474">
                  <c:v>8413.35</c:v>
                </c:pt>
                <c:pt idx="475">
                  <c:v>26166.39</c:v>
                </c:pt>
                <c:pt idx="476">
                  <c:v>59175.23</c:v>
                </c:pt>
                <c:pt idx="477">
                  <c:v>40388.53</c:v>
                </c:pt>
                <c:pt idx="478">
                  <c:v>12925.25</c:v>
                </c:pt>
                <c:pt idx="479">
                  <c:v>62869.91</c:v>
                </c:pt>
                <c:pt idx="480">
                  <c:v>20293.580000000002</c:v>
                </c:pt>
                <c:pt idx="481">
                  <c:v>15011.92</c:v>
                </c:pt>
                <c:pt idx="482">
                  <c:v>46358.91</c:v>
                </c:pt>
                <c:pt idx="483">
                  <c:v>10604.13</c:v>
                </c:pt>
                <c:pt idx="484">
                  <c:v>41143.269999999997</c:v>
                </c:pt>
                <c:pt idx="485">
                  <c:v>64926.63</c:v>
                </c:pt>
                <c:pt idx="486">
                  <c:v>78920.78</c:v>
                </c:pt>
                <c:pt idx="487">
                  <c:v>24870.55</c:v>
                </c:pt>
                <c:pt idx="488">
                  <c:v>57132.21</c:v>
                </c:pt>
              </c:numCache>
            </c:numRef>
          </c:yVal>
          <c:smooth val="1"/>
          <c:extLst>
            <c:ext xmlns:c16="http://schemas.microsoft.com/office/drawing/2014/chart" uri="{C3380CC4-5D6E-409C-BE32-E72D297353CC}">
              <c16:uniqueId val="{00000000-2802-8040-87C5-6B385661C8CE}"/>
            </c:ext>
          </c:extLst>
        </c:ser>
        <c:dLbls>
          <c:showLegendKey val="0"/>
          <c:showVal val="0"/>
          <c:showCatName val="0"/>
          <c:showSerName val="0"/>
          <c:showPercent val="0"/>
          <c:showBubbleSize val="0"/>
        </c:dLbls>
        <c:axId val="98783155"/>
        <c:axId val="64969940"/>
      </c:scatterChart>
      <c:valAx>
        <c:axId val="98783155"/>
        <c:scaling>
          <c:orientation val="minMax"/>
        </c:scaling>
        <c:delete val="0"/>
        <c:axPos val="b"/>
        <c:majorGridlines>
          <c:spPr>
            <a:ln w="9360">
              <a:solidFill>
                <a:srgbClr val="878787"/>
              </a:solidFill>
              <a:round/>
            </a:ln>
          </c:spPr>
        </c:majorGridlines>
        <c:title>
          <c:tx>
            <c:rich>
              <a:bodyPr rot="0"/>
              <a:lstStyle/>
              <a:p>
                <a:pPr>
                  <a:defRPr lang="es-CO" sz="1000" b="1" strike="noStrike" spc="-1">
                    <a:solidFill>
                      <a:srgbClr val="000000"/>
                    </a:solidFill>
                    <a:latin typeface="Calibri"/>
                  </a:defRPr>
                </a:pPr>
                <a:r>
                  <a:rPr lang="es-CO" sz="1000" b="1" strike="noStrike" spc="-1">
                    <a:solidFill>
                      <a:srgbClr val="000000"/>
                    </a:solidFill>
                    <a:latin typeface="Calibri"/>
                  </a:rPr>
                  <a:t>Clics</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CO"/>
          </a:p>
        </c:txPr>
        <c:crossAx val="64969940"/>
        <c:crosses val="autoZero"/>
        <c:crossBetween val="midCat"/>
      </c:valAx>
      <c:valAx>
        <c:axId val="64969940"/>
        <c:scaling>
          <c:orientation val="minMax"/>
        </c:scaling>
        <c:delete val="0"/>
        <c:axPos val="l"/>
        <c:majorGridlines>
          <c:spPr>
            <a:ln w="9360">
              <a:solidFill>
                <a:srgbClr val="878787"/>
              </a:solidFill>
              <a:round/>
            </a:ln>
          </c:spPr>
        </c:majorGridlines>
        <c:title>
          <c:tx>
            <c:rich>
              <a:bodyPr rot="-5400000"/>
              <a:lstStyle/>
              <a:p>
                <a:pPr>
                  <a:defRPr lang="es-CO" sz="1000" b="1" strike="noStrike" spc="-1">
                    <a:solidFill>
                      <a:srgbClr val="000000"/>
                    </a:solidFill>
                    <a:latin typeface="Calibri"/>
                  </a:defRPr>
                </a:pPr>
                <a:r>
                  <a:rPr lang="es-CO" sz="1000" b="1" strike="noStrike" spc="-1">
                    <a:solidFill>
                      <a:srgbClr val="000000"/>
                    </a:solidFill>
                    <a:latin typeface="Calibri"/>
                  </a:rPr>
                  <a:t>Ingresos ($)</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CO"/>
          </a:p>
        </c:txPr>
        <c:crossAx val="98783155"/>
        <c:crosses val="autoZero"/>
        <c:crossBetween val="midCat"/>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Se analizan 489 de las 576 filas del archivo (85 %)</a:t>
            </a:r>
          </a:p>
        </c:rich>
      </c:tx>
      <c:overlay val="0"/>
      <c:spPr>
        <a:noFill/>
        <a:ln w="0">
          <a:noFill/>
        </a:ln>
      </c:spPr>
    </c:title>
    <c:autoTitleDeleted val="0"/>
    <c:plotArea>
      <c:layout/>
      <c:barChart>
        <c:barDir val="bar"/>
        <c:grouping val="clustered"/>
        <c:varyColors val="0"/>
        <c:ser>
          <c:idx val="0"/>
          <c:order val="0"/>
          <c:tx>
            <c:strRef>
              <c:f>'H0 DATOS'!$B$5</c:f>
              <c:strCache>
                <c:ptCount val="1"/>
                <c:pt idx="0">
                  <c:v>Filas</c:v>
                </c:pt>
              </c:strCache>
            </c:strRef>
          </c:tx>
          <c:spPr>
            <a:solidFill>
              <a:srgbClr val="901C1A"/>
            </a:solidFill>
            <a:ln w="0">
              <a:solidFill>
                <a:srgbClr val="901C1A"/>
              </a:solidFill>
            </a:ln>
          </c:spPr>
          <c:invertIfNegative val="0"/>
          <c:dPt>
            <c:idx val="0"/>
            <c:invertIfNegative val="0"/>
            <c:bubble3D val="0"/>
            <c:spPr>
              <a:solidFill>
                <a:srgbClr val="D9534F"/>
              </a:solidFill>
              <a:ln w="0">
                <a:solidFill>
                  <a:srgbClr val="D9534F"/>
                </a:solidFill>
              </a:ln>
            </c:spPr>
            <c:extLst>
              <c:ext xmlns:c16="http://schemas.microsoft.com/office/drawing/2014/chart" uri="{C3380CC4-5D6E-409C-BE32-E72D297353CC}">
                <c16:uniqueId val="{00000001-D4C7-584D-BBD9-508E88758646}"/>
              </c:ext>
            </c:extLst>
          </c:dPt>
          <c:dPt>
            <c:idx val="1"/>
            <c:invertIfNegative val="0"/>
            <c:bubble3D val="0"/>
            <c:spPr>
              <a:solidFill>
                <a:srgbClr val="8C8C8C"/>
              </a:solidFill>
              <a:ln w="0">
                <a:solidFill>
                  <a:srgbClr val="8C8C8C"/>
                </a:solidFill>
              </a:ln>
            </c:spPr>
            <c:extLst>
              <c:ext xmlns:c16="http://schemas.microsoft.com/office/drawing/2014/chart" uri="{C3380CC4-5D6E-409C-BE32-E72D297353CC}">
                <c16:uniqueId val="{00000003-D4C7-584D-BBD9-508E88758646}"/>
              </c:ext>
            </c:extLst>
          </c:dPt>
          <c:dLbls>
            <c:dLbl>
              <c:idx val="0"/>
              <c:spPr/>
              <c:txPr>
                <a:bodyPr wrap="square"/>
                <a:lstStyle/>
                <a:p>
                  <a:pPr>
                    <a:defRPr sz="1000" b="0" strike="noStrike" spc="-1">
                      <a:solidFill>
                        <a:srgbClr val="000000"/>
                      </a:solidFill>
                      <a:latin typeface="Calibri"/>
                    </a:defRPr>
                  </a:pPr>
                  <a:endParaRPr lang="en-CO"/>
                </a:p>
              </c:txPr>
              <c:dLblPos val="outEnd"/>
              <c:showLegendKey val="0"/>
              <c:showVal val="1"/>
              <c:showCatName val="0"/>
              <c:showSerName val="0"/>
              <c:showPercent val="0"/>
              <c:showBubbleSize val="1"/>
              <c:extLst>
                <c:ext xmlns:c16="http://schemas.microsoft.com/office/drawing/2014/chart" uri="{C3380CC4-5D6E-409C-BE32-E72D297353CC}">
                  <c16:uniqueId val="{00000001-D4C7-584D-BBD9-508E88758646}"/>
                </c:ext>
              </c:extLst>
            </c:dLbl>
            <c:dLbl>
              <c:idx val="1"/>
              <c:spPr/>
              <c:txPr>
                <a:bodyPr wrap="square"/>
                <a:lstStyle/>
                <a:p>
                  <a:pPr>
                    <a:defRPr sz="1000" b="0" strike="noStrike" spc="-1">
                      <a:solidFill>
                        <a:srgbClr val="000000"/>
                      </a:solidFill>
                      <a:latin typeface="Calibri"/>
                    </a:defRPr>
                  </a:pPr>
                  <a:endParaRPr lang="en-CO"/>
                </a:p>
              </c:txPr>
              <c:dLblPos val="outEnd"/>
              <c:showLegendKey val="0"/>
              <c:showVal val="1"/>
              <c:showCatName val="0"/>
              <c:showSerName val="0"/>
              <c:showPercent val="0"/>
              <c:showBubbleSize val="1"/>
              <c:extLst>
                <c:ext xmlns:c16="http://schemas.microsoft.com/office/drawing/2014/chart" uri="{C3380CC4-5D6E-409C-BE32-E72D297353CC}">
                  <c16:uniqueId val="{00000003-D4C7-584D-BBD9-508E88758646}"/>
                </c:ext>
              </c:extLst>
            </c:dLbl>
            <c:spPr>
              <a:noFill/>
              <a:ln>
                <a:noFill/>
              </a:ln>
              <a:effectLst/>
            </c:spPr>
            <c:txPr>
              <a:bodyPr wrap="square"/>
              <a:lstStyle/>
              <a:p>
                <a:pPr>
                  <a:defRPr sz="1000" b="0" strike="noStrike" spc="-1">
                    <a:solidFill>
                      <a:srgbClr val="000000"/>
                    </a:solidFill>
                    <a:latin typeface="Calibri"/>
                  </a:defRPr>
                </a:pPr>
                <a:endParaRPr lang="en-CO"/>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'H0 DATOS'!$A$6:$A$7</c:f>
              <c:strCache>
                <c:ptCount val="2"/>
                <c:pt idx="0">
                  <c:v>Se analizan</c:v>
                </c:pt>
                <c:pt idx="1">
                  <c:v>Se excluyen</c:v>
                </c:pt>
              </c:strCache>
            </c:strRef>
          </c:cat>
          <c:val>
            <c:numRef>
              <c:f>'H0 DATOS'!$B$6:$B$7</c:f>
              <c:numCache>
                <c:formatCode>0</c:formatCode>
                <c:ptCount val="2"/>
                <c:pt idx="0">
                  <c:v>489</c:v>
                </c:pt>
                <c:pt idx="1">
                  <c:v>87</c:v>
                </c:pt>
              </c:numCache>
            </c:numRef>
          </c:val>
          <c:extLst>
            <c:ext xmlns:c16="http://schemas.microsoft.com/office/drawing/2014/chart" uri="{C3380CC4-5D6E-409C-BE32-E72D297353CC}">
              <c16:uniqueId val="{00000004-D4C7-584D-BBD9-508E88758646}"/>
            </c:ext>
          </c:extLst>
        </c:ser>
        <c:dLbls>
          <c:showLegendKey val="0"/>
          <c:showVal val="0"/>
          <c:showCatName val="0"/>
          <c:showSerName val="0"/>
          <c:showPercent val="0"/>
          <c:showBubbleSize val="0"/>
        </c:dLbls>
        <c:gapWidth val="60"/>
        <c:axId val="52413929"/>
        <c:axId val="39487669"/>
      </c:barChart>
      <c:catAx>
        <c:axId val="52413929"/>
        <c:scaling>
          <c:orientation val="maxMin"/>
        </c:scaling>
        <c:delete val="0"/>
        <c:axPos val="l"/>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CO"/>
          </a:p>
        </c:txPr>
        <c:crossAx val="39487669"/>
        <c:crosses val="autoZero"/>
        <c:auto val="1"/>
        <c:lblAlgn val="ctr"/>
        <c:lblOffset val="100"/>
        <c:noMultiLvlLbl val="0"/>
      </c:catAx>
      <c:valAx>
        <c:axId val="39487669"/>
        <c:scaling>
          <c:orientation val="minMax"/>
        </c:scaling>
        <c:delete val="1"/>
        <c:axPos val="t"/>
        <c:numFmt formatCode="0" sourceLinked="1"/>
        <c:majorTickMark val="none"/>
        <c:minorTickMark val="none"/>
        <c:tickLblPos val="nextTo"/>
        <c:crossAx val="52413929"/>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De las 87 filas excluidas, 72 tienen más clics que aperturas</a:t>
            </a:r>
          </a:p>
        </c:rich>
      </c:tx>
      <c:overlay val="0"/>
      <c:spPr>
        <a:noFill/>
        <a:ln w="0">
          <a:noFill/>
        </a:ln>
      </c:spPr>
    </c:title>
    <c:autoTitleDeleted val="0"/>
    <c:plotArea>
      <c:layout/>
      <c:barChart>
        <c:barDir val="bar"/>
        <c:grouping val="clustered"/>
        <c:varyColors val="0"/>
        <c:ser>
          <c:idx val="0"/>
          <c:order val="0"/>
          <c:tx>
            <c:strRef>
              <c:f>'H0 DATOS'!$B$19</c:f>
              <c:strCache>
                <c:ptCount val="1"/>
                <c:pt idx="0">
                  <c:v>Filas</c:v>
                </c:pt>
              </c:strCache>
            </c:strRef>
          </c:tx>
          <c:spPr>
            <a:solidFill>
              <a:srgbClr val="8C8C8C"/>
            </a:solidFill>
            <a:ln w="0">
              <a:solidFill>
                <a:srgbClr val="8C8C8C"/>
              </a:solidFill>
            </a:ln>
          </c:spPr>
          <c:invertIfNegative val="0"/>
          <c:dLbls>
            <c:spPr>
              <a:noFill/>
              <a:ln>
                <a:noFill/>
              </a:ln>
              <a:effectLst/>
            </c:spPr>
            <c:txPr>
              <a:bodyPr wrap="square"/>
              <a:lstStyle/>
              <a:p>
                <a:pPr>
                  <a:defRPr sz="1000" b="0" strike="noStrike" spc="-1">
                    <a:solidFill>
                      <a:srgbClr val="000000"/>
                    </a:solidFill>
                    <a:latin typeface="Calibri"/>
                  </a:defRPr>
                </a:pPr>
                <a:endParaRPr lang="en-CO"/>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'H0 DATOS'!$A$20:$A$23</c:f>
              <c:strCache>
                <c:ptCount val="4"/>
                <c:pt idx="0">
                  <c:v>Imposible: más clics que aperturas</c:v>
                </c:pt>
                <c:pt idx="1">
                  <c:v>Fecha fuera de la ventana ago-oct 2025</c:v>
                </c:pt>
                <c:pt idx="2">
                  <c:v>Imposible: más aperturas que envíos</c:v>
                </c:pt>
                <c:pt idx="3">
                  <c:v>Campos vacíos en métricas de cálculo</c:v>
                </c:pt>
              </c:strCache>
            </c:strRef>
          </c:cat>
          <c:val>
            <c:numRef>
              <c:f>'H0 DATOS'!$B$20:$B$23</c:f>
              <c:numCache>
                <c:formatCode>0</c:formatCode>
                <c:ptCount val="4"/>
                <c:pt idx="0">
                  <c:v>72</c:v>
                </c:pt>
                <c:pt idx="1">
                  <c:v>7</c:v>
                </c:pt>
                <c:pt idx="2">
                  <c:v>5</c:v>
                </c:pt>
                <c:pt idx="3">
                  <c:v>3</c:v>
                </c:pt>
              </c:numCache>
            </c:numRef>
          </c:val>
          <c:extLst>
            <c:ext xmlns:c16="http://schemas.microsoft.com/office/drawing/2014/chart" uri="{C3380CC4-5D6E-409C-BE32-E72D297353CC}">
              <c16:uniqueId val="{00000000-C4EE-4949-9578-AF83D64182E0}"/>
            </c:ext>
          </c:extLst>
        </c:ser>
        <c:dLbls>
          <c:showLegendKey val="0"/>
          <c:showVal val="0"/>
          <c:showCatName val="0"/>
          <c:showSerName val="0"/>
          <c:showPercent val="0"/>
          <c:showBubbleSize val="0"/>
        </c:dLbls>
        <c:gapWidth val="60"/>
        <c:axId val="65034204"/>
        <c:axId val="78055928"/>
      </c:barChart>
      <c:catAx>
        <c:axId val="65034204"/>
        <c:scaling>
          <c:orientation val="maxMin"/>
        </c:scaling>
        <c:delete val="0"/>
        <c:axPos val="l"/>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CO"/>
          </a:p>
        </c:txPr>
        <c:crossAx val="78055928"/>
        <c:crosses val="autoZero"/>
        <c:auto val="1"/>
        <c:lblAlgn val="ctr"/>
        <c:lblOffset val="100"/>
        <c:noMultiLvlLbl val="0"/>
      </c:catAx>
      <c:valAx>
        <c:axId val="78055928"/>
        <c:scaling>
          <c:orientation val="minMax"/>
        </c:scaling>
        <c:delete val="1"/>
        <c:axPos val="t"/>
        <c:numFmt formatCode="0" sourceLinked="1"/>
        <c:majorTickMark val="none"/>
        <c:minorTickMark val="none"/>
        <c:tickLblPos val="nextTo"/>
        <c:crossAx val="65034204"/>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El mes no cambia la apertura: agosto, septiembre y octubre abren entre 28,7 % y 29,5 %</a:t>
            </a:r>
          </a:p>
        </c:rich>
      </c:tx>
      <c:overlay val="0"/>
      <c:spPr>
        <a:noFill/>
        <a:ln w="0">
          <a:noFill/>
        </a:ln>
      </c:spPr>
    </c:title>
    <c:autoTitleDeleted val="0"/>
    <c:plotArea>
      <c:layout/>
      <c:barChart>
        <c:barDir val="col"/>
        <c:grouping val="clustered"/>
        <c:varyColors val="0"/>
        <c:ser>
          <c:idx val="0"/>
          <c:order val="0"/>
          <c:tx>
            <c:strRef>
              <c:f>'H1 CALENDARIO'!$C$9</c:f>
              <c:strCache>
                <c:ptCount val="1"/>
                <c:pt idx="0">
                  <c:v>Apertura (%)</c:v>
                </c:pt>
              </c:strCache>
            </c:strRef>
          </c:tx>
          <c:spPr>
            <a:solidFill>
              <a:srgbClr val="901C1A"/>
            </a:solidFill>
            <a:ln w="0">
              <a:solidFill>
                <a:srgbClr val="901C1A"/>
              </a:solidFill>
            </a:ln>
          </c:spPr>
          <c:invertIfNegative val="0"/>
          <c:dLbls>
            <c:spPr>
              <a:noFill/>
              <a:ln>
                <a:noFill/>
              </a:ln>
              <a:effectLst/>
            </c:spPr>
            <c:txPr>
              <a:bodyPr wrap="square"/>
              <a:lstStyle/>
              <a:p>
                <a:pPr>
                  <a:defRPr sz="1000" b="0" strike="noStrike" spc="-1">
                    <a:solidFill>
                      <a:srgbClr val="000000"/>
                    </a:solidFill>
                    <a:latin typeface="Calibri"/>
                  </a:defRPr>
                </a:pPr>
                <a:endParaRPr lang="en-CO"/>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'H1 CALENDARIO'!$A$10:$A$12</c:f>
              <c:strCache>
                <c:ptCount val="3"/>
                <c:pt idx="0">
                  <c:v>Agosto</c:v>
                </c:pt>
                <c:pt idx="1">
                  <c:v>Septiembre</c:v>
                </c:pt>
                <c:pt idx="2">
                  <c:v>Octubre</c:v>
                </c:pt>
              </c:strCache>
            </c:strRef>
          </c:cat>
          <c:val>
            <c:numRef>
              <c:f>'H1 CALENDARIO'!$C$10:$C$12</c:f>
              <c:numCache>
                <c:formatCode>0.0</c:formatCode>
                <c:ptCount val="3"/>
                <c:pt idx="0">
                  <c:v>29.514345434389966</c:v>
                </c:pt>
                <c:pt idx="1">
                  <c:v>28.665370973969832</c:v>
                </c:pt>
                <c:pt idx="2">
                  <c:v>29.400958146421146</c:v>
                </c:pt>
              </c:numCache>
            </c:numRef>
          </c:val>
          <c:extLst>
            <c:ext xmlns:c16="http://schemas.microsoft.com/office/drawing/2014/chart" uri="{C3380CC4-5D6E-409C-BE32-E72D297353CC}">
              <c16:uniqueId val="{00000000-7EE0-1143-B25D-E927599C7A6C}"/>
            </c:ext>
          </c:extLst>
        </c:ser>
        <c:ser>
          <c:idx val="1"/>
          <c:order val="1"/>
          <c:tx>
            <c:strRef>
              <c:f>'H1 CALENDARIO'!$D$9</c:f>
              <c:strCache>
                <c:ptCount val="1"/>
                <c:pt idx="0">
                  <c:v>CTR (%)</c:v>
                </c:pt>
              </c:strCache>
            </c:strRef>
          </c:tx>
          <c:spPr>
            <a:solidFill>
              <a:srgbClr val="000000"/>
            </a:solidFill>
            <a:ln w="0">
              <a:solidFill>
                <a:srgbClr val="000000"/>
              </a:solidFill>
            </a:ln>
          </c:spPr>
          <c:invertIfNegative val="0"/>
          <c:dLbls>
            <c:spPr>
              <a:noFill/>
              <a:ln>
                <a:noFill/>
              </a:ln>
              <a:effectLst/>
            </c:spPr>
            <c:txPr>
              <a:bodyPr wrap="square"/>
              <a:lstStyle/>
              <a:p>
                <a:pPr>
                  <a:defRPr sz="1000" b="0" strike="noStrike" spc="-1">
                    <a:solidFill>
                      <a:srgbClr val="000000"/>
                    </a:solidFill>
                    <a:latin typeface="Calibri"/>
                  </a:defRPr>
                </a:pPr>
                <a:endParaRPr lang="en-CO"/>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'H1 CALENDARIO'!$A$10:$A$12</c:f>
              <c:strCache>
                <c:ptCount val="3"/>
                <c:pt idx="0">
                  <c:v>Agosto</c:v>
                </c:pt>
                <c:pt idx="1">
                  <c:v>Septiembre</c:v>
                </c:pt>
                <c:pt idx="2">
                  <c:v>Octubre</c:v>
                </c:pt>
              </c:strCache>
            </c:strRef>
          </c:cat>
          <c:val>
            <c:numRef>
              <c:f>'H1 CALENDARIO'!$D$10:$D$12</c:f>
              <c:numCache>
                <c:formatCode>0.0</c:formatCode>
                <c:ptCount val="3"/>
                <c:pt idx="0">
                  <c:v>10.016982892069185</c:v>
                </c:pt>
                <c:pt idx="1">
                  <c:v>9.6054365084753339</c:v>
                </c:pt>
                <c:pt idx="2">
                  <c:v>9.7492144696650147</c:v>
                </c:pt>
              </c:numCache>
            </c:numRef>
          </c:val>
          <c:extLst>
            <c:ext xmlns:c16="http://schemas.microsoft.com/office/drawing/2014/chart" uri="{C3380CC4-5D6E-409C-BE32-E72D297353CC}">
              <c16:uniqueId val="{00000001-7EE0-1143-B25D-E927599C7A6C}"/>
            </c:ext>
          </c:extLst>
        </c:ser>
        <c:dLbls>
          <c:showLegendKey val="0"/>
          <c:showVal val="0"/>
          <c:showCatName val="0"/>
          <c:showSerName val="0"/>
          <c:showPercent val="0"/>
          <c:showBubbleSize val="0"/>
        </c:dLbls>
        <c:gapWidth val="60"/>
        <c:axId val="56616419"/>
        <c:axId val="92669226"/>
      </c:barChart>
      <c:catAx>
        <c:axId val="56616419"/>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CO"/>
          </a:p>
        </c:txPr>
        <c:crossAx val="92669226"/>
        <c:crosses val="autoZero"/>
        <c:auto val="1"/>
        <c:lblAlgn val="ctr"/>
        <c:lblOffset val="100"/>
        <c:noMultiLvlLbl val="0"/>
      </c:catAx>
      <c:valAx>
        <c:axId val="92669226"/>
        <c:scaling>
          <c:orientation val="minMax"/>
          <c:max val="50"/>
          <c:min val="0"/>
        </c:scaling>
        <c:delete val="1"/>
        <c:axPos val="l"/>
        <c:numFmt formatCode="0.0" sourceLinked="1"/>
        <c:majorTickMark val="none"/>
        <c:minorTickMark val="none"/>
        <c:tickLblPos val="nextTo"/>
        <c:crossAx val="56616419"/>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CO"/>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Ningún día de la semana se separa del promedio (el domingo tiene solo 11 campañas)</a:t>
            </a:r>
          </a:p>
        </c:rich>
      </c:tx>
      <c:overlay val="0"/>
      <c:spPr>
        <a:noFill/>
        <a:ln w="0">
          <a:noFill/>
        </a:ln>
      </c:spPr>
    </c:title>
    <c:autoTitleDeleted val="0"/>
    <c:plotArea>
      <c:layout/>
      <c:barChart>
        <c:barDir val="col"/>
        <c:grouping val="clustered"/>
        <c:varyColors val="0"/>
        <c:ser>
          <c:idx val="0"/>
          <c:order val="0"/>
          <c:tx>
            <c:strRef>
              <c:f>'H1 CALENDARIO'!$C$33</c:f>
              <c:strCache>
                <c:ptCount val="1"/>
                <c:pt idx="0">
                  <c:v>Apertura (%)</c:v>
                </c:pt>
              </c:strCache>
            </c:strRef>
          </c:tx>
          <c:spPr>
            <a:solidFill>
              <a:srgbClr val="901C1A"/>
            </a:solidFill>
            <a:ln w="0">
              <a:solidFill>
                <a:srgbClr val="901C1A"/>
              </a:solidFill>
            </a:ln>
          </c:spPr>
          <c:invertIfNegative val="0"/>
          <c:dLbls>
            <c:spPr>
              <a:noFill/>
              <a:ln>
                <a:noFill/>
              </a:ln>
              <a:effectLst/>
            </c:spPr>
            <c:txPr>
              <a:bodyPr wrap="square"/>
              <a:lstStyle/>
              <a:p>
                <a:pPr>
                  <a:defRPr sz="1000" b="0" strike="noStrike" spc="-1">
                    <a:solidFill>
                      <a:srgbClr val="000000"/>
                    </a:solidFill>
                    <a:latin typeface="Calibri"/>
                  </a:defRPr>
                </a:pPr>
                <a:endParaRPr lang="en-CO"/>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'H1 CALENDARIO'!$A$34:$A$40</c:f>
              <c:strCache>
                <c:ptCount val="7"/>
                <c:pt idx="0">
                  <c:v>Lunes</c:v>
                </c:pt>
                <c:pt idx="1">
                  <c:v>Martes</c:v>
                </c:pt>
                <c:pt idx="2">
                  <c:v>Miércoles</c:v>
                </c:pt>
                <c:pt idx="3">
                  <c:v>Jueves</c:v>
                </c:pt>
                <c:pt idx="4">
                  <c:v>Viernes</c:v>
                </c:pt>
                <c:pt idx="5">
                  <c:v>Sábado</c:v>
                </c:pt>
                <c:pt idx="6">
                  <c:v>Domingo</c:v>
                </c:pt>
              </c:strCache>
            </c:strRef>
          </c:cat>
          <c:val>
            <c:numRef>
              <c:f>'H1 CALENDARIO'!$C$34:$C$40</c:f>
              <c:numCache>
                <c:formatCode>0.0</c:formatCode>
                <c:ptCount val="7"/>
                <c:pt idx="0">
                  <c:v>29.509193639307458</c:v>
                </c:pt>
                <c:pt idx="1">
                  <c:v>28.853981619322983</c:v>
                </c:pt>
                <c:pt idx="2">
                  <c:v>29.805531443423028</c:v>
                </c:pt>
                <c:pt idx="3">
                  <c:v>28.922959140675676</c:v>
                </c:pt>
                <c:pt idx="4">
                  <c:v>27.798718419662102</c:v>
                </c:pt>
                <c:pt idx="5">
                  <c:v>28.625989470481755</c:v>
                </c:pt>
                <c:pt idx="6">
                  <c:v>33.664233988870663</c:v>
                </c:pt>
              </c:numCache>
            </c:numRef>
          </c:val>
          <c:extLst>
            <c:ext xmlns:c16="http://schemas.microsoft.com/office/drawing/2014/chart" uri="{C3380CC4-5D6E-409C-BE32-E72D297353CC}">
              <c16:uniqueId val="{00000000-8A85-6F47-8FF5-DD98CCBD8CD0}"/>
            </c:ext>
          </c:extLst>
        </c:ser>
        <c:ser>
          <c:idx val="1"/>
          <c:order val="1"/>
          <c:tx>
            <c:strRef>
              <c:f>'H1 CALENDARIO'!$D$33</c:f>
              <c:strCache>
                <c:ptCount val="1"/>
                <c:pt idx="0">
                  <c:v>CTR (%)</c:v>
                </c:pt>
              </c:strCache>
            </c:strRef>
          </c:tx>
          <c:spPr>
            <a:solidFill>
              <a:srgbClr val="000000"/>
            </a:solidFill>
            <a:ln w="0">
              <a:solidFill>
                <a:srgbClr val="000000"/>
              </a:solidFill>
            </a:ln>
          </c:spPr>
          <c:invertIfNegative val="0"/>
          <c:dLbls>
            <c:spPr>
              <a:noFill/>
              <a:ln>
                <a:noFill/>
              </a:ln>
              <a:effectLst/>
            </c:spPr>
            <c:txPr>
              <a:bodyPr wrap="square"/>
              <a:lstStyle/>
              <a:p>
                <a:pPr>
                  <a:defRPr sz="1000" b="0" strike="noStrike" spc="-1">
                    <a:solidFill>
                      <a:srgbClr val="000000"/>
                    </a:solidFill>
                    <a:latin typeface="Calibri"/>
                  </a:defRPr>
                </a:pPr>
                <a:endParaRPr lang="en-CO"/>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'H1 CALENDARIO'!$A$34:$A$40</c:f>
              <c:strCache>
                <c:ptCount val="7"/>
                <c:pt idx="0">
                  <c:v>Lunes</c:v>
                </c:pt>
                <c:pt idx="1">
                  <c:v>Martes</c:v>
                </c:pt>
                <c:pt idx="2">
                  <c:v>Miércoles</c:v>
                </c:pt>
                <c:pt idx="3">
                  <c:v>Jueves</c:v>
                </c:pt>
                <c:pt idx="4">
                  <c:v>Viernes</c:v>
                </c:pt>
                <c:pt idx="5">
                  <c:v>Sábado</c:v>
                </c:pt>
                <c:pt idx="6">
                  <c:v>Domingo</c:v>
                </c:pt>
              </c:strCache>
            </c:strRef>
          </c:cat>
          <c:val>
            <c:numRef>
              <c:f>'H1 CALENDARIO'!$D$34:$D$40</c:f>
              <c:numCache>
                <c:formatCode>0.0</c:formatCode>
                <c:ptCount val="7"/>
                <c:pt idx="0">
                  <c:v>9.9843772506205841</c:v>
                </c:pt>
                <c:pt idx="1">
                  <c:v>10.172968088261818</c:v>
                </c:pt>
                <c:pt idx="2">
                  <c:v>9.9605132325499905</c:v>
                </c:pt>
                <c:pt idx="3">
                  <c:v>8.6545725389573551</c:v>
                </c:pt>
                <c:pt idx="4">
                  <c:v>9.4066366145817373</c:v>
                </c:pt>
                <c:pt idx="5">
                  <c:v>9.6393947367012842</c:v>
                </c:pt>
                <c:pt idx="6">
                  <c:v>11.754579786833203</c:v>
                </c:pt>
              </c:numCache>
            </c:numRef>
          </c:val>
          <c:extLst>
            <c:ext xmlns:c16="http://schemas.microsoft.com/office/drawing/2014/chart" uri="{C3380CC4-5D6E-409C-BE32-E72D297353CC}">
              <c16:uniqueId val="{00000001-8A85-6F47-8FF5-DD98CCBD8CD0}"/>
            </c:ext>
          </c:extLst>
        </c:ser>
        <c:dLbls>
          <c:showLegendKey val="0"/>
          <c:showVal val="0"/>
          <c:showCatName val="0"/>
          <c:showSerName val="0"/>
          <c:showPercent val="0"/>
          <c:showBubbleSize val="0"/>
        </c:dLbls>
        <c:gapWidth val="60"/>
        <c:axId val="21650740"/>
        <c:axId val="89997080"/>
      </c:barChart>
      <c:catAx>
        <c:axId val="21650740"/>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CO"/>
          </a:p>
        </c:txPr>
        <c:crossAx val="89997080"/>
        <c:crosses val="autoZero"/>
        <c:auto val="1"/>
        <c:lblAlgn val="ctr"/>
        <c:lblOffset val="100"/>
        <c:noMultiLvlLbl val="0"/>
      </c:catAx>
      <c:valAx>
        <c:axId val="89997080"/>
        <c:scaling>
          <c:orientation val="minMax"/>
          <c:max val="50"/>
          <c:min val="0"/>
        </c:scaling>
        <c:delete val="1"/>
        <c:axPos val="l"/>
        <c:numFmt formatCode="0.0" sourceLinked="1"/>
        <c:majorTickMark val="none"/>
        <c:minorTickMark val="none"/>
        <c:tickLblPos val="nextTo"/>
        <c:crossAx val="21650740"/>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CO"/>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La hora de envío no cambia la apertura: todas las horas quedan entre 27,8 % y 32,5 %</a:t>
            </a:r>
          </a:p>
        </c:rich>
      </c:tx>
      <c:overlay val="0"/>
      <c:spPr>
        <a:noFill/>
        <a:ln w="0">
          <a:noFill/>
        </a:ln>
      </c:spPr>
    </c:title>
    <c:autoTitleDeleted val="0"/>
    <c:plotArea>
      <c:layout/>
      <c:barChart>
        <c:barDir val="col"/>
        <c:grouping val="clustered"/>
        <c:varyColors val="0"/>
        <c:ser>
          <c:idx val="0"/>
          <c:order val="0"/>
          <c:tx>
            <c:strRef>
              <c:f>'H1 CALENDARIO'!$C$57</c:f>
              <c:strCache>
                <c:ptCount val="1"/>
                <c:pt idx="0">
                  <c:v>Apertura (%)</c:v>
                </c:pt>
              </c:strCache>
            </c:strRef>
          </c:tx>
          <c:spPr>
            <a:solidFill>
              <a:srgbClr val="901C1A"/>
            </a:solidFill>
            <a:ln w="0">
              <a:solidFill>
                <a:srgbClr val="901C1A"/>
              </a:solidFill>
            </a:ln>
          </c:spPr>
          <c:invertIfNegative val="0"/>
          <c:dLbls>
            <c:spPr>
              <a:noFill/>
              <a:ln>
                <a:noFill/>
              </a:ln>
              <a:effectLst/>
            </c:spPr>
            <c:txPr>
              <a:bodyPr wrap="square"/>
              <a:lstStyle/>
              <a:p>
                <a:pPr>
                  <a:defRPr sz="1000" b="0" strike="noStrike" spc="-1">
                    <a:solidFill>
                      <a:srgbClr val="000000"/>
                    </a:solidFill>
                    <a:latin typeface="Calibri"/>
                  </a:defRPr>
                </a:pPr>
                <a:endParaRPr lang="en-CO"/>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'H1 CALENDARIO'!$A$58:$A$66</c:f>
              <c:numCache>
                <c:formatCode>General</c:formatCode>
                <c:ptCount val="9"/>
                <c:pt idx="0">
                  <c:v>8</c:v>
                </c:pt>
                <c:pt idx="1">
                  <c:v>9</c:v>
                </c:pt>
                <c:pt idx="2">
                  <c:v>10</c:v>
                </c:pt>
                <c:pt idx="3">
                  <c:v>11</c:v>
                </c:pt>
                <c:pt idx="4">
                  <c:v>12</c:v>
                </c:pt>
                <c:pt idx="5">
                  <c:v>13</c:v>
                </c:pt>
                <c:pt idx="6">
                  <c:v>14</c:v>
                </c:pt>
                <c:pt idx="7">
                  <c:v>15</c:v>
                </c:pt>
                <c:pt idx="8">
                  <c:v>16</c:v>
                </c:pt>
              </c:numCache>
            </c:numRef>
          </c:cat>
          <c:val>
            <c:numRef>
              <c:f>'H1 CALENDARIO'!$C$58:$C$66</c:f>
              <c:numCache>
                <c:formatCode>0.0</c:formatCode>
                <c:ptCount val="9"/>
                <c:pt idx="0">
                  <c:v>28.287787257210606</c:v>
                </c:pt>
                <c:pt idx="1">
                  <c:v>28.997432113190655</c:v>
                </c:pt>
                <c:pt idx="2">
                  <c:v>28.945981656198231</c:v>
                </c:pt>
                <c:pt idx="3">
                  <c:v>28.113087630345291</c:v>
                </c:pt>
                <c:pt idx="4">
                  <c:v>32.530274728799249</c:v>
                </c:pt>
                <c:pt idx="5">
                  <c:v>28.707112934574802</c:v>
                </c:pt>
                <c:pt idx="6">
                  <c:v>27.847081084824378</c:v>
                </c:pt>
                <c:pt idx="7">
                  <c:v>31.017354751915796</c:v>
                </c:pt>
                <c:pt idx="8">
                  <c:v>29.669456583559718</c:v>
                </c:pt>
              </c:numCache>
            </c:numRef>
          </c:val>
          <c:extLst>
            <c:ext xmlns:c16="http://schemas.microsoft.com/office/drawing/2014/chart" uri="{C3380CC4-5D6E-409C-BE32-E72D297353CC}">
              <c16:uniqueId val="{00000000-7765-254D-950E-B7E0266D0BE9}"/>
            </c:ext>
          </c:extLst>
        </c:ser>
        <c:ser>
          <c:idx val="1"/>
          <c:order val="1"/>
          <c:tx>
            <c:strRef>
              <c:f>'H1 CALENDARIO'!$D$57</c:f>
              <c:strCache>
                <c:ptCount val="1"/>
                <c:pt idx="0">
                  <c:v>CTR (%)</c:v>
                </c:pt>
              </c:strCache>
            </c:strRef>
          </c:tx>
          <c:spPr>
            <a:solidFill>
              <a:srgbClr val="000000"/>
            </a:solidFill>
            <a:ln w="0">
              <a:solidFill>
                <a:srgbClr val="000000"/>
              </a:solidFill>
            </a:ln>
          </c:spPr>
          <c:invertIfNegative val="0"/>
          <c:dLbls>
            <c:spPr>
              <a:noFill/>
              <a:ln>
                <a:noFill/>
              </a:ln>
              <a:effectLst/>
            </c:spPr>
            <c:txPr>
              <a:bodyPr wrap="square"/>
              <a:lstStyle/>
              <a:p>
                <a:pPr>
                  <a:defRPr sz="1000" b="0" strike="noStrike" spc="-1">
                    <a:solidFill>
                      <a:srgbClr val="000000"/>
                    </a:solidFill>
                    <a:latin typeface="Calibri"/>
                  </a:defRPr>
                </a:pPr>
                <a:endParaRPr lang="en-CO"/>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'H1 CALENDARIO'!$A$58:$A$66</c:f>
              <c:numCache>
                <c:formatCode>General</c:formatCode>
                <c:ptCount val="9"/>
                <c:pt idx="0">
                  <c:v>8</c:v>
                </c:pt>
                <c:pt idx="1">
                  <c:v>9</c:v>
                </c:pt>
                <c:pt idx="2">
                  <c:v>10</c:v>
                </c:pt>
                <c:pt idx="3">
                  <c:v>11</c:v>
                </c:pt>
                <c:pt idx="4">
                  <c:v>12</c:v>
                </c:pt>
                <c:pt idx="5">
                  <c:v>13</c:v>
                </c:pt>
                <c:pt idx="6">
                  <c:v>14</c:v>
                </c:pt>
                <c:pt idx="7">
                  <c:v>15</c:v>
                </c:pt>
                <c:pt idx="8">
                  <c:v>16</c:v>
                </c:pt>
              </c:numCache>
            </c:numRef>
          </c:cat>
          <c:val>
            <c:numRef>
              <c:f>'H1 CALENDARIO'!$D$58:$D$66</c:f>
              <c:numCache>
                <c:formatCode>0.0</c:formatCode>
                <c:ptCount val="9"/>
                <c:pt idx="0">
                  <c:v>8.2129061344679322</c:v>
                </c:pt>
                <c:pt idx="1">
                  <c:v>9.6156746998194151</c:v>
                </c:pt>
                <c:pt idx="2">
                  <c:v>10.274592144357811</c:v>
                </c:pt>
                <c:pt idx="3">
                  <c:v>9.5593714853337008</c:v>
                </c:pt>
                <c:pt idx="4">
                  <c:v>9.7455376015849495</c:v>
                </c:pt>
                <c:pt idx="5">
                  <c:v>9.5853681119457566</c:v>
                </c:pt>
                <c:pt idx="6">
                  <c:v>9.8104709634504932</c:v>
                </c:pt>
                <c:pt idx="7">
                  <c:v>10.467229229996466</c:v>
                </c:pt>
                <c:pt idx="8">
                  <c:v>9.7323543537463326</c:v>
                </c:pt>
              </c:numCache>
            </c:numRef>
          </c:val>
          <c:extLst>
            <c:ext xmlns:c16="http://schemas.microsoft.com/office/drawing/2014/chart" uri="{C3380CC4-5D6E-409C-BE32-E72D297353CC}">
              <c16:uniqueId val="{00000001-7765-254D-950E-B7E0266D0BE9}"/>
            </c:ext>
          </c:extLst>
        </c:ser>
        <c:dLbls>
          <c:showLegendKey val="0"/>
          <c:showVal val="0"/>
          <c:showCatName val="0"/>
          <c:showSerName val="0"/>
          <c:showPercent val="0"/>
          <c:showBubbleSize val="0"/>
        </c:dLbls>
        <c:gapWidth val="60"/>
        <c:axId val="36456320"/>
        <c:axId val="76415748"/>
      </c:barChart>
      <c:catAx>
        <c:axId val="36456320"/>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CO"/>
          </a:p>
        </c:txPr>
        <c:crossAx val="76415748"/>
        <c:crosses val="autoZero"/>
        <c:auto val="1"/>
        <c:lblAlgn val="ctr"/>
        <c:lblOffset val="100"/>
        <c:noMultiLvlLbl val="0"/>
      </c:catAx>
      <c:valAx>
        <c:axId val="76415748"/>
        <c:scaling>
          <c:orientation val="minMax"/>
          <c:max val="50"/>
          <c:min val="0"/>
        </c:scaling>
        <c:delete val="1"/>
        <c:axPos val="l"/>
        <c:numFmt formatCode="0.0" sourceLinked="1"/>
        <c:majorTickMark val="none"/>
        <c:minorTickMark val="none"/>
        <c:tickLblPos val="nextTo"/>
        <c:crossAx val="36456320"/>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CO"/>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La quincena no cambia la apertura: 28,4 % contra 29,1 % en el resto del mes</a:t>
            </a:r>
          </a:p>
        </c:rich>
      </c:tx>
      <c:overlay val="0"/>
      <c:spPr>
        <a:noFill/>
        <a:ln w="0">
          <a:noFill/>
        </a:ln>
      </c:spPr>
    </c:title>
    <c:autoTitleDeleted val="0"/>
    <c:plotArea>
      <c:layout/>
      <c:barChart>
        <c:barDir val="col"/>
        <c:grouping val="clustered"/>
        <c:varyColors val="0"/>
        <c:ser>
          <c:idx val="0"/>
          <c:order val="0"/>
          <c:tx>
            <c:strRef>
              <c:f>'H1 CALENDARIO'!$C$81</c:f>
              <c:strCache>
                <c:ptCount val="1"/>
                <c:pt idx="0">
                  <c:v>Apertura (%)</c:v>
                </c:pt>
              </c:strCache>
            </c:strRef>
          </c:tx>
          <c:spPr>
            <a:solidFill>
              <a:srgbClr val="901C1A"/>
            </a:solidFill>
            <a:ln w="0">
              <a:solidFill>
                <a:srgbClr val="901C1A"/>
              </a:solidFill>
            </a:ln>
          </c:spPr>
          <c:invertIfNegative val="0"/>
          <c:dLbls>
            <c:spPr>
              <a:noFill/>
              <a:ln>
                <a:noFill/>
              </a:ln>
              <a:effectLst/>
            </c:spPr>
            <c:txPr>
              <a:bodyPr wrap="square"/>
              <a:lstStyle/>
              <a:p>
                <a:pPr>
                  <a:defRPr sz="1000" b="0" strike="noStrike" spc="-1">
                    <a:solidFill>
                      <a:srgbClr val="000000"/>
                    </a:solidFill>
                    <a:latin typeface="Calibri"/>
                  </a:defRPr>
                </a:pPr>
                <a:endParaRPr lang="en-CO"/>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'H1 CALENDARIO'!$A$82:$A$84</c:f>
              <c:strCache>
                <c:ptCount val="3"/>
                <c:pt idx="0">
                  <c:v>Quincena</c:v>
                </c:pt>
                <c:pt idx="1">
                  <c:v>Días después del pago</c:v>
                </c:pt>
                <c:pt idx="2">
                  <c:v>Resto del mes</c:v>
                </c:pt>
              </c:strCache>
            </c:strRef>
          </c:cat>
          <c:val>
            <c:numRef>
              <c:f>'H1 CALENDARIO'!$C$82:$C$84</c:f>
              <c:numCache>
                <c:formatCode>0.0</c:formatCode>
                <c:ptCount val="3"/>
                <c:pt idx="0">
                  <c:v>28.402280491792748</c:v>
                </c:pt>
                <c:pt idx="1">
                  <c:v>29.94015982080068</c:v>
                </c:pt>
                <c:pt idx="2">
                  <c:v>29.086779371495449</c:v>
                </c:pt>
              </c:numCache>
            </c:numRef>
          </c:val>
          <c:extLst>
            <c:ext xmlns:c16="http://schemas.microsoft.com/office/drawing/2014/chart" uri="{C3380CC4-5D6E-409C-BE32-E72D297353CC}">
              <c16:uniqueId val="{00000000-725A-374B-8739-0D873F520802}"/>
            </c:ext>
          </c:extLst>
        </c:ser>
        <c:ser>
          <c:idx val="1"/>
          <c:order val="1"/>
          <c:tx>
            <c:strRef>
              <c:f>'H1 CALENDARIO'!$D$81</c:f>
              <c:strCache>
                <c:ptCount val="1"/>
                <c:pt idx="0">
                  <c:v>CTR (%)</c:v>
                </c:pt>
              </c:strCache>
            </c:strRef>
          </c:tx>
          <c:spPr>
            <a:solidFill>
              <a:srgbClr val="000000"/>
            </a:solidFill>
            <a:ln w="0">
              <a:solidFill>
                <a:srgbClr val="000000"/>
              </a:solidFill>
            </a:ln>
          </c:spPr>
          <c:invertIfNegative val="0"/>
          <c:dLbls>
            <c:spPr>
              <a:noFill/>
              <a:ln>
                <a:noFill/>
              </a:ln>
              <a:effectLst/>
            </c:spPr>
            <c:txPr>
              <a:bodyPr wrap="square"/>
              <a:lstStyle/>
              <a:p>
                <a:pPr>
                  <a:defRPr sz="1000" b="0" strike="noStrike" spc="-1">
                    <a:solidFill>
                      <a:srgbClr val="000000"/>
                    </a:solidFill>
                    <a:latin typeface="Calibri"/>
                  </a:defRPr>
                </a:pPr>
                <a:endParaRPr lang="en-CO"/>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'H1 CALENDARIO'!$A$82:$A$84</c:f>
              <c:strCache>
                <c:ptCount val="3"/>
                <c:pt idx="0">
                  <c:v>Quincena</c:v>
                </c:pt>
                <c:pt idx="1">
                  <c:v>Días después del pago</c:v>
                </c:pt>
                <c:pt idx="2">
                  <c:v>Resto del mes</c:v>
                </c:pt>
              </c:strCache>
            </c:strRef>
          </c:cat>
          <c:val>
            <c:numRef>
              <c:f>'H1 CALENDARIO'!$D$82:$D$84</c:f>
              <c:numCache>
                <c:formatCode>0.0</c:formatCode>
                <c:ptCount val="3"/>
                <c:pt idx="0">
                  <c:v>8.6600006185416252</c:v>
                </c:pt>
                <c:pt idx="1">
                  <c:v>9.8591374856300753</c:v>
                </c:pt>
                <c:pt idx="2">
                  <c:v>10.141590480400033</c:v>
                </c:pt>
              </c:numCache>
            </c:numRef>
          </c:val>
          <c:extLst>
            <c:ext xmlns:c16="http://schemas.microsoft.com/office/drawing/2014/chart" uri="{C3380CC4-5D6E-409C-BE32-E72D297353CC}">
              <c16:uniqueId val="{00000001-725A-374B-8739-0D873F520802}"/>
            </c:ext>
          </c:extLst>
        </c:ser>
        <c:dLbls>
          <c:showLegendKey val="0"/>
          <c:showVal val="0"/>
          <c:showCatName val="0"/>
          <c:showSerName val="0"/>
          <c:showPercent val="0"/>
          <c:showBubbleSize val="0"/>
        </c:dLbls>
        <c:gapWidth val="60"/>
        <c:axId val="51511544"/>
        <c:axId val="85246784"/>
      </c:barChart>
      <c:catAx>
        <c:axId val="51511544"/>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CO"/>
          </a:p>
        </c:txPr>
        <c:crossAx val="85246784"/>
        <c:crosses val="autoZero"/>
        <c:auto val="1"/>
        <c:lblAlgn val="ctr"/>
        <c:lblOffset val="100"/>
        <c:noMultiLvlLbl val="0"/>
      </c:catAx>
      <c:valAx>
        <c:axId val="85246784"/>
        <c:scaling>
          <c:orientation val="minMax"/>
          <c:max val="50"/>
          <c:min val="0"/>
        </c:scaling>
        <c:delete val="1"/>
        <c:axPos val="l"/>
        <c:numFmt formatCode="0.0" sourceLinked="1"/>
        <c:majorTickMark val="none"/>
        <c:minorTickMark val="none"/>
        <c:tickLblPos val="nextTo"/>
        <c:crossAx val="51511544"/>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CO"/>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Ninguna fecha de Colombia se sale de lo normal: como máximo 2,4 puntos (lo normal es ±9)</a:t>
            </a:r>
          </a:p>
        </c:rich>
      </c:tx>
      <c:overlay val="0"/>
      <c:spPr>
        <a:noFill/>
        <a:ln w="0">
          <a:noFill/>
        </a:ln>
      </c:spPr>
    </c:title>
    <c:autoTitleDeleted val="0"/>
    <c:plotArea>
      <c:layout/>
      <c:barChart>
        <c:barDir val="bar"/>
        <c:grouping val="clustered"/>
        <c:varyColors val="0"/>
        <c:ser>
          <c:idx val="0"/>
          <c:order val="0"/>
          <c:tx>
            <c:strRef>
              <c:f>'H1 CALENDARIO'!$C$105</c:f>
              <c:strCache>
                <c:ptCount val="1"/>
                <c:pt idx="0">
                  <c:v>Diferencia (puntos)</c:v>
                </c:pt>
              </c:strCache>
            </c:strRef>
          </c:tx>
          <c:spPr>
            <a:solidFill>
              <a:srgbClr val="901C1A"/>
            </a:solidFill>
            <a:ln w="0">
              <a:solidFill>
                <a:srgbClr val="901C1A"/>
              </a:solidFill>
            </a:ln>
          </c:spPr>
          <c:invertIfNegative val="0"/>
          <c:dLbls>
            <c:spPr>
              <a:noFill/>
              <a:ln>
                <a:noFill/>
              </a:ln>
              <a:effectLst/>
            </c:spPr>
            <c:txPr>
              <a:bodyPr wrap="square"/>
              <a:lstStyle/>
              <a:p>
                <a:pPr>
                  <a:defRPr sz="1000" b="0" strike="noStrike" spc="-1">
                    <a:solidFill>
                      <a:srgbClr val="000000"/>
                    </a:solidFill>
                    <a:latin typeface="Calibri"/>
                  </a:defRPr>
                </a:pPr>
                <a:endParaRPr lang="en-CO"/>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'H1 CALENDARIO'!$A$106:$A$110</c:f>
              <c:strCache>
                <c:ptCount val="5"/>
                <c:pt idx="0">
                  <c:v>Batalla de Boyacá (festivo)</c:v>
                </c:pt>
                <c:pt idx="1">
                  <c:v>La Asunción (festivo)</c:v>
                </c:pt>
                <c:pt idx="2">
                  <c:v>Amor y Amistad</c:v>
                </c:pt>
                <c:pt idx="3">
                  <c:v>Día de la Raza (festivo)</c:v>
                </c:pt>
                <c:pt idx="4">
                  <c:v>Halloween</c:v>
                </c:pt>
              </c:strCache>
            </c:strRef>
          </c:cat>
          <c:val>
            <c:numRef>
              <c:f>'H1 CALENDARIO'!$C$106:$C$110</c:f>
              <c:numCache>
                <c:formatCode>\+0.0;\-0.0</c:formatCode>
                <c:ptCount val="5"/>
                <c:pt idx="0">
                  <c:v>1.760637198645618</c:v>
                </c:pt>
                <c:pt idx="1">
                  <c:v>0.47432595204954131</c:v>
                </c:pt>
                <c:pt idx="2">
                  <c:v>-1.9271646320176228</c:v>
                </c:pt>
                <c:pt idx="3">
                  <c:v>2.381748985522365</c:v>
                </c:pt>
                <c:pt idx="4">
                  <c:v>0.75495911193695708</c:v>
                </c:pt>
              </c:numCache>
            </c:numRef>
          </c:val>
          <c:extLst>
            <c:ext xmlns:c16="http://schemas.microsoft.com/office/drawing/2014/chart" uri="{C3380CC4-5D6E-409C-BE32-E72D297353CC}">
              <c16:uniqueId val="{00000000-9095-124D-83EA-5AF0585C8186}"/>
            </c:ext>
          </c:extLst>
        </c:ser>
        <c:dLbls>
          <c:showLegendKey val="0"/>
          <c:showVal val="0"/>
          <c:showCatName val="0"/>
          <c:showSerName val="0"/>
          <c:showPercent val="0"/>
          <c:showBubbleSize val="0"/>
        </c:dLbls>
        <c:gapWidth val="60"/>
        <c:axId val="22403188"/>
        <c:axId val="69631353"/>
      </c:barChart>
      <c:catAx>
        <c:axId val="22403188"/>
        <c:scaling>
          <c:orientation val="maxMin"/>
        </c:scaling>
        <c:delete val="0"/>
        <c:axPos val="l"/>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CO"/>
          </a:p>
        </c:txPr>
        <c:crossAx val="69631353"/>
        <c:crosses val="autoZero"/>
        <c:auto val="1"/>
        <c:lblAlgn val="ctr"/>
        <c:lblOffset val="100"/>
        <c:noMultiLvlLbl val="0"/>
      </c:catAx>
      <c:valAx>
        <c:axId val="69631353"/>
        <c:scaling>
          <c:orientation val="minMax"/>
        </c:scaling>
        <c:delete val="1"/>
        <c:axPos val="t"/>
        <c:numFmt formatCode="\+0.0;\-0.0" sourceLinked="1"/>
        <c:majorTickMark val="none"/>
        <c:minorTickMark val="none"/>
        <c:tickLblPos val="nextTo"/>
        <c:crossAx val="22403188"/>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Los días con 20 o más campañas abren casi igual: 29,0 % contra 30,2 %</a:t>
            </a:r>
          </a:p>
        </c:rich>
      </c:tx>
      <c:overlay val="0"/>
      <c:spPr>
        <a:noFill/>
        <a:ln w="0">
          <a:noFill/>
        </a:ln>
      </c:spPr>
    </c:title>
    <c:autoTitleDeleted val="0"/>
    <c:plotArea>
      <c:layout/>
      <c:barChart>
        <c:barDir val="col"/>
        <c:grouping val="clustered"/>
        <c:varyColors val="0"/>
        <c:ser>
          <c:idx val="0"/>
          <c:order val="0"/>
          <c:tx>
            <c:strRef>
              <c:f>'H1 CALENDARIO'!$C$129</c:f>
              <c:strCache>
                <c:ptCount val="1"/>
                <c:pt idx="0">
                  <c:v>Apertura (%)</c:v>
                </c:pt>
              </c:strCache>
            </c:strRef>
          </c:tx>
          <c:spPr>
            <a:solidFill>
              <a:srgbClr val="901C1A"/>
            </a:solidFill>
            <a:ln w="0">
              <a:solidFill>
                <a:srgbClr val="901C1A"/>
              </a:solidFill>
            </a:ln>
          </c:spPr>
          <c:invertIfNegative val="0"/>
          <c:dLbls>
            <c:spPr>
              <a:noFill/>
              <a:ln>
                <a:noFill/>
              </a:ln>
              <a:effectLst/>
            </c:spPr>
            <c:txPr>
              <a:bodyPr wrap="square"/>
              <a:lstStyle/>
              <a:p>
                <a:pPr>
                  <a:defRPr sz="1000" b="0" strike="noStrike" spc="-1">
                    <a:solidFill>
                      <a:srgbClr val="000000"/>
                    </a:solidFill>
                    <a:latin typeface="Calibri"/>
                  </a:defRPr>
                </a:pPr>
                <a:endParaRPr lang="en-CO"/>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'H1 CALENDARIO'!$A$130:$A$131</c:f>
              <c:strCache>
                <c:ptCount val="2"/>
                <c:pt idx="0">
                  <c:v>Día masivo</c:v>
                </c:pt>
                <c:pt idx="1">
                  <c:v>Día normal</c:v>
                </c:pt>
              </c:strCache>
            </c:strRef>
          </c:cat>
          <c:val>
            <c:numRef>
              <c:f>'H1 CALENDARIO'!$C$130:$C$131</c:f>
              <c:numCache>
                <c:formatCode>0.0</c:formatCode>
                <c:ptCount val="2"/>
                <c:pt idx="0">
                  <c:v>28.956084290878433</c:v>
                </c:pt>
                <c:pt idx="1">
                  <c:v>30.222700429620566</c:v>
                </c:pt>
              </c:numCache>
            </c:numRef>
          </c:val>
          <c:extLst>
            <c:ext xmlns:c16="http://schemas.microsoft.com/office/drawing/2014/chart" uri="{C3380CC4-5D6E-409C-BE32-E72D297353CC}">
              <c16:uniqueId val="{00000000-5FB9-EF4F-9A82-E02BF189A03B}"/>
            </c:ext>
          </c:extLst>
        </c:ser>
        <c:ser>
          <c:idx val="1"/>
          <c:order val="1"/>
          <c:tx>
            <c:strRef>
              <c:f>'H1 CALENDARIO'!$D$129</c:f>
              <c:strCache>
                <c:ptCount val="1"/>
                <c:pt idx="0">
                  <c:v>CTR (%)</c:v>
                </c:pt>
              </c:strCache>
            </c:strRef>
          </c:tx>
          <c:spPr>
            <a:solidFill>
              <a:srgbClr val="000000"/>
            </a:solidFill>
            <a:ln w="0">
              <a:solidFill>
                <a:srgbClr val="000000"/>
              </a:solidFill>
            </a:ln>
          </c:spPr>
          <c:invertIfNegative val="0"/>
          <c:dLbls>
            <c:spPr>
              <a:noFill/>
              <a:ln>
                <a:noFill/>
              </a:ln>
              <a:effectLst/>
            </c:spPr>
            <c:txPr>
              <a:bodyPr wrap="square"/>
              <a:lstStyle/>
              <a:p>
                <a:pPr>
                  <a:defRPr sz="1000" b="0" strike="noStrike" spc="-1">
                    <a:solidFill>
                      <a:srgbClr val="000000"/>
                    </a:solidFill>
                    <a:latin typeface="Calibri"/>
                  </a:defRPr>
                </a:pPr>
                <a:endParaRPr lang="en-CO"/>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'H1 CALENDARIO'!$A$130:$A$131</c:f>
              <c:strCache>
                <c:ptCount val="2"/>
                <c:pt idx="0">
                  <c:v>Día masivo</c:v>
                </c:pt>
                <c:pt idx="1">
                  <c:v>Día normal</c:v>
                </c:pt>
              </c:strCache>
            </c:strRef>
          </c:cat>
          <c:val>
            <c:numRef>
              <c:f>'H1 CALENDARIO'!$D$130:$D$131</c:f>
              <c:numCache>
                <c:formatCode>0.0</c:formatCode>
                <c:ptCount val="2"/>
                <c:pt idx="0">
                  <c:v>9.6653748900308649</c:v>
                </c:pt>
                <c:pt idx="1">
                  <c:v>10.334608756150963</c:v>
                </c:pt>
              </c:numCache>
            </c:numRef>
          </c:val>
          <c:extLst>
            <c:ext xmlns:c16="http://schemas.microsoft.com/office/drawing/2014/chart" uri="{C3380CC4-5D6E-409C-BE32-E72D297353CC}">
              <c16:uniqueId val="{00000001-5FB9-EF4F-9A82-E02BF189A03B}"/>
            </c:ext>
          </c:extLst>
        </c:ser>
        <c:dLbls>
          <c:showLegendKey val="0"/>
          <c:showVal val="0"/>
          <c:showCatName val="0"/>
          <c:showSerName val="0"/>
          <c:showPercent val="0"/>
          <c:showBubbleSize val="0"/>
        </c:dLbls>
        <c:gapWidth val="60"/>
        <c:axId val="34253422"/>
        <c:axId val="90922192"/>
      </c:barChart>
      <c:catAx>
        <c:axId val="34253422"/>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CO"/>
          </a:p>
        </c:txPr>
        <c:crossAx val="90922192"/>
        <c:crosses val="autoZero"/>
        <c:auto val="1"/>
        <c:lblAlgn val="ctr"/>
        <c:lblOffset val="100"/>
        <c:noMultiLvlLbl val="0"/>
      </c:catAx>
      <c:valAx>
        <c:axId val="90922192"/>
        <c:scaling>
          <c:orientation val="minMax"/>
          <c:max val="50"/>
          <c:min val="0"/>
        </c:scaling>
        <c:delete val="1"/>
        <c:axPos val="l"/>
        <c:numFmt formatCode="0.0" sourceLinked="1"/>
        <c:majorTickMark val="none"/>
        <c:minorTickMark val="none"/>
        <c:tickLblPos val="nextTo"/>
        <c:crossAx val="34253422"/>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CO"/>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Día por día, la apertura sube y baja alrededor del 29 % sin ninguna tendencia</a:t>
            </a:r>
          </a:p>
        </c:rich>
      </c:tx>
      <c:overlay val="0"/>
      <c:spPr>
        <a:noFill/>
        <a:ln w="0">
          <a:noFill/>
        </a:ln>
      </c:spPr>
    </c:title>
    <c:autoTitleDeleted val="0"/>
    <c:plotArea>
      <c:layout/>
      <c:lineChart>
        <c:grouping val="standard"/>
        <c:varyColors val="0"/>
        <c:ser>
          <c:idx val="0"/>
          <c:order val="0"/>
          <c:tx>
            <c:v>Apertura del día</c:v>
          </c:tx>
          <c:spPr>
            <a:ln w="28440">
              <a:solidFill>
                <a:srgbClr val="901C1A"/>
              </a:solidFill>
              <a:round/>
            </a:ln>
          </c:spPr>
          <c:marker>
            <c:symbol val="circle"/>
            <c:size val="4"/>
            <c:spPr>
              <a:solidFill>
                <a:srgbClr val="901C1A"/>
              </a:solidFill>
            </c:spPr>
          </c:marker>
          <c:dLbls>
            <c:spPr>
              <a:noFill/>
              <a:ln>
                <a:noFill/>
              </a:ln>
              <a:effectLst/>
            </c:spPr>
            <c:txPr>
              <a:bodyPr wrap="square"/>
              <a:lstStyle/>
              <a:p>
                <a:pPr>
                  <a:defRPr sz="1000" b="0" strike="noStrike" spc="-1">
                    <a:solidFill>
                      <a:srgbClr val="000000"/>
                    </a:solidFill>
                    <a:latin typeface="Arial"/>
                  </a:defRPr>
                </a:pPr>
                <a:endParaRPr lang="en-CO"/>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_calculos!$B$117:$B$208</c:f>
              <c:numCache>
                <c:formatCode>d\ mmm</c:formatCode>
                <c:ptCount val="92"/>
                <c:pt idx="0">
                  <c:v>45870</c:v>
                </c:pt>
                <c:pt idx="1">
                  <c:v>45871</c:v>
                </c:pt>
                <c:pt idx="2">
                  <c:v>45872</c:v>
                </c:pt>
                <c:pt idx="3">
                  <c:v>45873</c:v>
                </c:pt>
                <c:pt idx="4">
                  <c:v>45874</c:v>
                </c:pt>
                <c:pt idx="5">
                  <c:v>45875</c:v>
                </c:pt>
                <c:pt idx="6">
                  <c:v>45876</c:v>
                </c:pt>
                <c:pt idx="7">
                  <c:v>45877</c:v>
                </c:pt>
                <c:pt idx="8">
                  <c:v>45878</c:v>
                </c:pt>
                <c:pt idx="9">
                  <c:v>45879</c:v>
                </c:pt>
                <c:pt idx="10">
                  <c:v>45880</c:v>
                </c:pt>
                <c:pt idx="11">
                  <c:v>45881</c:v>
                </c:pt>
                <c:pt idx="12">
                  <c:v>45882</c:v>
                </c:pt>
                <c:pt idx="13">
                  <c:v>45883</c:v>
                </c:pt>
                <c:pt idx="14">
                  <c:v>45884</c:v>
                </c:pt>
                <c:pt idx="15">
                  <c:v>45885</c:v>
                </c:pt>
                <c:pt idx="16">
                  <c:v>45886</c:v>
                </c:pt>
                <c:pt idx="17">
                  <c:v>45887</c:v>
                </c:pt>
                <c:pt idx="18">
                  <c:v>45888</c:v>
                </c:pt>
                <c:pt idx="19">
                  <c:v>45889</c:v>
                </c:pt>
                <c:pt idx="20">
                  <c:v>45890</c:v>
                </c:pt>
                <c:pt idx="21">
                  <c:v>45891</c:v>
                </c:pt>
                <c:pt idx="22">
                  <c:v>45892</c:v>
                </c:pt>
                <c:pt idx="23">
                  <c:v>45893</c:v>
                </c:pt>
                <c:pt idx="24">
                  <c:v>45894</c:v>
                </c:pt>
                <c:pt idx="25">
                  <c:v>45895</c:v>
                </c:pt>
                <c:pt idx="26">
                  <c:v>45896</c:v>
                </c:pt>
                <c:pt idx="27">
                  <c:v>45897</c:v>
                </c:pt>
                <c:pt idx="28">
                  <c:v>45898</c:v>
                </c:pt>
                <c:pt idx="29">
                  <c:v>45899</c:v>
                </c:pt>
                <c:pt idx="30">
                  <c:v>45900</c:v>
                </c:pt>
                <c:pt idx="31">
                  <c:v>45901</c:v>
                </c:pt>
                <c:pt idx="32">
                  <c:v>45902</c:v>
                </c:pt>
                <c:pt idx="33">
                  <c:v>45903</c:v>
                </c:pt>
                <c:pt idx="34">
                  <c:v>45904</c:v>
                </c:pt>
                <c:pt idx="35">
                  <c:v>45905</c:v>
                </c:pt>
                <c:pt idx="36">
                  <c:v>45906</c:v>
                </c:pt>
                <c:pt idx="37">
                  <c:v>45907</c:v>
                </c:pt>
                <c:pt idx="38">
                  <c:v>45908</c:v>
                </c:pt>
                <c:pt idx="39">
                  <c:v>45909</c:v>
                </c:pt>
                <c:pt idx="40">
                  <c:v>45910</c:v>
                </c:pt>
                <c:pt idx="41">
                  <c:v>45911</c:v>
                </c:pt>
                <c:pt idx="42">
                  <c:v>45912</c:v>
                </c:pt>
                <c:pt idx="43">
                  <c:v>45913</c:v>
                </c:pt>
                <c:pt idx="44">
                  <c:v>45914</c:v>
                </c:pt>
                <c:pt idx="45">
                  <c:v>45915</c:v>
                </c:pt>
                <c:pt idx="46">
                  <c:v>45916</c:v>
                </c:pt>
                <c:pt idx="47">
                  <c:v>45917</c:v>
                </c:pt>
                <c:pt idx="48">
                  <c:v>45918</c:v>
                </c:pt>
                <c:pt idx="49">
                  <c:v>45919</c:v>
                </c:pt>
                <c:pt idx="50">
                  <c:v>45920</c:v>
                </c:pt>
                <c:pt idx="51">
                  <c:v>45921</c:v>
                </c:pt>
                <c:pt idx="52">
                  <c:v>45922</c:v>
                </c:pt>
                <c:pt idx="53">
                  <c:v>45923</c:v>
                </c:pt>
                <c:pt idx="54">
                  <c:v>45924</c:v>
                </c:pt>
                <c:pt idx="55">
                  <c:v>45925</c:v>
                </c:pt>
                <c:pt idx="56">
                  <c:v>45926</c:v>
                </c:pt>
                <c:pt idx="57">
                  <c:v>45927</c:v>
                </c:pt>
                <c:pt idx="58">
                  <c:v>45928</c:v>
                </c:pt>
                <c:pt idx="59">
                  <c:v>45929</c:v>
                </c:pt>
                <c:pt idx="60">
                  <c:v>45930</c:v>
                </c:pt>
                <c:pt idx="61">
                  <c:v>45931</c:v>
                </c:pt>
                <c:pt idx="62">
                  <c:v>45932</c:v>
                </c:pt>
                <c:pt idx="63">
                  <c:v>45933</c:v>
                </c:pt>
                <c:pt idx="64">
                  <c:v>45934</c:v>
                </c:pt>
                <c:pt idx="65">
                  <c:v>45935</c:v>
                </c:pt>
                <c:pt idx="66">
                  <c:v>45936</c:v>
                </c:pt>
                <c:pt idx="67">
                  <c:v>45937</c:v>
                </c:pt>
                <c:pt idx="68">
                  <c:v>45938</c:v>
                </c:pt>
                <c:pt idx="69">
                  <c:v>45939</c:v>
                </c:pt>
                <c:pt idx="70">
                  <c:v>45940</c:v>
                </c:pt>
                <c:pt idx="71">
                  <c:v>45941</c:v>
                </c:pt>
                <c:pt idx="72">
                  <c:v>45942</c:v>
                </c:pt>
                <c:pt idx="73">
                  <c:v>45943</c:v>
                </c:pt>
                <c:pt idx="74">
                  <c:v>45944</c:v>
                </c:pt>
                <c:pt idx="75">
                  <c:v>45945</c:v>
                </c:pt>
                <c:pt idx="76">
                  <c:v>45946</c:v>
                </c:pt>
                <c:pt idx="77">
                  <c:v>45947</c:v>
                </c:pt>
                <c:pt idx="78">
                  <c:v>45948</c:v>
                </c:pt>
                <c:pt idx="79">
                  <c:v>45949</c:v>
                </c:pt>
                <c:pt idx="80">
                  <c:v>45950</c:v>
                </c:pt>
                <c:pt idx="81">
                  <c:v>45951</c:v>
                </c:pt>
                <c:pt idx="82">
                  <c:v>45952</c:v>
                </c:pt>
                <c:pt idx="83">
                  <c:v>45953</c:v>
                </c:pt>
                <c:pt idx="84">
                  <c:v>45954</c:v>
                </c:pt>
                <c:pt idx="85">
                  <c:v>45955</c:v>
                </c:pt>
                <c:pt idx="86">
                  <c:v>45956</c:v>
                </c:pt>
                <c:pt idx="87">
                  <c:v>45957</c:v>
                </c:pt>
                <c:pt idx="88">
                  <c:v>45958</c:v>
                </c:pt>
                <c:pt idx="89">
                  <c:v>45959</c:v>
                </c:pt>
                <c:pt idx="90">
                  <c:v>45960</c:v>
                </c:pt>
                <c:pt idx="91">
                  <c:v>45961</c:v>
                </c:pt>
              </c:numCache>
            </c:numRef>
          </c:cat>
          <c:val>
            <c:numRef>
              <c:f>_calculos!$D$117:$D$208</c:f>
              <c:numCache>
                <c:formatCode>General</c:formatCode>
                <c:ptCount val="92"/>
                <c:pt idx="0">
                  <c:v>38.43907032944005</c:v>
                </c:pt>
                <c:pt idx="1">
                  <c:v>25.911019297626847</c:v>
                </c:pt>
                <c:pt idx="2">
                  <c:v>17.337090524832689</c:v>
                </c:pt>
                <c:pt idx="3">
                  <c:v>30.002154273713256</c:v>
                </c:pt>
                <c:pt idx="4">
                  <c:v>39.372365625108856</c:v>
                </c:pt>
                <c:pt idx="5">
                  <c:v>32.222586420976725</c:v>
                </c:pt>
                <c:pt idx="6">
                  <c:v>30.58572304608024</c:v>
                </c:pt>
                <c:pt idx="7">
                  <c:v>21.477303998574452</c:v>
                </c:pt>
                <c:pt idx="8">
                  <c:v>38.55095513795699</c:v>
                </c:pt>
                <c:pt idx="9">
                  <c:v>37.196595091331936</c:v>
                </c:pt>
                <c:pt idx="10">
                  <c:v>#N/A</c:v>
                </c:pt>
                <c:pt idx="11">
                  <c:v>12.293601518805481</c:v>
                </c:pt>
                <c:pt idx="12">
                  <c:v>36.635296669186019</c:v>
                </c:pt>
                <c:pt idx="13">
                  <c:v>25.951159284526295</c:v>
                </c:pt>
                <c:pt idx="14">
                  <c:v>26.986770339501856</c:v>
                </c:pt>
                <c:pt idx="15">
                  <c:v>26.3966592760233</c:v>
                </c:pt>
                <c:pt idx="16">
                  <c:v>29.812564569292078</c:v>
                </c:pt>
                <c:pt idx="17">
                  <c:v>48.806168131321506</c:v>
                </c:pt>
                <c:pt idx="18">
                  <c:v>31.709759171780519</c:v>
                </c:pt>
                <c:pt idx="19">
                  <c:v>19.789608946154644</c:v>
                </c:pt>
                <c:pt idx="20">
                  <c:v>23.078179936700817</c:v>
                </c:pt>
                <c:pt idx="21">
                  <c:v>32.308633976657966</c:v>
                </c:pt>
                <c:pt idx="22">
                  <c:v>26.247206949037974</c:v>
                </c:pt>
                <c:pt idx="23">
                  <c:v>#N/A</c:v>
                </c:pt>
                <c:pt idx="24">
                  <c:v>18.799678382724558</c:v>
                </c:pt>
                <c:pt idx="25">
                  <c:v>42.065658919890794</c:v>
                </c:pt>
                <c:pt idx="26">
                  <c:v>20.877679851178677</c:v>
                </c:pt>
                <c:pt idx="27">
                  <c:v>#N/A</c:v>
                </c:pt>
                <c:pt idx="28">
                  <c:v>21.589774983795131</c:v>
                </c:pt>
                <c:pt idx="29">
                  <c:v>44.773187464111942</c:v>
                </c:pt>
                <c:pt idx="30">
                  <c:v>#N/A</c:v>
                </c:pt>
                <c:pt idx="31">
                  <c:v>30.008080542248663</c:v>
                </c:pt>
                <c:pt idx="32">
                  <c:v>6.0113877883025895</c:v>
                </c:pt>
                <c:pt idx="33">
                  <c:v>34.180303825108602</c:v>
                </c:pt>
                <c:pt idx="34">
                  <c:v>43.357049382912138</c:v>
                </c:pt>
                <c:pt idx="35">
                  <c:v>16.388551787566527</c:v>
                </c:pt>
                <c:pt idx="36">
                  <c:v>32.076377280672467</c:v>
                </c:pt>
                <c:pt idx="37">
                  <c:v>38.204191511752839</c:v>
                </c:pt>
                <c:pt idx="38">
                  <c:v>26.715829601119481</c:v>
                </c:pt>
                <c:pt idx="39">
                  <c:v>27.030000219988075</c:v>
                </c:pt>
                <c:pt idx="40">
                  <c:v>37.537982700185566</c:v>
                </c:pt>
                <c:pt idx="41">
                  <c:v>27.746592765857976</c:v>
                </c:pt>
                <c:pt idx="42">
                  <c:v>38.629986941941709</c:v>
                </c:pt>
                <c:pt idx="43">
                  <c:v>24.663578204279727</c:v>
                </c:pt>
                <c:pt idx="44">
                  <c:v>#N/A</c:v>
                </c:pt>
                <c:pt idx="45">
                  <c:v>#N/A</c:v>
                </c:pt>
                <c:pt idx="46">
                  <c:v>28.442443444260267</c:v>
                </c:pt>
                <c:pt idx="47">
                  <c:v>28.680103860257454</c:v>
                </c:pt>
                <c:pt idx="48">
                  <c:v>33.766980948578571</c:v>
                </c:pt>
                <c:pt idx="49">
                  <c:v>30.955185535277153</c:v>
                </c:pt>
                <c:pt idx="50">
                  <c:v>#N/A</c:v>
                </c:pt>
                <c:pt idx="51">
                  <c:v>#N/A</c:v>
                </c:pt>
                <c:pt idx="52">
                  <c:v>30.342199903908707</c:v>
                </c:pt>
                <c:pt idx="53">
                  <c:v>41.064859264047456</c:v>
                </c:pt>
                <c:pt idx="54">
                  <c:v>40.777102546070942</c:v>
                </c:pt>
                <c:pt idx="55">
                  <c:v>48.880377136122569</c:v>
                </c:pt>
                <c:pt idx="56">
                  <c:v>19.669684165187622</c:v>
                </c:pt>
                <c:pt idx="57">
                  <c:v>11.07795000160457</c:v>
                </c:pt>
                <c:pt idx="58">
                  <c:v>24.873415437904409</c:v>
                </c:pt>
                <c:pt idx="59">
                  <c:v>17.556599743699273</c:v>
                </c:pt>
                <c:pt idx="60">
                  <c:v>#N/A</c:v>
                </c:pt>
                <c:pt idx="61">
                  <c:v>27.153846153846157</c:v>
                </c:pt>
                <c:pt idx="62">
                  <c:v>19.573079688104851</c:v>
                </c:pt>
                <c:pt idx="63">
                  <c:v>43.952852004911769</c:v>
                </c:pt>
                <c:pt idx="64">
                  <c:v>20.609853458343505</c:v>
                </c:pt>
                <c:pt idx="65">
                  <c:v>36.434353624889127</c:v>
                </c:pt>
                <c:pt idx="66">
                  <c:v>32.601080597783231</c:v>
                </c:pt>
                <c:pt idx="67">
                  <c:v>15.952103392196653</c:v>
                </c:pt>
                <c:pt idx="68">
                  <c:v>28.999873378796376</c:v>
                </c:pt>
                <c:pt idx="69">
                  <c:v>28.700714051077505</c:v>
                </c:pt>
                <c:pt idx="70">
                  <c:v>23.971154785846917</c:v>
                </c:pt>
                <c:pt idx="71">
                  <c:v>41.835409248929111</c:v>
                </c:pt>
                <c:pt idx="72">
                  <c:v>30.422900371966588</c:v>
                </c:pt>
                <c:pt idx="73">
                  <c:v>31.836181820126452</c:v>
                </c:pt>
                <c:pt idx="74">
                  <c:v>14.962143577040635</c:v>
                </c:pt>
                <c:pt idx="75">
                  <c:v>11.754269864248949</c:v>
                </c:pt>
                <c:pt idx="76">
                  <c:v>44.964956102485623</c:v>
                </c:pt>
                <c:pt idx="77">
                  <c:v>28.812920737075608</c:v>
                </c:pt>
                <c:pt idx="78">
                  <c:v>29.376162536497347</c:v>
                </c:pt>
                <c:pt idx="79">
                  <c:v>45.547169571920087</c:v>
                </c:pt>
                <c:pt idx="80">
                  <c:v>26.45937805402874</c:v>
                </c:pt>
                <c:pt idx="81">
                  <c:v>#N/A</c:v>
                </c:pt>
                <c:pt idx="82">
                  <c:v>18.074806582384397</c:v>
                </c:pt>
                <c:pt idx="83">
                  <c:v>#N/A</c:v>
                </c:pt>
                <c:pt idx="84">
                  <c:v>27.584787147825477</c:v>
                </c:pt>
                <c:pt idx="85">
                  <c:v>46.204442111276663</c:v>
                </c:pt>
                <c:pt idx="86">
                  <c:v>35.839748037045602</c:v>
                </c:pt>
                <c:pt idx="87">
                  <c:v>29.514028081293947</c:v>
                </c:pt>
                <c:pt idx="88">
                  <c:v>33.66458768765898</c:v>
                </c:pt>
                <c:pt idx="89">
                  <c:v>29.573956283367252</c:v>
                </c:pt>
                <c:pt idx="90">
                  <c:v>47.785219597001735</c:v>
                </c:pt>
                <c:pt idx="91">
                  <c:v>#N/A</c:v>
                </c:pt>
              </c:numCache>
            </c:numRef>
          </c:val>
          <c:smooth val="1"/>
          <c:extLst>
            <c:ext xmlns:c16="http://schemas.microsoft.com/office/drawing/2014/chart" uri="{C3380CC4-5D6E-409C-BE32-E72D297353CC}">
              <c16:uniqueId val="{00000000-AF07-FD40-9BC5-68D1A0D26ACB}"/>
            </c:ext>
          </c:extLst>
        </c:ser>
        <c:ser>
          <c:idx val="1"/>
          <c:order val="1"/>
          <c:tx>
            <c:v>Promedio general</c:v>
          </c:tx>
          <c:spPr>
            <a:ln w="28440">
              <a:solidFill>
                <a:srgbClr val="8C8C8C"/>
              </a:solidFill>
              <a:prstDash val="dash"/>
              <a:round/>
            </a:ln>
          </c:spPr>
          <c:marker>
            <c:symbol val="none"/>
          </c:marker>
          <c:dLbls>
            <c:spPr>
              <a:noFill/>
              <a:ln>
                <a:noFill/>
              </a:ln>
              <a:effectLst/>
            </c:spPr>
            <c:txPr>
              <a:bodyPr wrap="square"/>
              <a:lstStyle/>
              <a:p>
                <a:pPr>
                  <a:defRPr sz="1000" b="0" strike="noStrike" spc="-1">
                    <a:solidFill>
                      <a:srgbClr val="000000"/>
                    </a:solidFill>
                    <a:latin typeface="Arial"/>
                  </a:defRPr>
                </a:pPr>
                <a:endParaRPr lang="en-CO"/>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_calculos!$B$117:$B$208</c:f>
              <c:numCache>
                <c:formatCode>d\ mmm</c:formatCode>
                <c:ptCount val="92"/>
                <c:pt idx="0">
                  <c:v>45870</c:v>
                </c:pt>
                <c:pt idx="1">
                  <c:v>45871</c:v>
                </c:pt>
                <c:pt idx="2">
                  <c:v>45872</c:v>
                </c:pt>
                <c:pt idx="3">
                  <c:v>45873</c:v>
                </c:pt>
                <c:pt idx="4">
                  <c:v>45874</c:v>
                </c:pt>
                <c:pt idx="5">
                  <c:v>45875</c:v>
                </c:pt>
                <c:pt idx="6">
                  <c:v>45876</c:v>
                </c:pt>
                <c:pt idx="7">
                  <c:v>45877</c:v>
                </c:pt>
                <c:pt idx="8">
                  <c:v>45878</c:v>
                </c:pt>
                <c:pt idx="9">
                  <c:v>45879</c:v>
                </c:pt>
                <c:pt idx="10">
                  <c:v>45880</c:v>
                </c:pt>
                <c:pt idx="11">
                  <c:v>45881</c:v>
                </c:pt>
                <c:pt idx="12">
                  <c:v>45882</c:v>
                </c:pt>
                <c:pt idx="13">
                  <c:v>45883</c:v>
                </c:pt>
                <c:pt idx="14">
                  <c:v>45884</c:v>
                </c:pt>
                <c:pt idx="15">
                  <c:v>45885</c:v>
                </c:pt>
                <c:pt idx="16">
                  <c:v>45886</c:v>
                </c:pt>
                <c:pt idx="17">
                  <c:v>45887</c:v>
                </c:pt>
                <c:pt idx="18">
                  <c:v>45888</c:v>
                </c:pt>
                <c:pt idx="19">
                  <c:v>45889</c:v>
                </c:pt>
                <c:pt idx="20">
                  <c:v>45890</c:v>
                </c:pt>
                <c:pt idx="21">
                  <c:v>45891</c:v>
                </c:pt>
                <c:pt idx="22">
                  <c:v>45892</c:v>
                </c:pt>
                <c:pt idx="23">
                  <c:v>45893</c:v>
                </c:pt>
                <c:pt idx="24">
                  <c:v>45894</c:v>
                </c:pt>
                <c:pt idx="25">
                  <c:v>45895</c:v>
                </c:pt>
                <c:pt idx="26">
                  <c:v>45896</c:v>
                </c:pt>
                <c:pt idx="27">
                  <c:v>45897</c:v>
                </c:pt>
                <c:pt idx="28">
                  <c:v>45898</c:v>
                </c:pt>
                <c:pt idx="29">
                  <c:v>45899</c:v>
                </c:pt>
                <c:pt idx="30">
                  <c:v>45900</c:v>
                </c:pt>
                <c:pt idx="31">
                  <c:v>45901</c:v>
                </c:pt>
                <c:pt idx="32">
                  <c:v>45902</c:v>
                </c:pt>
                <c:pt idx="33">
                  <c:v>45903</c:v>
                </c:pt>
                <c:pt idx="34">
                  <c:v>45904</c:v>
                </c:pt>
                <c:pt idx="35">
                  <c:v>45905</c:v>
                </c:pt>
                <c:pt idx="36">
                  <c:v>45906</c:v>
                </c:pt>
                <c:pt idx="37">
                  <c:v>45907</c:v>
                </c:pt>
                <c:pt idx="38">
                  <c:v>45908</c:v>
                </c:pt>
                <c:pt idx="39">
                  <c:v>45909</c:v>
                </c:pt>
                <c:pt idx="40">
                  <c:v>45910</c:v>
                </c:pt>
                <c:pt idx="41">
                  <c:v>45911</c:v>
                </c:pt>
                <c:pt idx="42">
                  <c:v>45912</c:v>
                </c:pt>
                <c:pt idx="43">
                  <c:v>45913</c:v>
                </c:pt>
                <c:pt idx="44">
                  <c:v>45914</c:v>
                </c:pt>
                <c:pt idx="45">
                  <c:v>45915</c:v>
                </c:pt>
                <c:pt idx="46">
                  <c:v>45916</c:v>
                </c:pt>
                <c:pt idx="47">
                  <c:v>45917</c:v>
                </c:pt>
                <c:pt idx="48">
                  <c:v>45918</c:v>
                </c:pt>
                <c:pt idx="49">
                  <c:v>45919</c:v>
                </c:pt>
                <c:pt idx="50">
                  <c:v>45920</c:v>
                </c:pt>
                <c:pt idx="51">
                  <c:v>45921</c:v>
                </c:pt>
                <c:pt idx="52">
                  <c:v>45922</c:v>
                </c:pt>
                <c:pt idx="53">
                  <c:v>45923</c:v>
                </c:pt>
                <c:pt idx="54">
                  <c:v>45924</c:v>
                </c:pt>
                <c:pt idx="55">
                  <c:v>45925</c:v>
                </c:pt>
                <c:pt idx="56">
                  <c:v>45926</c:v>
                </c:pt>
                <c:pt idx="57">
                  <c:v>45927</c:v>
                </c:pt>
                <c:pt idx="58">
                  <c:v>45928</c:v>
                </c:pt>
                <c:pt idx="59">
                  <c:v>45929</c:v>
                </c:pt>
                <c:pt idx="60">
                  <c:v>45930</c:v>
                </c:pt>
                <c:pt idx="61">
                  <c:v>45931</c:v>
                </c:pt>
                <c:pt idx="62">
                  <c:v>45932</c:v>
                </c:pt>
                <c:pt idx="63">
                  <c:v>45933</c:v>
                </c:pt>
                <c:pt idx="64">
                  <c:v>45934</c:v>
                </c:pt>
                <c:pt idx="65">
                  <c:v>45935</c:v>
                </c:pt>
                <c:pt idx="66">
                  <c:v>45936</c:v>
                </c:pt>
                <c:pt idx="67">
                  <c:v>45937</c:v>
                </c:pt>
                <c:pt idx="68">
                  <c:v>45938</c:v>
                </c:pt>
                <c:pt idx="69">
                  <c:v>45939</c:v>
                </c:pt>
                <c:pt idx="70">
                  <c:v>45940</c:v>
                </c:pt>
                <c:pt idx="71">
                  <c:v>45941</c:v>
                </c:pt>
                <c:pt idx="72">
                  <c:v>45942</c:v>
                </c:pt>
                <c:pt idx="73">
                  <c:v>45943</c:v>
                </c:pt>
                <c:pt idx="74">
                  <c:v>45944</c:v>
                </c:pt>
                <c:pt idx="75">
                  <c:v>45945</c:v>
                </c:pt>
                <c:pt idx="76">
                  <c:v>45946</c:v>
                </c:pt>
                <c:pt idx="77">
                  <c:v>45947</c:v>
                </c:pt>
                <c:pt idx="78">
                  <c:v>45948</c:v>
                </c:pt>
                <c:pt idx="79">
                  <c:v>45949</c:v>
                </c:pt>
                <c:pt idx="80">
                  <c:v>45950</c:v>
                </c:pt>
                <c:pt idx="81">
                  <c:v>45951</c:v>
                </c:pt>
                <c:pt idx="82">
                  <c:v>45952</c:v>
                </c:pt>
                <c:pt idx="83">
                  <c:v>45953</c:v>
                </c:pt>
                <c:pt idx="84">
                  <c:v>45954</c:v>
                </c:pt>
                <c:pt idx="85">
                  <c:v>45955</c:v>
                </c:pt>
                <c:pt idx="86">
                  <c:v>45956</c:v>
                </c:pt>
                <c:pt idx="87">
                  <c:v>45957</c:v>
                </c:pt>
                <c:pt idx="88">
                  <c:v>45958</c:v>
                </c:pt>
                <c:pt idx="89">
                  <c:v>45959</c:v>
                </c:pt>
                <c:pt idx="90">
                  <c:v>45960</c:v>
                </c:pt>
                <c:pt idx="91">
                  <c:v>45961</c:v>
                </c:pt>
              </c:numCache>
            </c:numRef>
          </c:cat>
          <c:val>
            <c:numRef>
              <c:f>_calculos!$E$117:$E$208</c:f>
              <c:numCache>
                <c:formatCode>General</c:formatCode>
                <c:ptCount val="92"/>
                <c:pt idx="0">
                  <c:v>29.186613608563622</c:v>
                </c:pt>
                <c:pt idx="1">
                  <c:v>29.186613608563622</c:v>
                </c:pt>
                <c:pt idx="2">
                  <c:v>29.186613608563622</c:v>
                </c:pt>
                <c:pt idx="3">
                  <c:v>29.186613608563622</c:v>
                </c:pt>
                <c:pt idx="4">
                  <c:v>29.186613608563622</c:v>
                </c:pt>
                <c:pt idx="5">
                  <c:v>29.186613608563622</c:v>
                </c:pt>
                <c:pt idx="6">
                  <c:v>29.186613608563622</c:v>
                </c:pt>
                <c:pt idx="7">
                  <c:v>29.186613608563622</c:v>
                </c:pt>
                <c:pt idx="8">
                  <c:v>29.186613608563622</c:v>
                </c:pt>
                <c:pt idx="9">
                  <c:v>29.186613608563622</c:v>
                </c:pt>
                <c:pt idx="10">
                  <c:v>29.186613608563622</c:v>
                </c:pt>
                <c:pt idx="11">
                  <c:v>29.186613608563622</c:v>
                </c:pt>
                <c:pt idx="12">
                  <c:v>29.186613608563622</c:v>
                </c:pt>
                <c:pt idx="13">
                  <c:v>29.186613608563622</c:v>
                </c:pt>
                <c:pt idx="14">
                  <c:v>29.186613608563622</c:v>
                </c:pt>
                <c:pt idx="15">
                  <c:v>29.186613608563622</c:v>
                </c:pt>
                <c:pt idx="16">
                  <c:v>29.186613608563622</c:v>
                </c:pt>
                <c:pt idx="17">
                  <c:v>29.186613608563622</c:v>
                </c:pt>
                <c:pt idx="18">
                  <c:v>29.186613608563622</c:v>
                </c:pt>
                <c:pt idx="19">
                  <c:v>29.186613608563622</c:v>
                </c:pt>
                <c:pt idx="20">
                  <c:v>29.186613608563622</c:v>
                </c:pt>
                <c:pt idx="21">
                  <c:v>29.186613608563622</c:v>
                </c:pt>
                <c:pt idx="22">
                  <c:v>29.186613608563622</c:v>
                </c:pt>
                <c:pt idx="23">
                  <c:v>29.186613608563622</c:v>
                </c:pt>
                <c:pt idx="24">
                  <c:v>29.186613608563622</c:v>
                </c:pt>
                <c:pt idx="25">
                  <c:v>29.186613608563622</c:v>
                </c:pt>
                <c:pt idx="26">
                  <c:v>29.186613608563622</c:v>
                </c:pt>
                <c:pt idx="27">
                  <c:v>29.186613608563622</c:v>
                </c:pt>
                <c:pt idx="28">
                  <c:v>29.186613608563622</c:v>
                </c:pt>
                <c:pt idx="29">
                  <c:v>29.186613608563622</c:v>
                </c:pt>
                <c:pt idx="30">
                  <c:v>29.186613608563622</c:v>
                </c:pt>
                <c:pt idx="31">
                  <c:v>29.186613608563622</c:v>
                </c:pt>
                <c:pt idx="32">
                  <c:v>29.186613608563622</c:v>
                </c:pt>
                <c:pt idx="33">
                  <c:v>29.186613608563622</c:v>
                </c:pt>
                <c:pt idx="34">
                  <c:v>29.186613608563622</c:v>
                </c:pt>
                <c:pt idx="35">
                  <c:v>29.186613608563622</c:v>
                </c:pt>
                <c:pt idx="36">
                  <c:v>29.186613608563622</c:v>
                </c:pt>
                <c:pt idx="37">
                  <c:v>29.186613608563622</c:v>
                </c:pt>
                <c:pt idx="38">
                  <c:v>29.186613608563622</c:v>
                </c:pt>
                <c:pt idx="39">
                  <c:v>29.186613608563622</c:v>
                </c:pt>
                <c:pt idx="40">
                  <c:v>29.186613608563622</c:v>
                </c:pt>
                <c:pt idx="41">
                  <c:v>29.186613608563622</c:v>
                </c:pt>
                <c:pt idx="42">
                  <c:v>29.186613608563622</c:v>
                </c:pt>
                <c:pt idx="43">
                  <c:v>29.186613608563622</c:v>
                </c:pt>
                <c:pt idx="44">
                  <c:v>29.186613608563622</c:v>
                </c:pt>
                <c:pt idx="45">
                  <c:v>29.186613608563622</c:v>
                </c:pt>
                <c:pt idx="46">
                  <c:v>29.186613608563622</c:v>
                </c:pt>
                <c:pt idx="47">
                  <c:v>29.186613608563622</c:v>
                </c:pt>
                <c:pt idx="48">
                  <c:v>29.186613608563622</c:v>
                </c:pt>
                <c:pt idx="49">
                  <c:v>29.186613608563622</c:v>
                </c:pt>
                <c:pt idx="50">
                  <c:v>29.186613608563622</c:v>
                </c:pt>
                <c:pt idx="51">
                  <c:v>29.186613608563622</c:v>
                </c:pt>
                <c:pt idx="52">
                  <c:v>29.186613608563622</c:v>
                </c:pt>
                <c:pt idx="53">
                  <c:v>29.186613608563622</c:v>
                </c:pt>
                <c:pt idx="54">
                  <c:v>29.186613608563622</c:v>
                </c:pt>
                <c:pt idx="55">
                  <c:v>29.186613608563622</c:v>
                </c:pt>
                <c:pt idx="56">
                  <c:v>29.186613608563622</c:v>
                </c:pt>
                <c:pt idx="57">
                  <c:v>29.186613608563622</c:v>
                </c:pt>
                <c:pt idx="58">
                  <c:v>29.186613608563622</c:v>
                </c:pt>
                <c:pt idx="59">
                  <c:v>29.186613608563622</c:v>
                </c:pt>
                <c:pt idx="60">
                  <c:v>29.186613608563622</c:v>
                </c:pt>
                <c:pt idx="61">
                  <c:v>29.186613608563622</c:v>
                </c:pt>
                <c:pt idx="62">
                  <c:v>29.186613608563622</c:v>
                </c:pt>
                <c:pt idx="63">
                  <c:v>29.186613608563622</c:v>
                </c:pt>
                <c:pt idx="64">
                  <c:v>29.186613608563622</c:v>
                </c:pt>
                <c:pt idx="65">
                  <c:v>29.186613608563622</c:v>
                </c:pt>
                <c:pt idx="66">
                  <c:v>29.186613608563622</c:v>
                </c:pt>
                <c:pt idx="67">
                  <c:v>29.186613608563622</c:v>
                </c:pt>
                <c:pt idx="68">
                  <c:v>29.186613608563622</c:v>
                </c:pt>
                <c:pt idx="69">
                  <c:v>29.186613608563622</c:v>
                </c:pt>
                <c:pt idx="70">
                  <c:v>29.186613608563622</c:v>
                </c:pt>
                <c:pt idx="71">
                  <c:v>29.186613608563622</c:v>
                </c:pt>
                <c:pt idx="72">
                  <c:v>29.186613608563622</c:v>
                </c:pt>
                <c:pt idx="73">
                  <c:v>29.186613608563622</c:v>
                </c:pt>
                <c:pt idx="74">
                  <c:v>29.186613608563622</c:v>
                </c:pt>
                <c:pt idx="75">
                  <c:v>29.186613608563622</c:v>
                </c:pt>
                <c:pt idx="76">
                  <c:v>29.186613608563622</c:v>
                </c:pt>
                <c:pt idx="77">
                  <c:v>29.186613608563622</c:v>
                </c:pt>
                <c:pt idx="78">
                  <c:v>29.186613608563622</c:v>
                </c:pt>
                <c:pt idx="79">
                  <c:v>29.186613608563622</c:v>
                </c:pt>
                <c:pt idx="80">
                  <c:v>29.186613608563622</c:v>
                </c:pt>
                <c:pt idx="81">
                  <c:v>29.186613608563622</c:v>
                </c:pt>
                <c:pt idx="82">
                  <c:v>29.186613608563622</c:v>
                </c:pt>
                <c:pt idx="83">
                  <c:v>29.186613608563622</c:v>
                </c:pt>
                <c:pt idx="84">
                  <c:v>29.186613608563622</c:v>
                </c:pt>
                <c:pt idx="85">
                  <c:v>29.186613608563622</c:v>
                </c:pt>
                <c:pt idx="86">
                  <c:v>29.186613608563622</c:v>
                </c:pt>
                <c:pt idx="87">
                  <c:v>29.186613608563622</c:v>
                </c:pt>
                <c:pt idx="88">
                  <c:v>29.186613608563622</c:v>
                </c:pt>
                <c:pt idx="89">
                  <c:v>29.186613608563622</c:v>
                </c:pt>
                <c:pt idx="90">
                  <c:v>29.186613608563622</c:v>
                </c:pt>
                <c:pt idx="91">
                  <c:v>29.186613608563622</c:v>
                </c:pt>
              </c:numCache>
            </c:numRef>
          </c:val>
          <c:smooth val="1"/>
          <c:extLst>
            <c:ext xmlns:c16="http://schemas.microsoft.com/office/drawing/2014/chart" uri="{C3380CC4-5D6E-409C-BE32-E72D297353CC}">
              <c16:uniqueId val="{00000001-AF07-FD40-9BC5-68D1A0D26ACB}"/>
            </c:ext>
          </c:extLst>
        </c:ser>
        <c:dLbls>
          <c:showLegendKey val="0"/>
          <c:showVal val="0"/>
          <c:showCatName val="0"/>
          <c:showSerName val="0"/>
          <c:showPercent val="0"/>
          <c:showBubbleSize val="0"/>
        </c:dLbls>
        <c:hiLowLines>
          <c:spPr>
            <a:ln w="0">
              <a:noFill/>
            </a:ln>
          </c:spPr>
        </c:hiLowLines>
        <c:marker val="1"/>
        <c:smooth val="0"/>
        <c:axId val="6269573"/>
        <c:axId val="98534927"/>
      </c:lineChart>
      <c:dateAx>
        <c:axId val="6269573"/>
        <c:scaling>
          <c:orientation val="minMax"/>
        </c:scaling>
        <c:delete val="0"/>
        <c:axPos val="b"/>
        <c:numFmt formatCode="d\ mmm"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CO"/>
          </a:p>
        </c:txPr>
        <c:crossAx val="98534927"/>
        <c:crosses val="autoZero"/>
        <c:auto val="1"/>
        <c:lblOffset val="100"/>
        <c:baseTimeUnit val="days"/>
      </c:dateAx>
      <c:valAx>
        <c:axId val="98534927"/>
        <c:scaling>
          <c:orientation val="minMax"/>
          <c:max val="55"/>
          <c:min val="0"/>
        </c:scaling>
        <c:delete val="0"/>
        <c:axPos val="l"/>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CO"/>
          </a:p>
        </c:txPr>
        <c:crossAx val="6269573"/>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CO"/>
        </a:p>
      </c:txPr>
    </c:legend>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El tipo de campaña no cambia la apertura: todos los tipos quedan entre 27,0 % y 31,1 %</a:t>
            </a:r>
          </a:p>
        </c:rich>
      </c:tx>
      <c:overlay val="0"/>
      <c:spPr>
        <a:noFill/>
        <a:ln w="0">
          <a:noFill/>
        </a:ln>
      </c:spPr>
    </c:title>
    <c:autoTitleDeleted val="0"/>
    <c:plotArea>
      <c:layout/>
      <c:barChart>
        <c:barDir val="col"/>
        <c:grouping val="clustered"/>
        <c:varyColors val="0"/>
        <c:ser>
          <c:idx val="0"/>
          <c:order val="0"/>
          <c:tx>
            <c:strRef>
              <c:f>'H2 CAMPAÑA'!$C$9</c:f>
              <c:strCache>
                <c:ptCount val="1"/>
                <c:pt idx="0">
                  <c:v>Apertura (%)</c:v>
                </c:pt>
              </c:strCache>
            </c:strRef>
          </c:tx>
          <c:spPr>
            <a:solidFill>
              <a:srgbClr val="901C1A"/>
            </a:solidFill>
            <a:ln w="0">
              <a:solidFill>
                <a:srgbClr val="901C1A"/>
              </a:solidFill>
            </a:ln>
          </c:spPr>
          <c:invertIfNegative val="0"/>
          <c:dLbls>
            <c:spPr>
              <a:noFill/>
              <a:ln>
                <a:noFill/>
              </a:ln>
              <a:effectLst/>
            </c:spPr>
            <c:txPr>
              <a:bodyPr wrap="square"/>
              <a:lstStyle/>
              <a:p>
                <a:pPr>
                  <a:defRPr sz="1000" b="0" strike="noStrike" spc="-1">
                    <a:solidFill>
                      <a:srgbClr val="000000"/>
                    </a:solidFill>
                    <a:latin typeface="Calibri"/>
                  </a:defRPr>
                </a:pPr>
                <a:endParaRPr lang="en-CO"/>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'H2 CAMPAÑA'!$A$10:$A$15</c:f>
              <c:strCache>
                <c:ptCount val="6"/>
                <c:pt idx="0">
                  <c:v>Customer Appreciation</c:v>
                </c:pt>
                <c:pt idx="1">
                  <c:v>Exclusive Offers</c:v>
                </c:pt>
                <c:pt idx="2">
                  <c:v>Flash Sale</c:v>
                </c:pt>
                <c:pt idx="3">
                  <c:v>Holiday Discounts</c:v>
                </c:pt>
                <c:pt idx="4">
                  <c:v>New Product Launch</c:v>
                </c:pt>
                <c:pt idx="5">
                  <c:v>Newsletter</c:v>
                </c:pt>
              </c:strCache>
            </c:strRef>
          </c:cat>
          <c:val>
            <c:numRef>
              <c:f>'H2 CAMPAÑA'!$C$10:$C$15</c:f>
              <c:numCache>
                <c:formatCode>0.0</c:formatCode>
                <c:ptCount val="6"/>
                <c:pt idx="0">
                  <c:v>31.113650744455075</c:v>
                </c:pt>
                <c:pt idx="1">
                  <c:v>27.021447627328243</c:v>
                </c:pt>
                <c:pt idx="2">
                  <c:v>29.440902453236173</c:v>
                </c:pt>
                <c:pt idx="3">
                  <c:v>30.71114383300629</c:v>
                </c:pt>
                <c:pt idx="4">
                  <c:v>29.458247936272421</c:v>
                </c:pt>
                <c:pt idx="5">
                  <c:v>27.75136451093497</c:v>
                </c:pt>
              </c:numCache>
            </c:numRef>
          </c:val>
          <c:extLst>
            <c:ext xmlns:c16="http://schemas.microsoft.com/office/drawing/2014/chart" uri="{C3380CC4-5D6E-409C-BE32-E72D297353CC}">
              <c16:uniqueId val="{00000000-EE7E-DE40-B43C-7EBC65D92104}"/>
            </c:ext>
          </c:extLst>
        </c:ser>
        <c:ser>
          <c:idx val="1"/>
          <c:order val="1"/>
          <c:tx>
            <c:strRef>
              <c:f>'H2 CAMPAÑA'!$D$9</c:f>
              <c:strCache>
                <c:ptCount val="1"/>
                <c:pt idx="0">
                  <c:v>CTR (%)</c:v>
                </c:pt>
              </c:strCache>
            </c:strRef>
          </c:tx>
          <c:spPr>
            <a:solidFill>
              <a:srgbClr val="000000"/>
            </a:solidFill>
            <a:ln w="0">
              <a:solidFill>
                <a:srgbClr val="000000"/>
              </a:solidFill>
            </a:ln>
          </c:spPr>
          <c:invertIfNegative val="0"/>
          <c:dLbls>
            <c:spPr>
              <a:noFill/>
              <a:ln>
                <a:noFill/>
              </a:ln>
              <a:effectLst/>
            </c:spPr>
            <c:txPr>
              <a:bodyPr wrap="square"/>
              <a:lstStyle/>
              <a:p>
                <a:pPr>
                  <a:defRPr sz="1000" b="0" strike="noStrike" spc="-1">
                    <a:solidFill>
                      <a:srgbClr val="000000"/>
                    </a:solidFill>
                    <a:latin typeface="Calibri"/>
                  </a:defRPr>
                </a:pPr>
                <a:endParaRPr lang="en-CO"/>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'H2 CAMPAÑA'!$A$10:$A$15</c:f>
              <c:strCache>
                <c:ptCount val="6"/>
                <c:pt idx="0">
                  <c:v>Customer Appreciation</c:v>
                </c:pt>
                <c:pt idx="1">
                  <c:v>Exclusive Offers</c:v>
                </c:pt>
                <c:pt idx="2">
                  <c:v>Flash Sale</c:v>
                </c:pt>
                <c:pt idx="3">
                  <c:v>Holiday Discounts</c:v>
                </c:pt>
                <c:pt idx="4">
                  <c:v>New Product Launch</c:v>
                </c:pt>
                <c:pt idx="5">
                  <c:v>Newsletter</c:v>
                </c:pt>
              </c:strCache>
            </c:strRef>
          </c:cat>
          <c:val>
            <c:numRef>
              <c:f>'H2 CAMPAÑA'!$D$10:$D$15</c:f>
              <c:numCache>
                <c:formatCode>0.0</c:formatCode>
                <c:ptCount val="6"/>
                <c:pt idx="0">
                  <c:v>9.9969927775747376</c:v>
                </c:pt>
                <c:pt idx="1">
                  <c:v>9.2971825130085737</c:v>
                </c:pt>
                <c:pt idx="2">
                  <c:v>9.2051660264854309</c:v>
                </c:pt>
                <c:pt idx="3">
                  <c:v>9.0557740211665223</c:v>
                </c:pt>
                <c:pt idx="4">
                  <c:v>10.443530762299147</c:v>
                </c:pt>
                <c:pt idx="5">
                  <c:v>10.57409746417787</c:v>
                </c:pt>
              </c:numCache>
            </c:numRef>
          </c:val>
          <c:extLst>
            <c:ext xmlns:c16="http://schemas.microsoft.com/office/drawing/2014/chart" uri="{C3380CC4-5D6E-409C-BE32-E72D297353CC}">
              <c16:uniqueId val="{00000001-EE7E-DE40-B43C-7EBC65D92104}"/>
            </c:ext>
          </c:extLst>
        </c:ser>
        <c:dLbls>
          <c:showLegendKey val="0"/>
          <c:showVal val="0"/>
          <c:showCatName val="0"/>
          <c:showSerName val="0"/>
          <c:showPercent val="0"/>
          <c:showBubbleSize val="0"/>
        </c:dLbls>
        <c:gapWidth val="60"/>
        <c:axId val="30970331"/>
        <c:axId val="64958731"/>
      </c:barChart>
      <c:catAx>
        <c:axId val="30970331"/>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CO"/>
          </a:p>
        </c:txPr>
        <c:crossAx val="64958731"/>
        <c:crosses val="autoZero"/>
        <c:auto val="1"/>
        <c:lblAlgn val="ctr"/>
        <c:lblOffset val="100"/>
        <c:noMultiLvlLbl val="0"/>
      </c:catAx>
      <c:valAx>
        <c:axId val="64958731"/>
        <c:scaling>
          <c:orientation val="minMax"/>
          <c:max val="50"/>
          <c:min val="0"/>
        </c:scaling>
        <c:delete val="1"/>
        <c:axPos val="l"/>
        <c:numFmt formatCode="0.0" sourceLinked="1"/>
        <c:majorTickMark val="none"/>
        <c:minorTickMark val="none"/>
        <c:tickLblPos val="nextTo"/>
        <c:crossAx val="30970331"/>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CO"/>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Vender, educar, lanzar o fidelizar abren parecido: entre 27,8 % y 31,1 %</a:t>
            </a:r>
          </a:p>
        </c:rich>
      </c:tx>
      <c:overlay val="0"/>
      <c:spPr>
        <a:noFill/>
        <a:ln w="0">
          <a:noFill/>
        </a:ln>
      </c:spPr>
    </c:title>
    <c:autoTitleDeleted val="0"/>
    <c:plotArea>
      <c:layout/>
      <c:barChart>
        <c:barDir val="col"/>
        <c:grouping val="clustered"/>
        <c:varyColors val="0"/>
        <c:ser>
          <c:idx val="0"/>
          <c:order val="0"/>
          <c:tx>
            <c:strRef>
              <c:f>'H2 CAMPAÑA'!$C$33</c:f>
              <c:strCache>
                <c:ptCount val="1"/>
                <c:pt idx="0">
                  <c:v>Apertura (%)</c:v>
                </c:pt>
              </c:strCache>
            </c:strRef>
          </c:tx>
          <c:spPr>
            <a:solidFill>
              <a:srgbClr val="901C1A"/>
            </a:solidFill>
            <a:ln w="0">
              <a:solidFill>
                <a:srgbClr val="901C1A"/>
              </a:solidFill>
            </a:ln>
          </c:spPr>
          <c:invertIfNegative val="0"/>
          <c:dLbls>
            <c:spPr>
              <a:noFill/>
              <a:ln>
                <a:noFill/>
              </a:ln>
              <a:effectLst/>
            </c:spPr>
            <c:txPr>
              <a:bodyPr wrap="square"/>
              <a:lstStyle/>
              <a:p>
                <a:pPr>
                  <a:defRPr sz="1000" b="0" strike="noStrike" spc="-1">
                    <a:solidFill>
                      <a:srgbClr val="000000"/>
                    </a:solidFill>
                    <a:latin typeface="Calibri"/>
                  </a:defRPr>
                </a:pPr>
                <a:endParaRPr lang="en-CO"/>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'H2 CAMPAÑA'!$A$34:$A$37</c:f>
              <c:strCache>
                <c:ptCount val="4"/>
                <c:pt idx="0">
                  <c:v>Vender</c:v>
                </c:pt>
                <c:pt idx="1">
                  <c:v>Educar</c:v>
                </c:pt>
                <c:pt idx="2">
                  <c:v>Lanzar</c:v>
                </c:pt>
                <c:pt idx="3">
                  <c:v>Fidelizar</c:v>
                </c:pt>
              </c:strCache>
            </c:strRef>
          </c:cat>
          <c:val>
            <c:numRef>
              <c:f>'H2 CAMPAÑA'!$C$34:$C$37</c:f>
              <c:numCache>
                <c:formatCode>0.0</c:formatCode>
                <c:ptCount val="4"/>
                <c:pt idx="0">
                  <c:v>29.061036920830791</c:v>
                </c:pt>
                <c:pt idx="1">
                  <c:v>27.75136451093497</c:v>
                </c:pt>
                <c:pt idx="2">
                  <c:v>29.458247936272421</c:v>
                </c:pt>
                <c:pt idx="3">
                  <c:v>31.113650744455075</c:v>
                </c:pt>
              </c:numCache>
            </c:numRef>
          </c:val>
          <c:extLst>
            <c:ext xmlns:c16="http://schemas.microsoft.com/office/drawing/2014/chart" uri="{C3380CC4-5D6E-409C-BE32-E72D297353CC}">
              <c16:uniqueId val="{00000000-672D-2945-BD6F-265A75FEB41A}"/>
            </c:ext>
          </c:extLst>
        </c:ser>
        <c:ser>
          <c:idx val="1"/>
          <c:order val="1"/>
          <c:tx>
            <c:strRef>
              <c:f>'H2 CAMPAÑA'!$D$33</c:f>
              <c:strCache>
                <c:ptCount val="1"/>
                <c:pt idx="0">
                  <c:v>CTR (%)</c:v>
                </c:pt>
              </c:strCache>
            </c:strRef>
          </c:tx>
          <c:spPr>
            <a:solidFill>
              <a:srgbClr val="000000"/>
            </a:solidFill>
            <a:ln w="0">
              <a:solidFill>
                <a:srgbClr val="000000"/>
              </a:solidFill>
            </a:ln>
          </c:spPr>
          <c:invertIfNegative val="0"/>
          <c:dLbls>
            <c:spPr>
              <a:noFill/>
              <a:ln>
                <a:noFill/>
              </a:ln>
              <a:effectLst/>
            </c:spPr>
            <c:txPr>
              <a:bodyPr wrap="square"/>
              <a:lstStyle/>
              <a:p>
                <a:pPr>
                  <a:defRPr sz="1000" b="0" strike="noStrike" spc="-1">
                    <a:solidFill>
                      <a:srgbClr val="000000"/>
                    </a:solidFill>
                    <a:latin typeface="Calibri"/>
                  </a:defRPr>
                </a:pPr>
                <a:endParaRPr lang="en-CO"/>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'H2 CAMPAÑA'!$A$34:$A$37</c:f>
              <c:strCache>
                <c:ptCount val="4"/>
                <c:pt idx="0">
                  <c:v>Vender</c:v>
                </c:pt>
                <c:pt idx="1">
                  <c:v>Educar</c:v>
                </c:pt>
                <c:pt idx="2">
                  <c:v>Lanzar</c:v>
                </c:pt>
                <c:pt idx="3">
                  <c:v>Fidelizar</c:v>
                </c:pt>
              </c:strCache>
            </c:strRef>
          </c:cat>
          <c:val>
            <c:numRef>
              <c:f>'H2 CAMPAÑA'!$D$34:$D$37</c:f>
              <c:numCache>
                <c:formatCode>0.0</c:formatCode>
                <c:ptCount val="4"/>
                <c:pt idx="0">
                  <c:v>9.1862008968416458</c:v>
                </c:pt>
                <c:pt idx="1">
                  <c:v>10.57409746417787</c:v>
                </c:pt>
                <c:pt idx="2">
                  <c:v>10.443530762299147</c:v>
                </c:pt>
                <c:pt idx="3">
                  <c:v>9.9969927775747376</c:v>
                </c:pt>
              </c:numCache>
            </c:numRef>
          </c:val>
          <c:extLst>
            <c:ext xmlns:c16="http://schemas.microsoft.com/office/drawing/2014/chart" uri="{C3380CC4-5D6E-409C-BE32-E72D297353CC}">
              <c16:uniqueId val="{00000001-672D-2945-BD6F-265A75FEB41A}"/>
            </c:ext>
          </c:extLst>
        </c:ser>
        <c:dLbls>
          <c:showLegendKey val="0"/>
          <c:showVal val="0"/>
          <c:showCatName val="0"/>
          <c:showSerName val="0"/>
          <c:showPercent val="0"/>
          <c:showBubbleSize val="0"/>
        </c:dLbls>
        <c:gapWidth val="60"/>
        <c:axId val="19231459"/>
        <c:axId val="80630152"/>
      </c:barChart>
      <c:catAx>
        <c:axId val="19231459"/>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CO"/>
          </a:p>
        </c:txPr>
        <c:crossAx val="80630152"/>
        <c:crosses val="autoZero"/>
        <c:auto val="1"/>
        <c:lblAlgn val="ctr"/>
        <c:lblOffset val="100"/>
        <c:noMultiLvlLbl val="0"/>
      </c:catAx>
      <c:valAx>
        <c:axId val="80630152"/>
        <c:scaling>
          <c:orientation val="minMax"/>
          <c:max val="50"/>
          <c:min val="0"/>
        </c:scaling>
        <c:delete val="1"/>
        <c:axPos val="l"/>
        <c:numFmt formatCode="0.0" sourceLinked="1"/>
        <c:majorTickMark val="none"/>
        <c:minorTickMark val="none"/>
        <c:tickLblPos val="nextTo"/>
        <c:crossAx val="19231459"/>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CO"/>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Las campañas pequeñas y las grandes abren igual: entre 28,1 % y 30,0 %</a:t>
            </a:r>
          </a:p>
        </c:rich>
      </c:tx>
      <c:overlay val="0"/>
      <c:spPr>
        <a:noFill/>
        <a:ln w="0">
          <a:noFill/>
        </a:ln>
      </c:spPr>
    </c:title>
    <c:autoTitleDeleted val="0"/>
    <c:plotArea>
      <c:layout/>
      <c:barChart>
        <c:barDir val="col"/>
        <c:grouping val="clustered"/>
        <c:varyColors val="0"/>
        <c:ser>
          <c:idx val="0"/>
          <c:order val="0"/>
          <c:tx>
            <c:strRef>
              <c:f>'H2 CAMPAÑA'!$C$57</c:f>
              <c:strCache>
                <c:ptCount val="1"/>
                <c:pt idx="0">
                  <c:v>Apertura (%)</c:v>
                </c:pt>
              </c:strCache>
            </c:strRef>
          </c:tx>
          <c:spPr>
            <a:solidFill>
              <a:srgbClr val="901C1A"/>
            </a:solidFill>
            <a:ln w="0">
              <a:solidFill>
                <a:srgbClr val="901C1A"/>
              </a:solidFill>
            </a:ln>
          </c:spPr>
          <c:invertIfNegative val="0"/>
          <c:dLbls>
            <c:spPr>
              <a:noFill/>
              <a:ln>
                <a:noFill/>
              </a:ln>
              <a:effectLst/>
            </c:spPr>
            <c:txPr>
              <a:bodyPr wrap="square"/>
              <a:lstStyle/>
              <a:p>
                <a:pPr>
                  <a:defRPr sz="1000" b="0" strike="noStrike" spc="-1">
                    <a:solidFill>
                      <a:srgbClr val="000000"/>
                    </a:solidFill>
                    <a:latin typeface="Calibri"/>
                  </a:defRPr>
                </a:pPr>
                <a:endParaRPr lang="en-CO"/>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'H2 CAMPAÑA'!$A$58:$A$62</c:f>
              <c:strCache>
                <c:ptCount val="5"/>
                <c:pt idx="0">
                  <c:v>Menos de 100 mil</c:v>
                </c:pt>
                <c:pt idx="1">
                  <c:v>100 a 200 mil</c:v>
                </c:pt>
                <c:pt idx="2">
                  <c:v>200 a 300 mil</c:v>
                </c:pt>
                <c:pt idx="3">
                  <c:v>300 a 400 mil</c:v>
                </c:pt>
                <c:pt idx="4">
                  <c:v>Más de 400 mil</c:v>
                </c:pt>
              </c:strCache>
            </c:strRef>
          </c:cat>
          <c:val>
            <c:numRef>
              <c:f>'H2 CAMPAÑA'!$C$58:$C$62</c:f>
              <c:numCache>
                <c:formatCode>0.0</c:formatCode>
                <c:ptCount val="5"/>
                <c:pt idx="0">
                  <c:v>29.980769348974142</c:v>
                </c:pt>
                <c:pt idx="1">
                  <c:v>29.60985617806331</c:v>
                </c:pt>
                <c:pt idx="2">
                  <c:v>28.062715749396748</c:v>
                </c:pt>
                <c:pt idx="3">
                  <c:v>28.693133567322299</c:v>
                </c:pt>
                <c:pt idx="4">
                  <c:v>29.477939076142921</c:v>
                </c:pt>
              </c:numCache>
            </c:numRef>
          </c:val>
          <c:extLst>
            <c:ext xmlns:c16="http://schemas.microsoft.com/office/drawing/2014/chart" uri="{C3380CC4-5D6E-409C-BE32-E72D297353CC}">
              <c16:uniqueId val="{00000000-F5FC-F74F-A970-1C820E3192BB}"/>
            </c:ext>
          </c:extLst>
        </c:ser>
        <c:ser>
          <c:idx val="1"/>
          <c:order val="1"/>
          <c:tx>
            <c:strRef>
              <c:f>'H2 CAMPAÑA'!$D$57</c:f>
              <c:strCache>
                <c:ptCount val="1"/>
                <c:pt idx="0">
                  <c:v>CTR (%)</c:v>
                </c:pt>
              </c:strCache>
            </c:strRef>
          </c:tx>
          <c:spPr>
            <a:solidFill>
              <a:srgbClr val="000000"/>
            </a:solidFill>
            <a:ln w="0">
              <a:solidFill>
                <a:srgbClr val="000000"/>
              </a:solidFill>
            </a:ln>
          </c:spPr>
          <c:invertIfNegative val="0"/>
          <c:dLbls>
            <c:spPr>
              <a:noFill/>
              <a:ln>
                <a:noFill/>
              </a:ln>
              <a:effectLst/>
            </c:spPr>
            <c:txPr>
              <a:bodyPr wrap="square"/>
              <a:lstStyle/>
              <a:p>
                <a:pPr>
                  <a:defRPr sz="1000" b="0" strike="noStrike" spc="-1">
                    <a:solidFill>
                      <a:srgbClr val="000000"/>
                    </a:solidFill>
                    <a:latin typeface="Calibri"/>
                  </a:defRPr>
                </a:pPr>
                <a:endParaRPr lang="en-CO"/>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'H2 CAMPAÑA'!$A$58:$A$62</c:f>
              <c:strCache>
                <c:ptCount val="5"/>
                <c:pt idx="0">
                  <c:v>Menos de 100 mil</c:v>
                </c:pt>
                <c:pt idx="1">
                  <c:v>100 a 200 mil</c:v>
                </c:pt>
                <c:pt idx="2">
                  <c:v>200 a 300 mil</c:v>
                </c:pt>
                <c:pt idx="3">
                  <c:v>300 a 400 mil</c:v>
                </c:pt>
                <c:pt idx="4">
                  <c:v>Más de 400 mil</c:v>
                </c:pt>
              </c:strCache>
            </c:strRef>
          </c:cat>
          <c:val>
            <c:numRef>
              <c:f>'H2 CAMPAÑA'!$D$58:$D$62</c:f>
              <c:numCache>
                <c:formatCode>0.0</c:formatCode>
                <c:ptCount val="5"/>
                <c:pt idx="0">
                  <c:v>9.9605207063425709</c:v>
                </c:pt>
                <c:pt idx="1">
                  <c:v>9.6964825096238378</c:v>
                </c:pt>
                <c:pt idx="2">
                  <c:v>10.01458018948172</c:v>
                </c:pt>
                <c:pt idx="3">
                  <c:v>9.6839602555006454</c:v>
                </c:pt>
                <c:pt idx="4">
                  <c:v>9.6017790952663535</c:v>
                </c:pt>
              </c:numCache>
            </c:numRef>
          </c:val>
          <c:extLst>
            <c:ext xmlns:c16="http://schemas.microsoft.com/office/drawing/2014/chart" uri="{C3380CC4-5D6E-409C-BE32-E72D297353CC}">
              <c16:uniqueId val="{00000001-F5FC-F74F-A970-1C820E3192BB}"/>
            </c:ext>
          </c:extLst>
        </c:ser>
        <c:dLbls>
          <c:showLegendKey val="0"/>
          <c:showVal val="0"/>
          <c:showCatName val="0"/>
          <c:showSerName val="0"/>
          <c:showPercent val="0"/>
          <c:showBubbleSize val="0"/>
        </c:dLbls>
        <c:gapWidth val="60"/>
        <c:axId val="13023772"/>
        <c:axId val="97257141"/>
      </c:barChart>
      <c:catAx>
        <c:axId val="13023772"/>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CO"/>
          </a:p>
        </c:txPr>
        <c:crossAx val="97257141"/>
        <c:crosses val="autoZero"/>
        <c:auto val="1"/>
        <c:lblAlgn val="ctr"/>
        <c:lblOffset val="100"/>
        <c:noMultiLvlLbl val="0"/>
      </c:catAx>
      <c:valAx>
        <c:axId val="97257141"/>
        <c:scaling>
          <c:orientation val="minMax"/>
          <c:max val="50"/>
          <c:min val="0"/>
        </c:scaling>
        <c:delete val="1"/>
        <c:axPos val="l"/>
        <c:numFmt formatCode="0.0" sourceLinked="1"/>
        <c:majorTickMark val="none"/>
        <c:minorTickMark val="none"/>
        <c:tickLblPos val="nextTo"/>
        <c:crossAx val="13023772"/>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CO"/>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Repetir un asunto no lo desgasta: abre 30,9 % en sus primeros usos y 30,6 % en los últimos</a:t>
            </a:r>
          </a:p>
        </c:rich>
      </c:tx>
      <c:overlay val="0"/>
      <c:spPr>
        <a:noFill/>
        <a:ln w="0">
          <a:noFill/>
        </a:ln>
      </c:spPr>
    </c:title>
    <c:autoTitleDeleted val="0"/>
    <c:plotArea>
      <c:layout/>
      <c:barChart>
        <c:barDir val="col"/>
        <c:grouping val="clustered"/>
        <c:varyColors val="0"/>
        <c:ser>
          <c:idx val="0"/>
          <c:order val="0"/>
          <c:tx>
            <c:strRef>
              <c:f>'H2 CAMPAÑA'!$C$81</c:f>
              <c:strCache>
                <c:ptCount val="1"/>
                <c:pt idx="0">
                  <c:v>Apertura (%)</c:v>
                </c:pt>
              </c:strCache>
            </c:strRef>
          </c:tx>
          <c:spPr>
            <a:solidFill>
              <a:srgbClr val="901C1A"/>
            </a:solidFill>
            <a:ln w="0">
              <a:solidFill>
                <a:srgbClr val="901C1A"/>
              </a:solidFill>
            </a:ln>
          </c:spPr>
          <c:invertIfNegative val="0"/>
          <c:dLbls>
            <c:spPr>
              <a:noFill/>
              <a:ln>
                <a:noFill/>
              </a:ln>
              <a:effectLst/>
            </c:spPr>
            <c:txPr>
              <a:bodyPr wrap="square"/>
              <a:lstStyle/>
              <a:p>
                <a:pPr>
                  <a:defRPr sz="1000" b="0" strike="noStrike" spc="-1">
                    <a:solidFill>
                      <a:srgbClr val="000000"/>
                    </a:solidFill>
                    <a:latin typeface="Calibri"/>
                  </a:defRPr>
                </a:pPr>
                <a:endParaRPr lang="en-CO"/>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'H2 CAMPAÑA'!$A$82:$A$84</c:f>
              <c:strCache>
                <c:ptCount val="3"/>
                <c:pt idx="0">
                  <c:v>Primer tercio</c:v>
                </c:pt>
                <c:pt idx="1">
                  <c:v>Medio</c:v>
                </c:pt>
                <c:pt idx="2">
                  <c:v>Último tercio</c:v>
                </c:pt>
              </c:strCache>
            </c:strRef>
          </c:cat>
          <c:val>
            <c:numRef>
              <c:f>'H2 CAMPAÑA'!$C$82:$C$84</c:f>
              <c:numCache>
                <c:formatCode>0.0</c:formatCode>
                <c:ptCount val="3"/>
                <c:pt idx="0">
                  <c:v>30.869712266768619</c:v>
                </c:pt>
                <c:pt idx="1">
                  <c:v>28.891210897932119</c:v>
                </c:pt>
                <c:pt idx="2">
                  <c:v>30.565450297220629</c:v>
                </c:pt>
              </c:numCache>
            </c:numRef>
          </c:val>
          <c:extLst>
            <c:ext xmlns:c16="http://schemas.microsoft.com/office/drawing/2014/chart" uri="{C3380CC4-5D6E-409C-BE32-E72D297353CC}">
              <c16:uniqueId val="{00000000-1EA9-824E-BA54-6AAF26B856C2}"/>
            </c:ext>
          </c:extLst>
        </c:ser>
        <c:ser>
          <c:idx val="1"/>
          <c:order val="1"/>
          <c:tx>
            <c:strRef>
              <c:f>'H2 CAMPAÑA'!$D$81</c:f>
              <c:strCache>
                <c:ptCount val="1"/>
                <c:pt idx="0">
                  <c:v>CTR (%)</c:v>
                </c:pt>
              </c:strCache>
            </c:strRef>
          </c:tx>
          <c:spPr>
            <a:solidFill>
              <a:srgbClr val="000000"/>
            </a:solidFill>
            <a:ln w="0">
              <a:solidFill>
                <a:srgbClr val="000000"/>
              </a:solidFill>
            </a:ln>
          </c:spPr>
          <c:invertIfNegative val="0"/>
          <c:dLbls>
            <c:spPr>
              <a:noFill/>
              <a:ln>
                <a:noFill/>
              </a:ln>
              <a:effectLst/>
            </c:spPr>
            <c:txPr>
              <a:bodyPr wrap="square"/>
              <a:lstStyle/>
              <a:p>
                <a:pPr>
                  <a:defRPr sz="1000" b="0" strike="noStrike" spc="-1">
                    <a:solidFill>
                      <a:srgbClr val="000000"/>
                    </a:solidFill>
                    <a:latin typeface="Calibri"/>
                  </a:defRPr>
                </a:pPr>
                <a:endParaRPr lang="en-CO"/>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'H2 CAMPAÑA'!$A$82:$A$84</c:f>
              <c:strCache>
                <c:ptCount val="3"/>
                <c:pt idx="0">
                  <c:v>Primer tercio</c:v>
                </c:pt>
                <c:pt idx="1">
                  <c:v>Medio</c:v>
                </c:pt>
                <c:pt idx="2">
                  <c:v>Último tercio</c:v>
                </c:pt>
              </c:strCache>
            </c:strRef>
          </c:cat>
          <c:val>
            <c:numRef>
              <c:f>'H2 CAMPAÑA'!$D$82:$D$84</c:f>
              <c:numCache>
                <c:formatCode>0.0</c:formatCode>
                <c:ptCount val="3"/>
                <c:pt idx="0">
                  <c:v>9.9926913450809884</c:v>
                </c:pt>
                <c:pt idx="1">
                  <c:v>9.4437398825478063</c:v>
                </c:pt>
                <c:pt idx="2">
                  <c:v>10.257870619481569</c:v>
                </c:pt>
              </c:numCache>
            </c:numRef>
          </c:val>
          <c:extLst>
            <c:ext xmlns:c16="http://schemas.microsoft.com/office/drawing/2014/chart" uri="{C3380CC4-5D6E-409C-BE32-E72D297353CC}">
              <c16:uniqueId val="{00000001-1EA9-824E-BA54-6AAF26B856C2}"/>
            </c:ext>
          </c:extLst>
        </c:ser>
        <c:dLbls>
          <c:showLegendKey val="0"/>
          <c:showVal val="0"/>
          <c:showCatName val="0"/>
          <c:showSerName val="0"/>
          <c:showPercent val="0"/>
          <c:showBubbleSize val="0"/>
        </c:dLbls>
        <c:gapWidth val="60"/>
        <c:axId val="34170797"/>
        <c:axId val="71938599"/>
      </c:barChart>
      <c:catAx>
        <c:axId val="34170797"/>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CO"/>
          </a:p>
        </c:txPr>
        <c:crossAx val="71938599"/>
        <c:crosses val="autoZero"/>
        <c:auto val="1"/>
        <c:lblAlgn val="ctr"/>
        <c:lblOffset val="100"/>
        <c:noMultiLvlLbl val="0"/>
      </c:catAx>
      <c:valAx>
        <c:axId val="71938599"/>
        <c:scaling>
          <c:orientation val="minMax"/>
          <c:max val="50"/>
          <c:min val="0"/>
        </c:scaling>
        <c:delete val="1"/>
        <c:axPos val="l"/>
        <c:numFmt formatCode="0.0" sourceLinked="1"/>
        <c:majorTickMark val="none"/>
        <c:minorTickMark val="none"/>
        <c:tickLblPos val="nextTo"/>
        <c:crossAx val="34170797"/>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CO"/>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Ingresos y clics no se mueven juntos (r = 0,04): la atribución de ventas del archivo no es confiable</a:t>
            </a:r>
          </a:p>
        </c:rich>
      </c:tx>
      <c:overlay val="0"/>
      <c:spPr>
        <a:noFill/>
        <a:ln w="0">
          <a:noFill/>
        </a:ln>
      </c:spPr>
    </c:title>
    <c:autoTitleDeleted val="0"/>
    <c:plotArea>
      <c:layout/>
      <c:scatterChart>
        <c:scatterStyle val="lineMarker"/>
        <c:varyColors val="0"/>
        <c:ser>
          <c:idx val="0"/>
          <c:order val="0"/>
          <c:tx>
            <c:v>Campañas</c:v>
          </c:tx>
          <c:spPr>
            <a:ln w="28440">
              <a:noFill/>
            </a:ln>
          </c:spPr>
          <c:marker>
            <c:symbol val="circle"/>
            <c:size val="4"/>
            <c:spPr>
              <a:solidFill>
                <a:srgbClr val="901C1A"/>
              </a:solidFill>
            </c:spPr>
          </c:marker>
          <c:dLbls>
            <c:spPr>
              <a:noFill/>
              <a:ln>
                <a:noFill/>
              </a:ln>
              <a:effectLst/>
            </c:spPr>
            <c:txPr>
              <a:bodyPr wrap="square"/>
              <a:lstStyle/>
              <a:p>
                <a:pPr>
                  <a:defRPr sz="1000" b="0" strike="noStrike" spc="-1">
                    <a:solidFill>
                      <a:srgbClr val="000000"/>
                    </a:solidFill>
                    <a:latin typeface="Arial"/>
                  </a:defRPr>
                </a:pPr>
                <a:endParaRPr lang="en-CO"/>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'DATOS LIMPIOS'!$I$5:$I$493</c:f>
              <c:numCache>
                <c:formatCode>#,##0</c:formatCode>
                <c:ptCount val="489"/>
                <c:pt idx="0">
                  <c:v>20073</c:v>
                </c:pt>
                <c:pt idx="1">
                  <c:v>2229</c:v>
                </c:pt>
                <c:pt idx="2">
                  <c:v>3224</c:v>
                </c:pt>
                <c:pt idx="3">
                  <c:v>17739</c:v>
                </c:pt>
                <c:pt idx="4">
                  <c:v>13237</c:v>
                </c:pt>
                <c:pt idx="5">
                  <c:v>42023</c:v>
                </c:pt>
                <c:pt idx="6">
                  <c:v>46845</c:v>
                </c:pt>
                <c:pt idx="7">
                  <c:v>7287</c:v>
                </c:pt>
                <c:pt idx="8">
                  <c:v>29335</c:v>
                </c:pt>
                <c:pt idx="9">
                  <c:v>37424</c:v>
                </c:pt>
                <c:pt idx="10">
                  <c:v>4132</c:v>
                </c:pt>
                <c:pt idx="11">
                  <c:v>14925</c:v>
                </c:pt>
                <c:pt idx="12">
                  <c:v>1934</c:v>
                </c:pt>
                <c:pt idx="13">
                  <c:v>61376</c:v>
                </c:pt>
                <c:pt idx="14">
                  <c:v>1463</c:v>
                </c:pt>
                <c:pt idx="15">
                  <c:v>10452</c:v>
                </c:pt>
                <c:pt idx="16">
                  <c:v>1750</c:v>
                </c:pt>
                <c:pt idx="17">
                  <c:v>32630</c:v>
                </c:pt>
                <c:pt idx="18">
                  <c:v>254</c:v>
                </c:pt>
                <c:pt idx="19">
                  <c:v>5284</c:v>
                </c:pt>
                <c:pt idx="20">
                  <c:v>16599</c:v>
                </c:pt>
                <c:pt idx="21">
                  <c:v>24598</c:v>
                </c:pt>
                <c:pt idx="22">
                  <c:v>1501</c:v>
                </c:pt>
                <c:pt idx="23">
                  <c:v>12903</c:v>
                </c:pt>
                <c:pt idx="24">
                  <c:v>290</c:v>
                </c:pt>
                <c:pt idx="25">
                  <c:v>13010</c:v>
                </c:pt>
                <c:pt idx="26">
                  <c:v>52796</c:v>
                </c:pt>
                <c:pt idx="27">
                  <c:v>49514</c:v>
                </c:pt>
                <c:pt idx="28">
                  <c:v>4734</c:v>
                </c:pt>
                <c:pt idx="29">
                  <c:v>35754</c:v>
                </c:pt>
                <c:pt idx="30">
                  <c:v>58022</c:v>
                </c:pt>
                <c:pt idx="31">
                  <c:v>45450</c:v>
                </c:pt>
                <c:pt idx="32">
                  <c:v>53518</c:v>
                </c:pt>
                <c:pt idx="33">
                  <c:v>15039</c:v>
                </c:pt>
                <c:pt idx="34">
                  <c:v>64344</c:v>
                </c:pt>
                <c:pt idx="35">
                  <c:v>56911</c:v>
                </c:pt>
                <c:pt idx="36">
                  <c:v>18501</c:v>
                </c:pt>
                <c:pt idx="37">
                  <c:v>55022</c:v>
                </c:pt>
                <c:pt idx="38">
                  <c:v>60677</c:v>
                </c:pt>
                <c:pt idx="39">
                  <c:v>60616</c:v>
                </c:pt>
                <c:pt idx="40">
                  <c:v>9719</c:v>
                </c:pt>
                <c:pt idx="41">
                  <c:v>87178</c:v>
                </c:pt>
                <c:pt idx="42">
                  <c:v>66579</c:v>
                </c:pt>
                <c:pt idx="43">
                  <c:v>40810</c:v>
                </c:pt>
                <c:pt idx="44">
                  <c:v>15112</c:v>
                </c:pt>
                <c:pt idx="45">
                  <c:v>64273</c:v>
                </c:pt>
                <c:pt idx="46">
                  <c:v>25666</c:v>
                </c:pt>
                <c:pt idx="47">
                  <c:v>44440</c:v>
                </c:pt>
                <c:pt idx="48">
                  <c:v>63953</c:v>
                </c:pt>
                <c:pt idx="49">
                  <c:v>16654</c:v>
                </c:pt>
                <c:pt idx="50">
                  <c:v>10031</c:v>
                </c:pt>
                <c:pt idx="51">
                  <c:v>49999</c:v>
                </c:pt>
                <c:pt idx="52">
                  <c:v>64696</c:v>
                </c:pt>
                <c:pt idx="53">
                  <c:v>26905</c:v>
                </c:pt>
                <c:pt idx="54">
                  <c:v>11162</c:v>
                </c:pt>
                <c:pt idx="55">
                  <c:v>54877</c:v>
                </c:pt>
                <c:pt idx="56">
                  <c:v>11406</c:v>
                </c:pt>
                <c:pt idx="57">
                  <c:v>22283</c:v>
                </c:pt>
                <c:pt idx="58">
                  <c:v>6070</c:v>
                </c:pt>
                <c:pt idx="59">
                  <c:v>13470</c:v>
                </c:pt>
                <c:pt idx="60">
                  <c:v>3634</c:v>
                </c:pt>
                <c:pt idx="61">
                  <c:v>32412</c:v>
                </c:pt>
                <c:pt idx="62">
                  <c:v>16503</c:v>
                </c:pt>
                <c:pt idx="63">
                  <c:v>77123</c:v>
                </c:pt>
                <c:pt idx="64">
                  <c:v>3963</c:v>
                </c:pt>
                <c:pt idx="65">
                  <c:v>17522</c:v>
                </c:pt>
                <c:pt idx="66">
                  <c:v>7392</c:v>
                </c:pt>
                <c:pt idx="67">
                  <c:v>41724</c:v>
                </c:pt>
                <c:pt idx="68">
                  <c:v>29147</c:v>
                </c:pt>
                <c:pt idx="69">
                  <c:v>58607</c:v>
                </c:pt>
                <c:pt idx="70">
                  <c:v>11872</c:v>
                </c:pt>
                <c:pt idx="71">
                  <c:v>16723</c:v>
                </c:pt>
                <c:pt idx="72">
                  <c:v>17307</c:v>
                </c:pt>
                <c:pt idx="73">
                  <c:v>57199</c:v>
                </c:pt>
                <c:pt idx="74">
                  <c:v>24299</c:v>
                </c:pt>
                <c:pt idx="75">
                  <c:v>2070</c:v>
                </c:pt>
                <c:pt idx="76">
                  <c:v>6093</c:v>
                </c:pt>
                <c:pt idx="77">
                  <c:v>48106</c:v>
                </c:pt>
                <c:pt idx="78">
                  <c:v>8616</c:v>
                </c:pt>
                <c:pt idx="79">
                  <c:v>7371</c:v>
                </c:pt>
                <c:pt idx="80">
                  <c:v>23933</c:v>
                </c:pt>
                <c:pt idx="81">
                  <c:v>23858</c:v>
                </c:pt>
                <c:pt idx="82">
                  <c:v>2899</c:v>
                </c:pt>
                <c:pt idx="83">
                  <c:v>15469</c:v>
                </c:pt>
                <c:pt idx="84">
                  <c:v>25492</c:v>
                </c:pt>
                <c:pt idx="85">
                  <c:v>9365</c:v>
                </c:pt>
                <c:pt idx="86">
                  <c:v>2985</c:v>
                </c:pt>
                <c:pt idx="87">
                  <c:v>46849</c:v>
                </c:pt>
                <c:pt idx="88">
                  <c:v>61005</c:v>
                </c:pt>
                <c:pt idx="89">
                  <c:v>182</c:v>
                </c:pt>
                <c:pt idx="90">
                  <c:v>12959</c:v>
                </c:pt>
                <c:pt idx="91">
                  <c:v>10397</c:v>
                </c:pt>
                <c:pt idx="92">
                  <c:v>15277</c:v>
                </c:pt>
                <c:pt idx="93">
                  <c:v>7830</c:v>
                </c:pt>
                <c:pt idx="94">
                  <c:v>34129</c:v>
                </c:pt>
                <c:pt idx="95">
                  <c:v>4862</c:v>
                </c:pt>
                <c:pt idx="96">
                  <c:v>49609</c:v>
                </c:pt>
                <c:pt idx="97">
                  <c:v>27439</c:v>
                </c:pt>
                <c:pt idx="98">
                  <c:v>48425</c:v>
                </c:pt>
                <c:pt idx="99">
                  <c:v>59253</c:v>
                </c:pt>
                <c:pt idx="100">
                  <c:v>34741</c:v>
                </c:pt>
                <c:pt idx="101">
                  <c:v>65111</c:v>
                </c:pt>
                <c:pt idx="102">
                  <c:v>19225</c:v>
                </c:pt>
                <c:pt idx="103">
                  <c:v>27399</c:v>
                </c:pt>
                <c:pt idx="104">
                  <c:v>4052</c:v>
                </c:pt>
                <c:pt idx="105">
                  <c:v>7731</c:v>
                </c:pt>
                <c:pt idx="106">
                  <c:v>3315</c:v>
                </c:pt>
                <c:pt idx="107">
                  <c:v>5382</c:v>
                </c:pt>
                <c:pt idx="108">
                  <c:v>64955</c:v>
                </c:pt>
                <c:pt idx="109">
                  <c:v>4865</c:v>
                </c:pt>
                <c:pt idx="110">
                  <c:v>13702</c:v>
                </c:pt>
                <c:pt idx="111">
                  <c:v>7898</c:v>
                </c:pt>
                <c:pt idx="112">
                  <c:v>13324</c:v>
                </c:pt>
                <c:pt idx="113">
                  <c:v>9427</c:v>
                </c:pt>
                <c:pt idx="114">
                  <c:v>13374</c:v>
                </c:pt>
                <c:pt idx="115">
                  <c:v>14555</c:v>
                </c:pt>
                <c:pt idx="116">
                  <c:v>96</c:v>
                </c:pt>
                <c:pt idx="117">
                  <c:v>10190</c:v>
                </c:pt>
                <c:pt idx="118">
                  <c:v>21699</c:v>
                </c:pt>
                <c:pt idx="119">
                  <c:v>63986</c:v>
                </c:pt>
                <c:pt idx="120">
                  <c:v>12155</c:v>
                </c:pt>
                <c:pt idx="121">
                  <c:v>42841</c:v>
                </c:pt>
                <c:pt idx="122">
                  <c:v>7200</c:v>
                </c:pt>
                <c:pt idx="123">
                  <c:v>35133</c:v>
                </c:pt>
                <c:pt idx="124">
                  <c:v>16281</c:v>
                </c:pt>
                <c:pt idx="125">
                  <c:v>7080</c:v>
                </c:pt>
                <c:pt idx="126">
                  <c:v>4283</c:v>
                </c:pt>
                <c:pt idx="127">
                  <c:v>23024</c:v>
                </c:pt>
                <c:pt idx="128">
                  <c:v>22266</c:v>
                </c:pt>
                <c:pt idx="129">
                  <c:v>900</c:v>
                </c:pt>
                <c:pt idx="130">
                  <c:v>20668</c:v>
                </c:pt>
                <c:pt idx="131">
                  <c:v>81744</c:v>
                </c:pt>
                <c:pt idx="132">
                  <c:v>65466</c:v>
                </c:pt>
                <c:pt idx="133">
                  <c:v>17926</c:v>
                </c:pt>
                <c:pt idx="134">
                  <c:v>2263</c:v>
                </c:pt>
                <c:pt idx="135">
                  <c:v>15951</c:v>
                </c:pt>
                <c:pt idx="136">
                  <c:v>15423</c:v>
                </c:pt>
                <c:pt idx="137">
                  <c:v>2335</c:v>
                </c:pt>
                <c:pt idx="138">
                  <c:v>8605</c:v>
                </c:pt>
                <c:pt idx="139">
                  <c:v>28205</c:v>
                </c:pt>
                <c:pt idx="140">
                  <c:v>2187</c:v>
                </c:pt>
                <c:pt idx="141">
                  <c:v>28394</c:v>
                </c:pt>
                <c:pt idx="142">
                  <c:v>11158</c:v>
                </c:pt>
                <c:pt idx="143">
                  <c:v>11351</c:v>
                </c:pt>
                <c:pt idx="144">
                  <c:v>44837</c:v>
                </c:pt>
                <c:pt idx="145">
                  <c:v>36386</c:v>
                </c:pt>
                <c:pt idx="146">
                  <c:v>46654</c:v>
                </c:pt>
                <c:pt idx="147">
                  <c:v>25116</c:v>
                </c:pt>
                <c:pt idx="148">
                  <c:v>13271</c:v>
                </c:pt>
                <c:pt idx="149">
                  <c:v>1769</c:v>
                </c:pt>
                <c:pt idx="150">
                  <c:v>14934</c:v>
                </c:pt>
                <c:pt idx="151">
                  <c:v>3888</c:v>
                </c:pt>
                <c:pt idx="152">
                  <c:v>7643</c:v>
                </c:pt>
                <c:pt idx="153">
                  <c:v>5127</c:v>
                </c:pt>
                <c:pt idx="154">
                  <c:v>42859</c:v>
                </c:pt>
                <c:pt idx="155">
                  <c:v>57467</c:v>
                </c:pt>
                <c:pt idx="156">
                  <c:v>3194</c:v>
                </c:pt>
                <c:pt idx="157">
                  <c:v>4714</c:v>
                </c:pt>
                <c:pt idx="158">
                  <c:v>2538</c:v>
                </c:pt>
                <c:pt idx="159">
                  <c:v>5401</c:v>
                </c:pt>
                <c:pt idx="160">
                  <c:v>10562</c:v>
                </c:pt>
                <c:pt idx="161">
                  <c:v>9625</c:v>
                </c:pt>
                <c:pt idx="162">
                  <c:v>266</c:v>
                </c:pt>
                <c:pt idx="163">
                  <c:v>2719</c:v>
                </c:pt>
                <c:pt idx="164">
                  <c:v>2348</c:v>
                </c:pt>
                <c:pt idx="165">
                  <c:v>5987</c:v>
                </c:pt>
                <c:pt idx="166">
                  <c:v>16730</c:v>
                </c:pt>
                <c:pt idx="167">
                  <c:v>22765</c:v>
                </c:pt>
                <c:pt idx="168">
                  <c:v>824</c:v>
                </c:pt>
                <c:pt idx="169">
                  <c:v>3910</c:v>
                </c:pt>
                <c:pt idx="170">
                  <c:v>43110</c:v>
                </c:pt>
                <c:pt idx="171">
                  <c:v>14341</c:v>
                </c:pt>
                <c:pt idx="172">
                  <c:v>44665</c:v>
                </c:pt>
                <c:pt idx="173">
                  <c:v>10762</c:v>
                </c:pt>
                <c:pt idx="174">
                  <c:v>13547</c:v>
                </c:pt>
                <c:pt idx="175">
                  <c:v>25920</c:v>
                </c:pt>
                <c:pt idx="176">
                  <c:v>18524</c:v>
                </c:pt>
                <c:pt idx="177">
                  <c:v>14022</c:v>
                </c:pt>
                <c:pt idx="178">
                  <c:v>46282</c:v>
                </c:pt>
                <c:pt idx="179">
                  <c:v>12485</c:v>
                </c:pt>
                <c:pt idx="180">
                  <c:v>6980</c:v>
                </c:pt>
                <c:pt idx="181">
                  <c:v>5830</c:v>
                </c:pt>
                <c:pt idx="182">
                  <c:v>61771</c:v>
                </c:pt>
                <c:pt idx="183">
                  <c:v>47470</c:v>
                </c:pt>
                <c:pt idx="184">
                  <c:v>11184</c:v>
                </c:pt>
                <c:pt idx="185">
                  <c:v>6334</c:v>
                </c:pt>
                <c:pt idx="186">
                  <c:v>40004</c:v>
                </c:pt>
                <c:pt idx="187">
                  <c:v>72671</c:v>
                </c:pt>
                <c:pt idx="188">
                  <c:v>11520</c:v>
                </c:pt>
                <c:pt idx="189">
                  <c:v>3891</c:v>
                </c:pt>
                <c:pt idx="190">
                  <c:v>53412</c:v>
                </c:pt>
                <c:pt idx="191">
                  <c:v>43900</c:v>
                </c:pt>
                <c:pt idx="192">
                  <c:v>61869</c:v>
                </c:pt>
                <c:pt idx="193">
                  <c:v>9760</c:v>
                </c:pt>
                <c:pt idx="194">
                  <c:v>28263</c:v>
                </c:pt>
                <c:pt idx="195">
                  <c:v>21915</c:v>
                </c:pt>
                <c:pt idx="196">
                  <c:v>9041</c:v>
                </c:pt>
                <c:pt idx="197">
                  <c:v>53457</c:v>
                </c:pt>
                <c:pt idx="198">
                  <c:v>1110</c:v>
                </c:pt>
                <c:pt idx="199">
                  <c:v>4289</c:v>
                </c:pt>
                <c:pt idx="200">
                  <c:v>5335</c:v>
                </c:pt>
                <c:pt idx="201">
                  <c:v>32398</c:v>
                </c:pt>
                <c:pt idx="202">
                  <c:v>2073</c:v>
                </c:pt>
                <c:pt idx="203">
                  <c:v>18730</c:v>
                </c:pt>
                <c:pt idx="204">
                  <c:v>2618</c:v>
                </c:pt>
                <c:pt idx="205">
                  <c:v>22402</c:v>
                </c:pt>
                <c:pt idx="206">
                  <c:v>7262</c:v>
                </c:pt>
                <c:pt idx="207">
                  <c:v>11265</c:v>
                </c:pt>
                <c:pt idx="208">
                  <c:v>4278</c:v>
                </c:pt>
                <c:pt idx="209">
                  <c:v>22370</c:v>
                </c:pt>
                <c:pt idx="210">
                  <c:v>56850</c:v>
                </c:pt>
                <c:pt idx="211">
                  <c:v>3902</c:v>
                </c:pt>
                <c:pt idx="212">
                  <c:v>52495</c:v>
                </c:pt>
                <c:pt idx="213">
                  <c:v>43916</c:v>
                </c:pt>
                <c:pt idx="214">
                  <c:v>19681</c:v>
                </c:pt>
                <c:pt idx="215">
                  <c:v>11136</c:v>
                </c:pt>
                <c:pt idx="216">
                  <c:v>4500</c:v>
                </c:pt>
                <c:pt idx="217">
                  <c:v>8568</c:v>
                </c:pt>
                <c:pt idx="218">
                  <c:v>34255</c:v>
                </c:pt>
                <c:pt idx="219">
                  <c:v>23112</c:v>
                </c:pt>
                <c:pt idx="220">
                  <c:v>7598</c:v>
                </c:pt>
                <c:pt idx="221">
                  <c:v>23229</c:v>
                </c:pt>
                <c:pt idx="222">
                  <c:v>8823</c:v>
                </c:pt>
                <c:pt idx="223">
                  <c:v>12810</c:v>
                </c:pt>
                <c:pt idx="224">
                  <c:v>50505</c:v>
                </c:pt>
                <c:pt idx="225">
                  <c:v>3116</c:v>
                </c:pt>
                <c:pt idx="226">
                  <c:v>37575</c:v>
                </c:pt>
                <c:pt idx="227">
                  <c:v>30979</c:v>
                </c:pt>
                <c:pt idx="228">
                  <c:v>32135</c:v>
                </c:pt>
                <c:pt idx="229">
                  <c:v>16757</c:v>
                </c:pt>
                <c:pt idx="230">
                  <c:v>41872</c:v>
                </c:pt>
                <c:pt idx="231">
                  <c:v>13377</c:v>
                </c:pt>
                <c:pt idx="232">
                  <c:v>8584</c:v>
                </c:pt>
                <c:pt idx="233">
                  <c:v>612</c:v>
                </c:pt>
                <c:pt idx="234">
                  <c:v>93270</c:v>
                </c:pt>
                <c:pt idx="235">
                  <c:v>11425</c:v>
                </c:pt>
                <c:pt idx="236">
                  <c:v>58356</c:v>
                </c:pt>
                <c:pt idx="237">
                  <c:v>32906</c:v>
                </c:pt>
                <c:pt idx="238">
                  <c:v>7009</c:v>
                </c:pt>
                <c:pt idx="239">
                  <c:v>5026</c:v>
                </c:pt>
                <c:pt idx="240">
                  <c:v>18884</c:v>
                </c:pt>
                <c:pt idx="241">
                  <c:v>31835</c:v>
                </c:pt>
                <c:pt idx="242">
                  <c:v>38210</c:v>
                </c:pt>
                <c:pt idx="243">
                  <c:v>38053</c:v>
                </c:pt>
                <c:pt idx="244">
                  <c:v>14966</c:v>
                </c:pt>
                <c:pt idx="245">
                  <c:v>54124</c:v>
                </c:pt>
                <c:pt idx="246">
                  <c:v>18855</c:v>
                </c:pt>
                <c:pt idx="247">
                  <c:v>2368</c:v>
                </c:pt>
                <c:pt idx="248">
                  <c:v>20155</c:v>
                </c:pt>
                <c:pt idx="249">
                  <c:v>1501</c:v>
                </c:pt>
                <c:pt idx="250">
                  <c:v>13075</c:v>
                </c:pt>
                <c:pt idx="251">
                  <c:v>5166</c:v>
                </c:pt>
                <c:pt idx="252">
                  <c:v>264</c:v>
                </c:pt>
                <c:pt idx="253">
                  <c:v>21250</c:v>
                </c:pt>
                <c:pt idx="254">
                  <c:v>6849</c:v>
                </c:pt>
                <c:pt idx="255">
                  <c:v>33284</c:v>
                </c:pt>
                <c:pt idx="256">
                  <c:v>16581</c:v>
                </c:pt>
                <c:pt idx="257">
                  <c:v>17300</c:v>
                </c:pt>
                <c:pt idx="258">
                  <c:v>1857</c:v>
                </c:pt>
                <c:pt idx="259">
                  <c:v>45856</c:v>
                </c:pt>
                <c:pt idx="260">
                  <c:v>16301</c:v>
                </c:pt>
                <c:pt idx="261">
                  <c:v>5413</c:v>
                </c:pt>
                <c:pt idx="262">
                  <c:v>17387</c:v>
                </c:pt>
                <c:pt idx="263">
                  <c:v>25345</c:v>
                </c:pt>
                <c:pt idx="264">
                  <c:v>31988</c:v>
                </c:pt>
                <c:pt idx="265">
                  <c:v>6370</c:v>
                </c:pt>
                <c:pt idx="266">
                  <c:v>46497</c:v>
                </c:pt>
                <c:pt idx="267">
                  <c:v>207</c:v>
                </c:pt>
                <c:pt idx="268">
                  <c:v>1353</c:v>
                </c:pt>
                <c:pt idx="269">
                  <c:v>10679</c:v>
                </c:pt>
                <c:pt idx="270">
                  <c:v>17799</c:v>
                </c:pt>
                <c:pt idx="271">
                  <c:v>2371</c:v>
                </c:pt>
                <c:pt idx="272">
                  <c:v>83827</c:v>
                </c:pt>
                <c:pt idx="273">
                  <c:v>16752</c:v>
                </c:pt>
                <c:pt idx="274">
                  <c:v>27500</c:v>
                </c:pt>
                <c:pt idx="275">
                  <c:v>847</c:v>
                </c:pt>
                <c:pt idx="276">
                  <c:v>57530</c:v>
                </c:pt>
                <c:pt idx="277">
                  <c:v>29813</c:v>
                </c:pt>
                <c:pt idx="278">
                  <c:v>12128</c:v>
                </c:pt>
                <c:pt idx="279">
                  <c:v>8050</c:v>
                </c:pt>
                <c:pt idx="280">
                  <c:v>18484</c:v>
                </c:pt>
                <c:pt idx="281">
                  <c:v>14041</c:v>
                </c:pt>
                <c:pt idx="282">
                  <c:v>45904</c:v>
                </c:pt>
                <c:pt idx="283">
                  <c:v>9638</c:v>
                </c:pt>
                <c:pt idx="284">
                  <c:v>24076</c:v>
                </c:pt>
                <c:pt idx="285">
                  <c:v>42188</c:v>
                </c:pt>
                <c:pt idx="286">
                  <c:v>34547</c:v>
                </c:pt>
                <c:pt idx="287">
                  <c:v>43854</c:v>
                </c:pt>
                <c:pt idx="288">
                  <c:v>5500</c:v>
                </c:pt>
                <c:pt idx="289">
                  <c:v>6866</c:v>
                </c:pt>
                <c:pt idx="290">
                  <c:v>16649</c:v>
                </c:pt>
                <c:pt idx="291">
                  <c:v>27681</c:v>
                </c:pt>
                <c:pt idx="292">
                  <c:v>5348</c:v>
                </c:pt>
                <c:pt idx="293">
                  <c:v>22588</c:v>
                </c:pt>
                <c:pt idx="294">
                  <c:v>2980</c:v>
                </c:pt>
                <c:pt idx="295">
                  <c:v>35153</c:v>
                </c:pt>
                <c:pt idx="296">
                  <c:v>18972</c:v>
                </c:pt>
                <c:pt idx="297">
                  <c:v>2091</c:v>
                </c:pt>
                <c:pt idx="298">
                  <c:v>17242</c:v>
                </c:pt>
                <c:pt idx="299">
                  <c:v>14653</c:v>
                </c:pt>
                <c:pt idx="300">
                  <c:v>1927</c:v>
                </c:pt>
                <c:pt idx="301">
                  <c:v>30956</c:v>
                </c:pt>
                <c:pt idx="302">
                  <c:v>73456</c:v>
                </c:pt>
                <c:pt idx="303">
                  <c:v>36709</c:v>
                </c:pt>
                <c:pt idx="304">
                  <c:v>7995</c:v>
                </c:pt>
                <c:pt idx="305">
                  <c:v>72619</c:v>
                </c:pt>
                <c:pt idx="306">
                  <c:v>2662</c:v>
                </c:pt>
                <c:pt idx="307">
                  <c:v>60882</c:v>
                </c:pt>
                <c:pt idx="308">
                  <c:v>14697</c:v>
                </c:pt>
                <c:pt idx="309">
                  <c:v>74092</c:v>
                </c:pt>
                <c:pt idx="310">
                  <c:v>47892</c:v>
                </c:pt>
                <c:pt idx="311">
                  <c:v>39281</c:v>
                </c:pt>
                <c:pt idx="312">
                  <c:v>13829</c:v>
                </c:pt>
                <c:pt idx="313">
                  <c:v>22266</c:v>
                </c:pt>
                <c:pt idx="314">
                  <c:v>2197</c:v>
                </c:pt>
                <c:pt idx="315">
                  <c:v>29762</c:v>
                </c:pt>
                <c:pt idx="316">
                  <c:v>7510</c:v>
                </c:pt>
                <c:pt idx="317">
                  <c:v>10970</c:v>
                </c:pt>
                <c:pt idx="318">
                  <c:v>33134</c:v>
                </c:pt>
                <c:pt idx="319">
                  <c:v>43360</c:v>
                </c:pt>
                <c:pt idx="320">
                  <c:v>43344</c:v>
                </c:pt>
                <c:pt idx="321">
                  <c:v>54256</c:v>
                </c:pt>
                <c:pt idx="322">
                  <c:v>38444</c:v>
                </c:pt>
                <c:pt idx="323">
                  <c:v>19504</c:v>
                </c:pt>
                <c:pt idx="324">
                  <c:v>25141</c:v>
                </c:pt>
                <c:pt idx="325">
                  <c:v>48074</c:v>
                </c:pt>
                <c:pt idx="326">
                  <c:v>60573</c:v>
                </c:pt>
                <c:pt idx="327">
                  <c:v>5840</c:v>
                </c:pt>
                <c:pt idx="328">
                  <c:v>2180</c:v>
                </c:pt>
                <c:pt idx="329">
                  <c:v>28646</c:v>
                </c:pt>
                <c:pt idx="330">
                  <c:v>9401</c:v>
                </c:pt>
                <c:pt idx="331">
                  <c:v>16200</c:v>
                </c:pt>
                <c:pt idx="332">
                  <c:v>74676</c:v>
                </c:pt>
                <c:pt idx="333">
                  <c:v>7306</c:v>
                </c:pt>
                <c:pt idx="334">
                  <c:v>10590</c:v>
                </c:pt>
                <c:pt idx="335">
                  <c:v>1333</c:v>
                </c:pt>
                <c:pt idx="336">
                  <c:v>8087</c:v>
                </c:pt>
                <c:pt idx="337">
                  <c:v>7640</c:v>
                </c:pt>
                <c:pt idx="338">
                  <c:v>11014</c:v>
                </c:pt>
                <c:pt idx="339">
                  <c:v>1552</c:v>
                </c:pt>
                <c:pt idx="340">
                  <c:v>61320</c:v>
                </c:pt>
                <c:pt idx="341">
                  <c:v>17807</c:v>
                </c:pt>
                <c:pt idx="342">
                  <c:v>3287</c:v>
                </c:pt>
                <c:pt idx="343">
                  <c:v>8738</c:v>
                </c:pt>
                <c:pt idx="344">
                  <c:v>33463</c:v>
                </c:pt>
                <c:pt idx="345">
                  <c:v>7261</c:v>
                </c:pt>
                <c:pt idx="346">
                  <c:v>38176</c:v>
                </c:pt>
                <c:pt idx="347">
                  <c:v>23811</c:v>
                </c:pt>
                <c:pt idx="348">
                  <c:v>2123</c:v>
                </c:pt>
                <c:pt idx="349">
                  <c:v>34966</c:v>
                </c:pt>
                <c:pt idx="350">
                  <c:v>65313</c:v>
                </c:pt>
                <c:pt idx="351">
                  <c:v>61517</c:v>
                </c:pt>
                <c:pt idx="352">
                  <c:v>11606</c:v>
                </c:pt>
                <c:pt idx="353">
                  <c:v>15024</c:v>
                </c:pt>
                <c:pt idx="354">
                  <c:v>42</c:v>
                </c:pt>
                <c:pt idx="355">
                  <c:v>20658</c:v>
                </c:pt>
                <c:pt idx="356">
                  <c:v>15971</c:v>
                </c:pt>
                <c:pt idx="357">
                  <c:v>41295</c:v>
                </c:pt>
                <c:pt idx="358">
                  <c:v>3472</c:v>
                </c:pt>
                <c:pt idx="359">
                  <c:v>9811</c:v>
                </c:pt>
                <c:pt idx="360">
                  <c:v>3055</c:v>
                </c:pt>
                <c:pt idx="361">
                  <c:v>10279</c:v>
                </c:pt>
                <c:pt idx="362">
                  <c:v>12388</c:v>
                </c:pt>
                <c:pt idx="363">
                  <c:v>9191</c:v>
                </c:pt>
                <c:pt idx="364">
                  <c:v>19564</c:v>
                </c:pt>
                <c:pt idx="365">
                  <c:v>6177</c:v>
                </c:pt>
                <c:pt idx="366">
                  <c:v>2216</c:v>
                </c:pt>
                <c:pt idx="367">
                  <c:v>5820</c:v>
                </c:pt>
                <c:pt idx="368">
                  <c:v>67406</c:v>
                </c:pt>
                <c:pt idx="369">
                  <c:v>7973</c:v>
                </c:pt>
                <c:pt idx="370">
                  <c:v>46675</c:v>
                </c:pt>
                <c:pt idx="371">
                  <c:v>10708</c:v>
                </c:pt>
                <c:pt idx="372">
                  <c:v>208</c:v>
                </c:pt>
                <c:pt idx="373">
                  <c:v>29642</c:v>
                </c:pt>
                <c:pt idx="374">
                  <c:v>53920</c:v>
                </c:pt>
                <c:pt idx="375">
                  <c:v>26757</c:v>
                </c:pt>
                <c:pt idx="376">
                  <c:v>39877</c:v>
                </c:pt>
                <c:pt idx="377">
                  <c:v>32532</c:v>
                </c:pt>
                <c:pt idx="378">
                  <c:v>2543</c:v>
                </c:pt>
                <c:pt idx="379">
                  <c:v>4334</c:v>
                </c:pt>
                <c:pt idx="380">
                  <c:v>43634</c:v>
                </c:pt>
                <c:pt idx="381">
                  <c:v>44477</c:v>
                </c:pt>
                <c:pt idx="382">
                  <c:v>28198</c:v>
                </c:pt>
                <c:pt idx="383">
                  <c:v>53760</c:v>
                </c:pt>
                <c:pt idx="384">
                  <c:v>24949</c:v>
                </c:pt>
                <c:pt idx="385">
                  <c:v>1475</c:v>
                </c:pt>
                <c:pt idx="386">
                  <c:v>15648</c:v>
                </c:pt>
                <c:pt idx="387">
                  <c:v>26006</c:v>
                </c:pt>
                <c:pt idx="388">
                  <c:v>17013</c:v>
                </c:pt>
                <c:pt idx="389">
                  <c:v>2557</c:v>
                </c:pt>
                <c:pt idx="390">
                  <c:v>6481</c:v>
                </c:pt>
                <c:pt idx="391">
                  <c:v>39994</c:v>
                </c:pt>
                <c:pt idx="392">
                  <c:v>14480</c:v>
                </c:pt>
                <c:pt idx="393">
                  <c:v>43477</c:v>
                </c:pt>
                <c:pt idx="394">
                  <c:v>32082</c:v>
                </c:pt>
                <c:pt idx="395">
                  <c:v>32799</c:v>
                </c:pt>
                <c:pt idx="396">
                  <c:v>46174</c:v>
                </c:pt>
                <c:pt idx="397">
                  <c:v>12467</c:v>
                </c:pt>
                <c:pt idx="398">
                  <c:v>6766</c:v>
                </c:pt>
                <c:pt idx="399">
                  <c:v>11400</c:v>
                </c:pt>
                <c:pt idx="400">
                  <c:v>37311</c:v>
                </c:pt>
                <c:pt idx="401">
                  <c:v>16503</c:v>
                </c:pt>
                <c:pt idx="402">
                  <c:v>47317</c:v>
                </c:pt>
                <c:pt idx="403">
                  <c:v>34749</c:v>
                </c:pt>
                <c:pt idx="404">
                  <c:v>42294</c:v>
                </c:pt>
                <c:pt idx="405">
                  <c:v>32493</c:v>
                </c:pt>
                <c:pt idx="406">
                  <c:v>16263</c:v>
                </c:pt>
                <c:pt idx="407">
                  <c:v>3044</c:v>
                </c:pt>
                <c:pt idx="408">
                  <c:v>61343</c:v>
                </c:pt>
                <c:pt idx="409">
                  <c:v>24645</c:v>
                </c:pt>
                <c:pt idx="410">
                  <c:v>13032</c:v>
                </c:pt>
                <c:pt idx="411">
                  <c:v>3890</c:v>
                </c:pt>
                <c:pt idx="412">
                  <c:v>9635</c:v>
                </c:pt>
                <c:pt idx="413">
                  <c:v>26909</c:v>
                </c:pt>
                <c:pt idx="414">
                  <c:v>16382</c:v>
                </c:pt>
                <c:pt idx="415">
                  <c:v>54737</c:v>
                </c:pt>
                <c:pt idx="416">
                  <c:v>30376</c:v>
                </c:pt>
                <c:pt idx="417">
                  <c:v>58022</c:v>
                </c:pt>
                <c:pt idx="418">
                  <c:v>6324</c:v>
                </c:pt>
                <c:pt idx="419">
                  <c:v>59998</c:v>
                </c:pt>
                <c:pt idx="420">
                  <c:v>74700</c:v>
                </c:pt>
                <c:pt idx="421">
                  <c:v>14917</c:v>
                </c:pt>
                <c:pt idx="422">
                  <c:v>52981</c:v>
                </c:pt>
                <c:pt idx="423">
                  <c:v>20925</c:v>
                </c:pt>
                <c:pt idx="424">
                  <c:v>43927</c:v>
                </c:pt>
                <c:pt idx="425">
                  <c:v>25405</c:v>
                </c:pt>
                <c:pt idx="426">
                  <c:v>6452</c:v>
                </c:pt>
                <c:pt idx="427">
                  <c:v>23157</c:v>
                </c:pt>
                <c:pt idx="428">
                  <c:v>36768</c:v>
                </c:pt>
                <c:pt idx="429">
                  <c:v>6361</c:v>
                </c:pt>
                <c:pt idx="430">
                  <c:v>6747</c:v>
                </c:pt>
                <c:pt idx="431">
                  <c:v>22687</c:v>
                </c:pt>
                <c:pt idx="432">
                  <c:v>34958</c:v>
                </c:pt>
                <c:pt idx="433">
                  <c:v>2309</c:v>
                </c:pt>
                <c:pt idx="434">
                  <c:v>20063</c:v>
                </c:pt>
                <c:pt idx="435">
                  <c:v>12511</c:v>
                </c:pt>
                <c:pt idx="436">
                  <c:v>49575</c:v>
                </c:pt>
                <c:pt idx="437">
                  <c:v>81084</c:v>
                </c:pt>
                <c:pt idx="438">
                  <c:v>3183</c:v>
                </c:pt>
                <c:pt idx="439">
                  <c:v>35787</c:v>
                </c:pt>
                <c:pt idx="440">
                  <c:v>1355</c:v>
                </c:pt>
                <c:pt idx="441">
                  <c:v>37021</c:v>
                </c:pt>
                <c:pt idx="442">
                  <c:v>2504</c:v>
                </c:pt>
                <c:pt idx="443">
                  <c:v>75908</c:v>
                </c:pt>
                <c:pt idx="444">
                  <c:v>50462</c:v>
                </c:pt>
                <c:pt idx="445">
                  <c:v>29218</c:v>
                </c:pt>
                <c:pt idx="446">
                  <c:v>31317</c:v>
                </c:pt>
                <c:pt idx="447">
                  <c:v>9939</c:v>
                </c:pt>
                <c:pt idx="448">
                  <c:v>10594</c:v>
                </c:pt>
                <c:pt idx="449">
                  <c:v>52210</c:v>
                </c:pt>
                <c:pt idx="450">
                  <c:v>19626</c:v>
                </c:pt>
                <c:pt idx="451">
                  <c:v>61819</c:v>
                </c:pt>
                <c:pt idx="452">
                  <c:v>11623</c:v>
                </c:pt>
                <c:pt idx="453">
                  <c:v>12224</c:v>
                </c:pt>
                <c:pt idx="454">
                  <c:v>1996</c:v>
                </c:pt>
                <c:pt idx="455">
                  <c:v>8111</c:v>
                </c:pt>
                <c:pt idx="456">
                  <c:v>9633</c:v>
                </c:pt>
                <c:pt idx="457">
                  <c:v>20716</c:v>
                </c:pt>
                <c:pt idx="458">
                  <c:v>9324</c:v>
                </c:pt>
                <c:pt idx="459">
                  <c:v>78400</c:v>
                </c:pt>
                <c:pt idx="460">
                  <c:v>6560</c:v>
                </c:pt>
                <c:pt idx="461">
                  <c:v>17079</c:v>
                </c:pt>
                <c:pt idx="462">
                  <c:v>22248</c:v>
                </c:pt>
                <c:pt idx="463">
                  <c:v>227</c:v>
                </c:pt>
                <c:pt idx="464">
                  <c:v>19504</c:v>
                </c:pt>
                <c:pt idx="465">
                  <c:v>24317</c:v>
                </c:pt>
                <c:pt idx="466">
                  <c:v>33668</c:v>
                </c:pt>
                <c:pt idx="467">
                  <c:v>31620</c:v>
                </c:pt>
                <c:pt idx="468">
                  <c:v>59871</c:v>
                </c:pt>
                <c:pt idx="469">
                  <c:v>2654</c:v>
                </c:pt>
                <c:pt idx="470">
                  <c:v>11887</c:v>
                </c:pt>
                <c:pt idx="471">
                  <c:v>15615</c:v>
                </c:pt>
                <c:pt idx="472">
                  <c:v>54609</c:v>
                </c:pt>
                <c:pt idx="473">
                  <c:v>13753</c:v>
                </c:pt>
                <c:pt idx="474">
                  <c:v>7736</c:v>
                </c:pt>
                <c:pt idx="475">
                  <c:v>9506</c:v>
                </c:pt>
                <c:pt idx="476">
                  <c:v>20641</c:v>
                </c:pt>
                <c:pt idx="477">
                  <c:v>1543</c:v>
                </c:pt>
                <c:pt idx="478">
                  <c:v>1562</c:v>
                </c:pt>
                <c:pt idx="479">
                  <c:v>6003</c:v>
                </c:pt>
                <c:pt idx="480">
                  <c:v>18491</c:v>
                </c:pt>
                <c:pt idx="481">
                  <c:v>7651</c:v>
                </c:pt>
                <c:pt idx="482">
                  <c:v>21151</c:v>
                </c:pt>
                <c:pt idx="483">
                  <c:v>13511</c:v>
                </c:pt>
                <c:pt idx="484">
                  <c:v>50444</c:v>
                </c:pt>
                <c:pt idx="485">
                  <c:v>13101</c:v>
                </c:pt>
                <c:pt idx="486">
                  <c:v>76722</c:v>
                </c:pt>
                <c:pt idx="487">
                  <c:v>9667</c:v>
                </c:pt>
                <c:pt idx="488">
                  <c:v>20257</c:v>
                </c:pt>
              </c:numCache>
            </c:numRef>
          </c:xVal>
          <c:yVal>
            <c:numRef>
              <c:f>'DATOS LIMPIOS'!$L$5:$L$493</c:f>
              <c:numCache>
                <c:formatCode>#,##0.00</c:formatCode>
                <c:ptCount val="489"/>
                <c:pt idx="0">
                  <c:v>37643.980000000003</c:v>
                </c:pt>
                <c:pt idx="1">
                  <c:v>57634.13</c:v>
                </c:pt>
                <c:pt idx="2">
                  <c:v>47581.07</c:v>
                </c:pt>
                <c:pt idx="3">
                  <c:v>55342.07</c:v>
                </c:pt>
                <c:pt idx="4">
                  <c:v>51666.46</c:v>
                </c:pt>
                <c:pt idx="5">
                  <c:v>57418.39</c:v>
                </c:pt>
                <c:pt idx="6">
                  <c:v>78459.67</c:v>
                </c:pt>
                <c:pt idx="7">
                  <c:v>81300.960000000006</c:v>
                </c:pt>
                <c:pt idx="8">
                  <c:v>55378.06</c:v>
                </c:pt>
                <c:pt idx="9">
                  <c:v>92095.51</c:v>
                </c:pt>
                <c:pt idx="10">
                  <c:v>6070.02</c:v>
                </c:pt>
                <c:pt idx="11">
                  <c:v>7682.24</c:v>
                </c:pt>
                <c:pt idx="12">
                  <c:v>77099.27</c:v>
                </c:pt>
                <c:pt idx="13">
                  <c:v>61885.22</c:v>
                </c:pt>
                <c:pt idx="14">
                  <c:v>41057.08</c:v>
                </c:pt>
                <c:pt idx="15">
                  <c:v>78024.83</c:v>
                </c:pt>
                <c:pt idx="16">
                  <c:v>92852.77</c:v>
                </c:pt>
                <c:pt idx="17">
                  <c:v>54788.94</c:v>
                </c:pt>
                <c:pt idx="18">
                  <c:v>21469.34</c:v>
                </c:pt>
                <c:pt idx="19">
                  <c:v>7323.9</c:v>
                </c:pt>
                <c:pt idx="20">
                  <c:v>73501.820000000007</c:v>
                </c:pt>
                <c:pt idx="21">
                  <c:v>71686.22</c:v>
                </c:pt>
                <c:pt idx="22">
                  <c:v>99555.03</c:v>
                </c:pt>
                <c:pt idx="23">
                  <c:v>33369.83</c:v>
                </c:pt>
                <c:pt idx="24">
                  <c:v>27543.42</c:v>
                </c:pt>
                <c:pt idx="25">
                  <c:v>4496.2299999999996</c:v>
                </c:pt>
                <c:pt idx="26">
                  <c:v>15388.5</c:v>
                </c:pt>
                <c:pt idx="27">
                  <c:v>14635.06</c:v>
                </c:pt>
                <c:pt idx="28">
                  <c:v>62749.3</c:v>
                </c:pt>
                <c:pt idx="29">
                  <c:v>63259.55</c:v>
                </c:pt>
                <c:pt idx="30">
                  <c:v>78858.039999999994</c:v>
                </c:pt>
                <c:pt idx="31">
                  <c:v>48477.74</c:v>
                </c:pt>
                <c:pt idx="32">
                  <c:v>62544.44</c:v>
                </c:pt>
                <c:pt idx="33">
                  <c:v>39163.67</c:v>
                </c:pt>
                <c:pt idx="34">
                  <c:v>90073.75</c:v>
                </c:pt>
                <c:pt idx="35">
                  <c:v>98786.880000000005</c:v>
                </c:pt>
                <c:pt idx="36">
                  <c:v>2130.54</c:v>
                </c:pt>
                <c:pt idx="37">
                  <c:v>53016.85</c:v>
                </c:pt>
                <c:pt idx="38">
                  <c:v>98358.06</c:v>
                </c:pt>
                <c:pt idx="39">
                  <c:v>28815.07</c:v>
                </c:pt>
                <c:pt idx="40">
                  <c:v>21634.89</c:v>
                </c:pt>
                <c:pt idx="41">
                  <c:v>42784.63</c:v>
                </c:pt>
                <c:pt idx="42">
                  <c:v>67416.97</c:v>
                </c:pt>
                <c:pt idx="43">
                  <c:v>48736.85</c:v>
                </c:pt>
                <c:pt idx="44">
                  <c:v>92249.48</c:v>
                </c:pt>
                <c:pt idx="45">
                  <c:v>35207.519999999997</c:v>
                </c:pt>
                <c:pt idx="46">
                  <c:v>99053.81</c:v>
                </c:pt>
                <c:pt idx="47">
                  <c:v>5810.77</c:v>
                </c:pt>
                <c:pt idx="48">
                  <c:v>22287.89</c:v>
                </c:pt>
                <c:pt idx="49">
                  <c:v>24399.38</c:v>
                </c:pt>
                <c:pt idx="50">
                  <c:v>81503.960000000006</c:v>
                </c:pt>
                <c:pt idx="51">
                  <c:v>92152.24</c:v>
                </c:pt>
                <c:pt idx="52">
                  <c:v>90695.45</c:v>
                </c:pt>
                <c:pt idx="53">
                  <c:v>81585.279999999999</c:v>
                </c:pt>
                <c:pt idx="54">
                  <c:v>79501.97</c:v>
                </c:pt>
                <c:pt idx="55">
                  <c:v>69908.160000000003</c:v>
                </c:pt>
                <c:pt idx="56">
                  <c:v>64960.61</c:v>
                </c:pt>
                <c:pt idx="57">
                  <c:v>69489.91</c:v>
                </c:pt>
                <c:pt idx="58">
                  <c:v>32743.99</c:v>
                </c:pt>
                <c:pt idx="59">
                  <c:v>50670.86</c:v>
                </c:pt>
                <c:pt idx="60">
                  <c:v>22616.959999999999</c:v>
                </c:pt>
                <c:pt idx="61">
                  <c:v>82515.179999999993</c:v>
                </c:pt>
                <c:pt idx="62">
                  <c:v>71951.22</c:v>
                </c:pt>
                <c:pt idx="63">
                  <c:v>7126.15</c:v>
                </c:pt>
                <c:pt idx="64">
                  <c:v>86469.28</c:v>
                </c:pt>
                <c:pt idx="65">
                  <c:v>52063.17</c:v>
                </c:pt>
                <c:pt idx="66">
                  <c:v>59969.83</c:v>
                </c:pt>
                <c:pt idx="67">
                  <c:v>52610.3</c:v>
                </c:pt>
                <c:pt idx="68">
                  <c:v>73624.429999999993</c:v>
                </c:pt>
                <c:pt idx="69">
                  <c:v>37944.71</c:v>
                </c:pt>
                <c:pt idx="70">
                  <c:v>3216.69</c:v>
                </c:pt>
                <c:pt idx="71">
                  <c:v>11259.63</c:v>
                </c:pt>
                <c:pt idx="72">
                  <c:v>32712.47</c:v>
                </c:pt>
                <c:pt idx="73">
                  <c:v>62074.52</c:v>
                </c:pt>
                <c:pt idx="74">
                  <c:v>56237.78</c:v>
                </c:pt>
                <c:pt idx="75">
                  <c:v>72855.850000000006</c:v>
                </c:pt>
                <c:pt idx="76">
                  <c:v>82876.23</c:v>
                </c:pt>
                <c:pt idx="77">
                  <c:v>7899.25</c:v>
                </c:pt>
                <c:pt idx="78">
                  <c:v>58776.63</c:v>
                </c:pt>
                <c:pt idx="79">
                  <c:v>812.31</c:v>
                </c:pt>
                <c:pt idx="80">
                  <c:v>42310.11</c:v>
                </c:pt>
                <c:pt idx="81">
                  <c:v>86483.74</c:v>
                </c:pt>
                <c:pt idx="82">
                  <c:v>5826.86</c:v>
                </c:pt>
                <c:pt idx="83">
                  <c:v>86393.13</c:v>
                </c:pt>
                <c:pt idx="84">
                  <c:v>53475.74</c:v>
                </c:pt>
                <c:pt idx="85">
                  <c:v>55544.98</c:v>
                </c:pt>
                <c:pt idx="86">
                  <c:v>84901.43</c:v>
                </c:pt>
                <c:pt idx="87">
                  <c:v>77549.61</c:v>
                </c:pt>
                <c:pt idx="88">
                  <c:v>4852.82</c:v>
                </c:pt>
                <c:pt idx="89">
                  <c:v>42334.99</c:v>
                </c:pt>
                <c:pt idx="90">
                  <c:v>23759.31</c:v>
                </c:pt>
                <c:pt idx="91">
                  <c:v>12277.03</c:v>
                </c:pt>
                <c:pt idx="92">
                  <c:v>85625.12</c:v>
                </c:pt>
                <c:pt idx="93">
                  <c:v>34383.61</c:v>
                </c:pt>
                <c:pt idx="94">
                  <c:v>57427.42</c:v>
                </c:pt>
                <c:pt idx="95">
                  <c:v>86916</c:v>
                </c:pt>
                <c:pt idx="96">
                  <c:v>93065.66</c:v>
                </c:pt>
                <c:pt idx="97">
                  <c:v>61578.7</c:v>
                </c:pt>
                <c:pt idx="98">
                  <c:v>41690.870000000003</c:v>
                </c:pt>
                <c:pt idx="99">
                  <c:v>68769.259999999995</c:v>
                </c:pt>
                <c:pt idx="100">
                  <c:v>27092.09</c:v>
                </c:pt>
                <c:pt idx="101">
                  <c:v>63810.16</c:v>
                </c:pt>
                <c:pt idx="102">
                  <c:v>50557.2</c:v>
                </c:pt>
                <c:pt idx="103">
                  <c:v>77598.539999999994</c:v>
                </c:pt>
                <c:pt idx="104">
                  <c:v>59087.4</c:v>
                </c:pt>
                <c:pt idx="105">
                  <c:v>61284.54</c:v>
                </c:pt>
                <c:pt idx="106">
                  <c:v>53308.41</c:v>
                </c:pt>
                <c:pt idx="107">
                  <c:v>24423.67</c:v>
                </c:pt>
                <c:pt idx="108">
                  <c:v>61318.8</c:v>
                </c:pt>
                <c:pt idx="109">
                  <c:v>60008.800000000003</c:v>
                </c:pt>
                <c:pt idx="110">
                  <c:v>7688.97</c:v>
                </c:pt>
                <c:pt idx="111">
                  <c:v>61656.53</c:v>
                </c:pt>
                <c:pt idx="112">
                  <c:v>15892.41</c:v>
                </c:pt>
                <c:pt idx="113">
                  <c:v>15749.46</c:v>
                </c:pt>
                <c:pt idx="114">
                  <c:v>84736.93</c:v>
                </c:pt>
                <c:pt idx="115">
                  <c:v>45551.16</c:v>
                </c:pt>
                <c:pt idx="116">
                  <c:v>52105.06</c:v>
                </c:pt>
                <c:pt idx="117">
                  <c:v>70418.63</c:v>
                </c:pt>
                <c:pt idx="118">
                  <c:v>15396.96</c:v>
                </c:pt>
                <c:pt idx="119">
                  <c:v>72829.710000000006</c:v>
                </c:pt>
                <c:pt idx="120">
                  <c:v>7834.09</c:v>
                </c:pt>
                <c:pt idx="121">
                  <c:v>69051.64</c:v>
                </c:pt>
                <c:pt idx="122">
                  <c:v>55867.51</c:v>
                </c:pt>
                <c:pt idx="123">
                  <c:v>33658.9</c:v>
                </c:pt>
                <c:pt idx="124">
                  <c:v>9198.9599999999991</c:v>
                </c:pt>
                <c:pt idx="125">
                  <c:v>11207.21</c:v>
                </c:pt>
                <c:pt idx="126">
                  <c:v>62907.38</c:v>
                </c:pt>
                <c:pt idx="127">
                  <c:v>74058.009999999995</c:v>
                </c:pt>
                <c:pt idx="128">
                  <c:v>55675.97</c:v>
                </c:pt>
                <c:pt idx="129">
                  <c:v>22815.1</c:v>
                </c:pt>
                <c:pt idx="130">
                  <c:v>91986.21</c:v>
                </c:pt>
                <c:pt idx="131">
                  <c:v>26450.13</c:v>
                </c:pt>
                <c:pt idx="132">
                  <c:v>87138.48</c:v>
                </c:pt>
                <c:pt idx="133">
                  <c:v>68207.08</c:v>
                </c:pt>
                <c:pt idx="134">
                  <c:v>19846.38</c:v>
                </c:pt>
                <c:pt idx="135">
                  <c:v>25942</c:v>
                </c:pt>
                <c:pt idx="136">
                  <c:v>21454.77</c:v>
                </c:pt>
                <c:pt idx="137">
                  <c:v>48623.3</c:v>
                </c:pt>
                <c:pt idx="138">
                  <c:v>75709.84</c:v>
                </c:pt>
                <c:pt idx="139">
                  <c:v>97442.17</c:v>
                </c:pt>
                <c:pt idx="140">
                  <c:v>63468.22</c:v>
                </c:pt>
                <c:pt idx="141">
                  <c:v>61533.91</c:v>
                </c:pt>
                <c:pt idx="142">
                  <c:v>54696.09</c:v>
                </c:pt>
                <c:pt idx="143">
                  <c:v>71163.19</c:v>
                </c:pt>
                <c:pt idx="144">
                  <c:v>48380.14</c:v>
                </c:pt>
                <c:pt idx="145">
                  <c:v>72537.73</c:v>
                </c:pt>
                <c:pt idx="146">
                  <c:v>64530.47</c:v>
                </c:pt>
                <c:pt idx="147">
                  <c:v>46648.27</c:v>
                </c:pt>
                <c:pt idx="148">
                  <c:v>59527.83</c:v>
                </c:pt>
                <c:pt idx="149">
                  <c:v>54153.13</c:v>
                </c:pt>
                <c:pt idx="150">
                  <c:v>22076</c:v>
                </c:pt>
                <c:pt idx="151">
                  <c:v>81046.17</c:v>
                </c:pt>
                <c:pt idx="152">
                  <c:v>81888.679999999993</c:v>
                </c:pt>
                <c:pt idx="153">
                  <c:v>75397.91</c:v>
                </c:pt>
                <c:pt idx="154">
                  <c:v>15130.32</c:v>
                </c:pt>
                <c:pt idx="155">
                  <c:v>2721.69</c:v>
                </c:pt>
                <c:pt idx="156">
                  <c:v>77045.81</c:v>
                </c:pt>
                <c:pt idx="157">
                  <c:v>98477.29</c:v>
                </c:pt>
                <c:pt idx="158">
                  <c:v>57913.49</c:v>
                </c:pt>
                <c:pt idx="159">
                  <c:v>27492.37</c:v>
                </c:pt>
                <c:pt idx="160">
                  <c:v>88778.77</c:v>
                </c:pt>
                <c:pt idx="161">
                  <c:v>85936.82</c:v>
                </c:pt>
                <c:pt idx="162">
                  <c:v>21964.59</c:v>
                </c:pt>
                <c:pt idx="163">
                  <c:v>68337.429999999993</c:v>
                </c:pt>
                <c:pt idx="164">
                  <c:v>19456.55</c:v>
                </c:pt>
                <c:pt idx="165">
                  <c:v>65086</c:v>
                </c:pt>
                <c:pt idx="166">
                  <c:v>5547.69</c:v>
                </c:pt>
                <c:pt idx="167">
                  <c:v>12815.99</c:v>
                </c:pt>
                <c:pt idx="168">
                  <c:v>36918.31</c:v>
                </c:pt>
                <c:pt idx="169">
                  <c:v>41624.82</c:v>
                </c:pt>
                <c:pt idx="170">
                  <c:v>60537.17</c:v>
                </c:pt>
                <c:pt idx="171">
                  <c:v>26677.37</c:v>
                </c:pt>
                <c:pt idx="172">
                  <c:v>80467.539999999994</c:v>
                </c:pt>
                <c:pt idx="173">
                  <c:v>71424.98</c:v>
                </c:pt>
                <c:pt idx="174">
                  <c:v>16440.78</c:v>
                </c:pt>
                <c:pt idx="175">
                  <c:v>43224.3</c:v>
                </c:pt>
                <c:pt idx="176">
                  <c:v>83250.009999999995</c:v>
                </c:pt>
                <c:pt idx="177">
                  <c:v>15607.02</c:v>
                </c:pt>
                <c:pt idx="178">
                  <c:v>23470.68</c:v>
                </c:pt>
                <c:pt idx="179">
                  <c:v>81145.990000000005</c:v>
                </c:pt>
                <c:pt idx="180">
                  <c:v>26089.360000000001</c:v>
                </c:pt>
                <c:pt idx="181">
                  <c:v>85955.69</c:v>
                </c:pt>
                <c:pt idx="182">
                  <c:v>82384.06</c:v>
                </c:pt>
                <c:pt idx="183">
                  <c:v>531.04999999999995</c:v>
                </c:pt>
                <c:pt idx="184">
                  <c:v>70075.490000000005</c:v>
                </c:pt>
                <c:pt idx="185">
                  <c:v>73074.929999999993</c:v>
                </c:pt>
                <c:pt idx="186">
                  <c:v>23117.81</c:v>
                </c:pt>
                <c:pt idx="187">
                  <c:v>28096.3</c:v>
                </c:pt>
                <c:pt idx="188">
                  <c:v>34469.269999999997</c:v>
                </c:pt>
                <c:pt idx="189">
                  <c:v>57593.78</c:v>
                </c:pt>
                <c:pt idx="190">
                  <c:v>43415.38</c:v>
                </c:pt>
                <c:pt idx="191">
                  <c:v>50008.82</c:v>
                </c:pt>
                <c:pt idx="192">
                  <c:v>9190.6299999999992</c:v>
                </c:pt>
                <c:pt idx="193">
                  <c:v>10627.54</c:v>
                </c:pt>
                <c:pt idx="194">
                  <c:v>29402.79</c:v>
                </c:pt>
                <c:pt idx="195">
                  <c:v>26768.13</c:v>
                </c:pt>
                <c:pt idx="196">
                  <c:v>95924.7</c:v>
                </c:pt>
                <c:pt idx="197">
                  <c:v>40128.46</c:v>
                </c:pt>
                <c:pt idx="198">
                  <c:v>96098.06</c:v>
                </c:pt>
                <c:pt idx="199">
                  <c:v>43449.04</c:v>
                </c:pt>
                <c:pt idx="200">
                  <c:v>50640.31</c:v>
                </c:pt>
                <c:pt idx="201">
                  <c:v>6538.92</c:v>
                </c:pt>
                <c:pt idx="202">
                  <c:v>17255.62</c:v>
                </c:pt>
                <c:pt idx="203">
                  <c:v>21704.29</c:v>
                </c:pt>
                <c:pt idx="204">
                  <c:v>16419.43</c:v>
                </c:pt>
                <c:pt idx="205">
                  <c:v>8275.61</c:v>
                </c:pt>
                <c:pt idx="206">
                  <c:v>89191.22</c:v>
                </c:pt>
                <c:pt idx="207">
                  <c:v>10274.450000000001</c:v>
                </c:pt>
                <c:pt idx="208">
                  <c:v>11585.62</c:v>
                </c:pt>
                <c:pt idx="209">
                  <c:v>97545.9</c:v>
                </c:pt>
                <c:pt idx="210">
                  <c:v>28854.98</c:v>
                </c:pt>
                <c:pt idx="211">
                  <c:v>76480.75</c:v>
                </c:pt>
                <c:pt idx="212">
                  <c:v>96530.31</c:v>
                </c:pt>
                <c:pt idx="213">
                  <c:v>93228.56</c:v>
                </c:pt>
                <c:pt idx="214">
                  <c:v>72129.06</c:v>
                </c:pt>
                <c:pt idx="215">
                  <c:v>42048.74</c:v>
                </c:pt>
                <c:pt idx="216">
                  <c:v>74019.02</c:v>
                </c:pt>
                <c:pt idx="217">
                  <c:v>20126.63</c:v>
                </c:pt>
                <c:pt idx="218">
                  <c:v>67213.22</c:v>
                </c:pt>
                <c:pt idx="219">
                  <c:v>60490.64</c:v>
                </c:pt>
                <c:pt idx="220">
                  <c:v>7160.31</c:v>
                </c:pt>
                <c:pt idx="221">
                  <c:v>40232.19</c:v>
                </c:pt>
                <c:pt idx="222">
                  <c:v>3537.6</c:v>
                </c:pt>
                <c:pt idx="223">
                  <c:v>9269.4</c:v>
                </c:pt>
                <c:pt idx="224">
                  <c:v>55410.23</c:v>
                </c:pt>
                <c:pt idx="225">
                  <c:v>75489.490000000005</c:v>
                </c:pt>
                <c:pt idx="226">
                  <c:v>74179.44</c:v>
                </c:pt>
                <c:pt idx="227">
                  <c:v>11431.97</c:v>
                </c:pt>
                <c:pt idx="228">
                  <c:v>79621.34</c:v>
                </c:pt>
                <c:pt idx="229">
                  <c:v>74208.97</c:v>
                </c:pt>
                <c:pt idx="230">
                  <c:v>54779.6</c:v>
                </c:pt>
                <c:pt idx="231">
                  <c:v>23557.27</c:v>
                </c:pt>
                <c:pt idx="232">
                  <c:v>84064.47</c:v>
                </c:pt>
                <c:pt idx="233">
                  <c:v>28855.88</c:v>
                </c:pt>
                <c:pt idx="234">
                  <c:v>1984.81</c:v>
                </c:pt>
                <c:pt idx="235">
                  <c:v>80821.23</c:v>
                </c:pt>
                <c:pt idx="236">
                  <c:v>46126.22</c:v>
                </c:pt>
                <c:pt idx="237">
                  <c:v>29459.27</c:v>
                </c:pt>
                <c:pt idx="238">
                  <c:v>74303.679999999993</c:v>
                </c:pt>
                <c:pt idx="239">
                  <c:v>51392.86</c:v>
                </c:pt>
                <c:pt idx="240">
                  <c:v>35517.21</c:v>
                </c:pt>
                <c:pt idx="241">
                  <c:v>97125.07</c:v>
                </c:pt>
                <c:pt idx="242">
                  <c:v>24126.65</c:v>
                </c:pt>
                <c:pt idx="243">
                  <c:v>32246.09</c:v>
                </c:pt>
                <c:pt idx="244">
                  <c:v>25400.77</c:v>
                </c:pt>
                <c:pt idx="245">
                  <c:v>93809.82</c:v>
                </c:pt>
                <c:pt idx="246">
                  <c:v>59693.48</c:v>
                </c:pt>
                <c:pt idx="247">
                  <c:v>93351.79</c:v>
                </c:pt>
                <c:pt idx="248">
                  <c:v>69462.86</c:v>
                </c:pt>
                <c:pt idx="249">
                  <c:v>87067.26</c:v>
                </c:pt>
                <c:pt idx="250">
                  <c:v>70039.62</c:v>
                </c:pt>
                <c:pt idx="251">
                  <c:v>55380.89</c:v>
                </c:pt>
                <c:pt idx="252">
                  <c:v>82070.850000000006</c:v>
                </c:pt>
                <c:pt idx="253">
                  <c:v>63544.72</c:v>
                </c:pt>
                <c:pt idx="254">
                  <c:v>44234.47</c:v>
                </c:pt>
                <c:pt idx="255">
                  <c:v>61753.67</c:v>
                </c:pt>
                <c:pt idx="256">
                  <c:v>70697.41</c:v>
                </c:pt>
                <c:pt idx="257">
                  <c:v>95953.88</c:v>
                </c:pt>
                <c:pt idx="258">
                  <c:v>59886.62</c:v>
                </c:pt>
                <c:pt idx="259">
                  <c:v>63974.58</c:v>
                </c:pt>
                <c:pt idx="260">
                  <c:v>43115.58</c:v>
                </c:pt>
                <c:pt idx="261">
                  <c:v>9557.11</c:v>
                </c:pt>
                <c:pt idx="262">
                  <c:v>74255.990000000005</c:v>
                </c:pt>
                <c:pt idx="263">
                  <c:v>99909.8</c:v>
                </c:pt>
                <c:pt idx="264">
                  <c:v>23454.35</c:v>
                </c:pt>
                <c:pt idx="265">
                  <c:v>4507.16</c:v>
                </c:pt>
                <c:pt idx="266">
                  <c:v>65663.14</c:v>
                </c:pt>
                <c:pt idx="267">
                  <c:v>29163.72</c:v>
                </c:pt>
                <c:pt idx="268">
                  <c:v>68551.56</c:v>
                </c:pt>
                <c:pt idx="269">
                  <c:v>91222.77</c:v>
                </c:pt>
                <c:pt idx="270">
                  <c:v>17649.080000000002</c:v>
                </c:pt>
                <c:pt idx="271">
                  <c:v>72530.320000000007</c:v>
                </c:pt>
                <c:pt idx="272">
                  <c:v>48098.39</c:v>
                </c:pt>
                <c:pt idx="273">
                  <c:v>40053.89</c:v>
                </c:pt>
                <c:pt idx="274">
                  <c:v>37084.22</c:v>
                </c:pt>
                <c:pt idx="275">
                  <c:v>7581.43</c:v>
                </c:pt>
                <c:pt idx="276">
                  <c:v>33546.83</c:v>
                </c:pt>
                <c:pt idx="277">
                  <c:v>95826.96</c:v>
                </c:pt>
                <c:pt idx="278">
                  <c:v>76718.710000000006</c:v>
                </c:pt>
                <c:pt idx="279">
                  <c:v>3683.55</c:v>
                </c:pt>
                <c:pt idx="280">
                  <c:v>87556.79</c:v>
                </c:pt>
                <c:pt idx="281">
                  <c:v>18570.03</c:v>
                </c:pt>
                <c:pt idx="282">
                  <c:v>18017.63</c:v>
                </c:pt>
                <c:pt idx="283">
                  <c:v>88252.28</c:v>
                </c:pt>
                <c:pt idx="284">
                  <c:v>18297.75</c:v>
                </c:pt>
                <c:pt idx="285">
                  <c:v>63655.48</c:v>
                </c:pt>
                <c:pt idx="286">
                  <c:v>73811.42</c:v>
                </c:pt>
                <c:pt idx="287">
                  <c:v>34346.129999999997</c:v>
                </c:pt>
                <c:pt idx="288">
                  <c:v>59431.19</c:v>
                </c:pt>
                <c:pt idx="289">
                  <c:v>73137.73</c:v>
                </c:pt>
                <c:pt idx="290">
                  <c:v>56791.040000000001</c:v>
                </c:pt>
                <c:pt idx="291">
                  <c:v>36597.64</c:v>
                </c:pt>
                <c:pt idx="292">
                  <c:v>21048.7</c:v>
                </c:pt>
                <c:pt idx="293">
                  <c:v>51188.26</c:v>
                </c:pt>
                <c:pt idx="294">
                  <c:v>13528.35</c:v>
                </c:pt>
                <c:pt idx="295">
                  <c:v>19048.93</c:v>
                </c:pt>
                <c:pt idx="296">
                  <c:v>88722.4</c:v>
                </c:pt>
                <c:pt idx="297">
                  <c:v>92646</c:v>
                </c:pt>
                <c:pt idx="298">
                  <c:v>44169.57</c:v>
                </c:pt>
                <c:pt idx="299">
                  <c:v>97146.41</c:v>
                </c:pt>
                <c:pt idx="300">
                  <c:v>98251.83</c:v>
                </c:pt>
                <c:pt idx="301">
                  <c:v>65911.06</c:v>
                </c:pt>
                <c:pt idx="302">
                  <c:v>59684.27</c:v>
                </c:pt>
                <c:pt idx="303">
                  <c:v>69874.17</c:v>
                </c:pt>
                <c:pt idx="304">
                  <c:v>99041.9</c:v>
                </c:pt>
                <c:pt idx="305">
                  <c:v>36558.29</c:v>
                </c:pt>
                <c:pt idx="306">
                  <c:v>92268.27</c:v>
                </c:pt>
                <c:pt idx="307">
                  <c:v>73920.600000000006</c:v>
                </c:pt>
                <c:pt idx="308">
                  <c:v>22392.68</c:v>
                </c:pt>
                <c:pt idx="309">
                  <c:v>67449.33</c:v>
                </c:pt>
                <c:pt idx="310">
                  <c:v>23968.97</c:v>
                </c:pt>
                <c:pt idx="311">
                  <c:v>40367.519999999997</c:v>
                </c:pt>
                <c:pt idx="312">
                  <c:v>88902.59</c:v>
                </c:pt>
                <c:pt idx="313">
                  <c:v>14236.43</c:v>
                </c:pt>
                <c:pt idx="314">
                  <c:v>66333.78</c:v>
                </c:pt>
                <c:pt idx="315">
                  <c:v>91453.36</c:v>
                </c:pt>
                <c:pt idx="316">
                  <c:v>28698.29</c:v>
                </c:pt>
                <c:pt idx="317">
                  <c:v>33204.49</c:v>
                </c:pt>
                <c:pt idx="318">
                  <c:v>54737.37</c:v>
                </c:pt>
                <c:pt idx="319">
                  <c:v>36160.550000000003</c:v>
                </c:pt>
                <c:pt idx="320">
                  <c:v>46813.72</c:v>
                </c:pt>
                <c:pt idx="321">
                  <c:v>36988.5</c:v>
                </c:pt>
                <c:pt idx="322">
                  <c:v>67143</c:v>
                </c:pt>
                <c:pt idx="323">
                  <c:v>51885.13</c:v>
                </c:pt>
                <c:pt idx="324">
                  <c:v>5211.03</c:v>
                </c:pt>
                <c:pt idx="325">
                  <c:v>3767.88</c:v>
                </c:pt>
                <c:pt idx="326">
                  <c:v>73951.06</c:v>
                </c:pt>
                <c:pt idx="327">
                  <c:v>39319.42</c:v>
                </c:pt>
                <c:pt idx="328">
                  <c:v>65503.1</c:v>
                </c:pt>
                <c:pt idx="329">
                  <c:v>88528.95</c:v>
                </c:pt>
                <c:pt idx="330">
                  <c:v>15173.38</c:v>
                </c:pt>
                <c:pt idx="331">
                  <c:v>56413.84</c:v>
                </c:pt>
                <c:pt idx="332">
                  <c:v>91962.03</c:v>
                </c:pt>
                <c:pt idx="333">
                  <c:v>99844.46</c:v>
                </c:pt>
                <c:pt idx="334">
                  <c:v>27991.119999999999</c:v>
                </c:pt>
                <c:pt idx="335">
                  <c:v>38554.46</c:v>
                </c:pt>
                <c:pt idx="336">
                  <c:v>39571.269999999997</c:v>
                </c:pt>
                <c:pt idx="337">
                  <c:v>88555.89</c:v>
                </c:pt>
                <c:pt idx="338">
                  <c:v>84008.85</c:v>
                </c:pt>
                <c:pt idx="339">
                  <c:v>73141.56</c:v>
                </c:pt>
                <c:pt idx="340">
                  <c:v>85075.29</c:v>
                </c:pt>
                <c:pt idx="341">
                  <c:v>82539.64</c:v>
                </c:pt>
                <c:pt idx="342">
                  <c:v>71144.490000000005</c:v>
                </c:pt>
                <c:pt idx="343">
                  <c:v>39237.56</c:v>
                </c:pt>
                <c:pt idx="344">
                  <c:v>29281.23</c:v>
                </c:pt>
                <c:pt idx="345">
                  <c:v>20975.22</c:v>
                </c:pt>
                <c:pt idx="346">
                  <c:v>27341.33</c:v>
                </c:pt>
                <c:pt idx="347">
                  <c:v>20681.57</c:v>
                </c:pt>
                <c:pt idx="348">
                  <c:v>4423.54</c:v>
                </c:pt>
                <c:pt idx="349">
                  <c:v>82080.789999999994</c:v>
                </c:pt>
                <c:pt idx="350">
                  <c:v>74527.16</c:v>
                </c:pt>
                <c:pt idx="351">
                  <c:v>79183.91</c:v>
                </c:pt>
                <c:pt idx="352">
                  <c:v>24107.03</c:v>
                </c:pt>
                <c:pt idx="353">
                  <c:v>24404.81</c:v>
                </c:pt>
                <c:pt idx="354">
                  <c:v>49459.42</c:v>
                </c:pt>
                <c:pt idx="355">
                  <c:v>26821.58</c:v>
                </c:pt>
                <c:pt idx="356">
                  <c:v>22237.97</c:v>
                </c:pt>
                <c:pt idx="357">
                  <c:v>50990.21</c:v>
                </c:pt>
                <c:pt idx="358">
                  <c:v>20044.75</c:v>
                </c:pt>
                <c:pt idx="359">
                  <c:v>59386.84</c:v>
                </c:pt>
                <c:pt idx="360">
                  <c:v>79219.360000000001</c:v>
                </c:pt>
                <c:pt idx="361">
                  <c:v>17378.310000000001</c:v>
                </c:pt>
                <c:pt idx="362">
                  <c:v>52975.3</c:v>
                </c:pt>
                <c:pt idx="363">
                  <c:v>65956.160000000003</c:v>
                </c:pt>
                <c:pt idx="364">
                  <c:v>59105.98</c:v>
                </c:pt>
                <c:pt idx="365">
                  <c:v>96562.93</c:v>
                </c:pt>
                <c:pt idx="366">
                  <c:v>70279.41</c:v>
                </c:pt>
                <c:pt idx="367">
                  <c:v>52708.12</c:v>
                </c:pt>
                <c:pt idx="368">
                  <c:v>96248.35</c:v>
                </c:pt>
                <c:pt idx="369">
                  <c:v>17298.97</c:v>
                </c:pt>
                <c:pt idx="370">
                  <c:v>70643.179999999993</c:v>
                </c:pt>
                <c:pt idx="371">
                  <c:v>12796.48</c:v>
                </c:pt>
                <c:pt idx="372">
                  <c:v>24137.200000000001</c:v>
                </c:pt>
                <c:pt idx="373">
                  <c:v>9382.36</c:v>
                </c:pt>
                <c:pt idx="374">
                  <c:v>69759.81</c:v>
                </c:pt>
                <c:pt idx="375">
                  <c:v>85776.71</c:v>
                </c:pt>
                <c:pt idx="376">
                  <c:v>40955.129999999997</c:v>
                </c:pt>
                <c:pt idx="377">
                  <c:v>5795.58</c:v>
                </c:pt>
                <c:pt idx="378">
                  <c:v>79795.63</c:v>
                </c:pt>
                <c:pt idx="379">
                  <c:v>36331.120000000003</c:v>
                </c:pt>
                <c:pt idx="380">
                  <c:v>20255.29</c:v>
                </c:pt>
                <c:pt idx="381">
                  <c:v>27628.31</c:v>
                </c:pt>
                <c:pt idx="382">
                  <c:v>63491.73</c:v>
                </c:pt>
                <c:pt idx="383">
                  <c:v>45473.04</c:v>
                </c:pt>
                <c:pt idx="384">
                  <c:v>63891.24</c:v>
                </c:pt>
                <c:pt idx="385">
                  <c:v>59476.32</c:v>
                </c:pt>
                <c:pt idx="386">
                  <c:v>39220</c:v>
                </c:pt>
                <c:pt idx="387">
                  <c:v>36850.050000000003</c:v>
                </c:pt>
                <c:pt idx="388">
                  <c:v>67102.39</c:v>
                </c:pt>
                <c:pt idx="389">
                  <c:v>39119.61</c:v>
                </c:pt>
                <c:pt idx="390">
                  <c:v>15326.38</c:v>
                </c:pt>
                <c:pt idx="391">
                  <c:v>69092.179999999993</c:v>
                </c:pt>
                <c:pt idx="392">
                  <c:v>79922.66</c:v>
                </c:pt>
                <c:pt idx="393">
                  <c:v>87359.06</c:v>
                </c:pt>
                <c:pt idx="394">
                  <c:v>32101.32</c:v>
                </c:pt>
                <c:pt idx="395">
                  <c:v>31057</c:v>
                </c:pt>
                <c:pt idx="396">
                  <c:v>51603.55</c:v>
                </c:pt>
                <c:pt idx="397">
                  <c:v>67974.38</c:v>
                </c:pt>
                <c:pt idx="398">
                  <c:v>99217.55</c:v>
                </c:pt>
                <c:pt idx="399">
                  <c:v>4300.99</c:v>
                </c:pt>
                <c:pt idx="400">
                  <c:v>23259.64</c:v>
                </c:pt>
                <c:pt idx="401">
                  <c:v>56164.160000000003</c:v>
                </c:pt>
                <c:pt idx="402">
                  <c:v>23223.45</c:v>
                </c:pt>
                <c:pt idx="403">
                  <c:v>85310.74</c:v>
                </c:pt>
                <c:pt idx="404">
                  <c:v>67500.38</c:v>
                </c:pt>
                <c:pt idx="405">
                  <c:v>6737.32</c:v>
                </c:pt>
                <c:pt idx="406">
                  <c:v>96393.09</c:v>
                </c:pt>
                <c:pt idx="407">
                  <c:v>20455.560000000001</c:v>
                </c:pt>
                <c:pt idx="408">
                  <c:v>9682.26</c:v>
                </c:pt>
                <c:pt idx="409">
                  <c:v>9153.18</c:v>
                </c:pt>
                <c:pt idx="410">
                  <c:v>34304.79</c:v>
                </c:pt>
                <c:pt idx="411">
                  <c:v>11748.81</c:v>
                </c:pt>
                <c:pt idx="412">
                  <c:v>23364.400000000001</c:v>
                </c:pt>
                <c:pt idx="413">
                  <c:v>77346.080000000002</c:v>
                </c:pt>
                <c:pt idx="414">
                  <c:v>30770.42</c:v>
                </c:pt>
                <c:pt idx="415">
                  <c:v>92615.49</c:v>
                </c:pt>
                <c:pt idx="416">
                  <c:v>34573.96</c:v>
                </c:pt>
                <c:pt idx="417">
                  <c:v>44574.53</c:v>
                </c:pt>
                <c:pt idx="418">
                  <c:v>68021.11</c:v>
                </c:pt>
                <c:pt idx="419">
                  <c:v>64463.48</c:v>
                </c:pt>
                <c:pt idx="420">
                  <c:v>84357.41</c:v>
                </c:pt>
                <c:pt idx="421">
                  <c:v>8100.14</c:v>
                </c:pt>
                <c:pt idx="422">
                  <c:v>19206.830000000002</c:v>
                </c:pt>
                <c:pt idx="423">
                  <c:v>31920.87</c:v>
                </c:pt>
                <c:pt idx="424">
                  <c:v>51400.77</c:v>
                </c:pt>
                <c:pt idx="425">
                  <c:v>31968.98</c:v>
                </c:pt>
                <c:pt idx="426">
                  <c:v>34655.93</c:v>
                </c:pt>
                <c:pt idx="427">
                  <c:v>9226.3700000000008</c:v>
                </c:pt>
                <c:pt idx="428">
                  <c:v>98115.71</c:v>
                </c:pt>
                <c:pt idx="429">
                  <c:v>4568.13</c:v>
                </c:pt>
                <c:pt idx="430">
                  <c:v>17963.29</c:v>
                </c:pt>
                <c:pt idx="431">
                  <c:v>3221.17</c:v>
                </c:pt>
                <c:pt idx="432">
                  <c:v>48198.62</c:v>
                </c:pt>
                <c:pt idx="433">
                  <c:v>10180.969999999999</c:v>
                </c:pt>
                <c:pt idx="434">
                  <c:v>57100.44</c:v>
                </c:pt>
                <c:pt idx="435">
                  <c:v>38278.410000000003</c:v>
                </c:pt>
                <c:pt idx="436">
                  <c:v>71952.03</c:v>
                </c:pt>
                <c:pt idx="437">
                  <c:v>66030.600000000006</c:v>
                </c:pt>
                <c:pt idx="438">
                  <c:v>1420.55</c:v>
                </c:pt>
                <c:pt idx="439">
                  <c:v>51055.18</c:v>
                </c:pt>
                <c:pt idx="440">
                  <c:v>86482.23</c:v>
                </c:pt>
                <c:pt idx="441">
                  <c:v>31952.36</c:v>
                </c:pt>
                <c:pt idx="442">
                  <c:v>72376.800000000003</c:v>
                </c:pt>
                <c:pt idx="443">
                  <c:v>27117.56</c:v>
                </c:pt>
                <c:pt idx="444">
                  <c:v>48291.19</c:v>
                </c:pt>
                <c:pt idx="445">
                  <c:v>5831.19</c:v>
                </c:pt>
                <c:pt idx="446">
                  <c:v>36278.300000000003</c:v>
                </c:pt>
                <c:pt idx="447">
                  <c:v>79200.53</c:v>
                </c:pt>
                <c:pt idx="448">
                  <c:v>80601.02</c:v>
                </c:pt>
                <c:pt idx="449">
                  <c:v>60696.11</c:v>
                </c:pt>
                <c:pt idx="450">
                  <c:v>79848.78</c:v>
                </c:pt>
                <c:pt idx="451">
                  <c:v>73769.350000000006</c:v>
                </c:pt>
                <c:pt idx="452">
                  <c:v>51310.73</c:v>
                </c:pt>
                <c:pt idx="453">
                  <c:v>541.48</c:v>
                </c:pt>
                <c:pt idx="454">
                  <c:v>22065.69</c:v>
                </c:pt>
                <c:pt idx="455">
                  <c:v>89357.38</c:v>
                </c:pt>
                <c:pt idx="456">
                  <c:v>77158.81</c:v>
                </c:pt>
                <c:pt idx="457">
                  <c:v>89538.72</c:v>
                </c:pt>
                <c:pt idx="458">
                  <c:v>82054.7</c:v>
                </c:pt>
                <c:pt idx="459">
                  <c:v>64328.480000000003</c:v>
                </c:pt>
                <c:pt idx="460">
                  <c:v>75589.350000000006</c:v>
                </c:pt>
                <c:pt idx="461">
                  <c:v>23450.76</c:v>
                </c:pt>
                <c:pt idx="462">
                  <c:v>73130.3</c:v>
                </c:pt>
                <c:pt idx="463">
                  <c:v>98444.97</c:v>
                </c:pt>
                <c:pt idx="464">
                  <c:v>50908.95</c:v>
                </c:pt>
                <c:pt idx="465">
                  <c:v>38484.22</c:v>
                </c:pt>
                <c:pt idx="466">
                  <c:v>8809.15</c:v>
                </c:pt>
                <c:pt idx="467">
                  <c:v>20372.91</c:v>
                </c:pt>
                <c:pt idx="468">
                  <c:v>25180.44</c:v>
                </c:pt>
                <c:pt idx="469">
                  <c:v>97061.11</c:v>
                </c:pt>
                <c:pt idx="470">
                  <c:v>5677.63</c:v>
                </c:pt>
                <c:pt idx="471">
                  <c:v>65718.61</c:v>
                </c:pt>
                <c:pt idx="472">
                  <c:v>47977.83</c:v>
                </c:pt>
                <c:pt idx="473">
                  <c:v>19139.060000000001</c:v>
                </c:pt>
                <c:pt idx="474">
                  <c:v>8413.35</c:v>
                </c:pt>
                <c:pt idx="475">
                  <c:v>26166.39</c:v>
                </c:pt>
                <c:pt idx="476">
                  <c:v>59175.23</c:v>
                </c:pt>
                <c:pt idx="477">
                  <c:v>40388.53</c:v>
                </c:pt>
                <c:pt idx="478">
                  <c:v>12925.25</c:v>
                </c:pt>
                <c:pt idx="479">
                  <c:v>62869.91</c:v>
                </c:pt>
                <c:pt idx="480">
                  <c:v>20293.580000000002</c:v>
                </c:pt>
                <c:pt idx="481">
                  <c:v>15011.92</c:v>
                </c:pt>
                <c:pt idx="482">
                  <c:v>46358.91</c:v>
                </c:pt>
                <c:pt idx="483">
                  <c:v>10604.13</c:v>
                </c:pt>
                <c:pt idx="484">
                  <c:v>41143.269999999997</c:v>
                </c:pt>
                <c:pt idx="485">
                  <c:v>64926.63</c:v>
                </c:pt>
                <c:pt idx="486">
                  <c:v>78920.78</c:v>
                </c:pt>
                <c:pt idx="487">
                  <c:v>24870.55</c:v>
                </c:pt>
                <c:pt idx="488">
                  <c:v>57132.21</c:v>
                </c:pt>
              </c:numCache>
            </c:numRef>
          </c:yVal>
          <c:smooth val="1"/>
          <c:extLst>
            <c:ext xmlns:c16="http://schemas.microsoft.com/office/drawing/2014/chart" uri="{C3380CC4-5D6E-409C-BE32-E72D297353CC}">
              <c16:uniqueId val="{00000000-90CC-B149-830E-C6332D62470B}"/>
            </c:ext>
          </c:extLst>
        </c:ser>
        <c:dLbls>
          <c:showLegendKey val="0"/>
          <c:showVal val="0"/>
          <c:showCatName val="0"/>
          <c:showSerName val="0"/>
          <c:showPercent val="0"/>
          <c:showBubbleSize val="0"/>
        </c:dLbls>
        <c:axId val="29461935"/>
        <c:axId val="24693676"/>
      </c:scatterChart>
      <c:valAx>
        <c:axId val="29461935"/>
        <c:scaling>
          <c:orientation val="minMax"/>
        </c:scaling>
        <c:delete val="0"/>
        <c:axPos val="b"/>
        <c:majorGridlines>
          <c:spPr>
            <a:ln w="9360">
              <a:solidFill>
                <a:srgbClr val="878787"/>
              </a:solidFill>
              <a:round/>
            </a:ln>
          </c:spPr>
        </c:majorGridlines>
        <c:title>
          <c:tx>
            <c:rich>
              <a:bodyPr rot="0"/>
              <a:lstStyle/>
              <a:p>
                <a:pPr>
                  <a:defRPr lang="es-CO" sz="1000" b="1" strike="noStrike" spc="-1">
                    <a:solidFill>
                      <a:srgbClr val="000000"/>
                    </a:solidFill>
                    <a:latin typeface="Calibri"/>
                  </a:defRPr>
                </a:pPr>
                <a:r>
                  <a:rPr lang="es-CO" sz="1000" b="1" strike="noStrike" spc="-1">
                    <a:solidFill>
                      <a:srgbClr val="000000"/>
                    </a:solidFill>
                    <a:latin typeface="Calibri"/>
                  </a:rPr>
                  <a:t>Clics</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CO"/>
          </a:p>
        </c:txPr>
        <c:crossAx val="24693676"/>
        <c:crosses val="autoZero"/>
        <c:crossBetween val="midCat"/>
      </c:valAx>
      <c:valAx>
        <c:axId val="24693676"/>
        <c:scaling>
          <c:orientation val="minMax"/>
        </c:scaling>
        <c:delete val="0"/>
        <c:axPos val="l"/>
        <c:title>
          <c:tx>
            <c:rich>
              <a:bodyPr rot="-5400000"/>
              <a:lstStyle/>
              <a:p>
                <a:pPr>
                  <a:defRPr lang="es-CO" sz="1000" b="1" strike="noStrike" spc="-1">
                    <a:solidFill>
                      <a:srgbClr val="000000"/>
                    </a:solidFill>
                    <a:latin typeface="Calibri"/>
                  </a:defRPr>
                </a:pPr>
                <a:r>
                  <a:rPr lang="es-CO" sz="1000" b="1" strike="noStrike" spc="-1">
                    <a:solidFill>
                      <a:srgbClr val="000000"/>
                    </a:solidFill>
                    <a:latin typeface="Calibri"/>
                  </a:rPr>
                  <a:t>Ingresos ($)</a:t>
                </a:r>
              </a:p>
            </c:rich>
          </c:tx>
          <c:overlay val="0"/>
          <c:spPr>
            <a:noFill/>
            <a:ln w="0">
              <a:noFill/>
            </a:ln>
          </c:spPr>
        </c:title>
        <c:numFmt formatCode="#,##0.0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CO"/>
          </a:p>
        </c:txPr>
        <c:crossAx val="29461935"/>
        <c:crosses val="autoZero"/>
        <c:crossBetween val="midCat"/>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El asunto explica el 47 % de la apertura; el tipo, la hora, el día y el mes, menos del 2 % cada uno</a:t>
            </a:r>
          </a:p>
        </c:rich>
      </c:tx>
      <c:overlay val="0"/>
      <c:spPr>
        <a:noFill/>
        <a:ln w="0">
          <a:noFill/>
        </a:ln>
      </c:spPr>
    </c:title>
    <c:autoTitleDeleted val="0"/>
    <c:plotArea>
      <c:layout/>
      <c:barChart>
        <c:barDir val="bar"/>
        <c:grouping val="clustered"/>
        <c:varyColors val="0"/>
        <c:ser>
          <c:idx val="0"/>
          <c:order val="0"/>
          <c:tx>
            <c:strRef>
              <c:f>'H3 ASUNTO'!$B$9</c:f>
              <c:strCache>
                <c:ptCount val="1"/>
                <c:pt idx="0">
                  <c:v>% que explica</c:v>
                </c:pt>
              </c:strCache>
            </c:strRef>
          </c:tx>
          <c:spPr>
            <a:solidFill>
              <a:srgbClr val="901C1A"/>
            </a:solidFill>
            <a:ln w="0">
              <a:solidFill>
                <a:srgbClr val="901C1A"/>
              </a:solidFill>
            </a:ln>
          </c:spPr>
          <c:invertIfNegative val="0"/>
          <c:dPt>
            <c:idx val="0"/>
            <c:invertIfNegative val="0"/>
            <c:bubble3D val="0"/>
            <c:spPr>
              <a:solidFill>
                <a:srgbClr val="D9534F"/>
              </a:solidFill>
              <a:ln w="0">
                <a:solidFill>
                  <a:srgbClr val="D9534F"/>
                </a:solidFill>
              </a:ln>
            </c:spPr>
            <c:extLst>
              <c:ext xmlns:c16="http://schemas.microsoft.com/office/drawing/2014/chart" uri="{C3380CC4-5D6E-409C-BE32-E72D297353CC}">
                <c16:uniqueId val="{00000001-3E90-374D-A154-28106283358E}"/>
              </c:ext>
            </c:extLst>
          </c:dPt>
          <c:dPt>
            <c:idx val="1"/>
            <c:invertIfNegative val="0"/>
            <c:bubble3D val="0"/>
            <c:spPr>
              <a:solidFill>
                <a:srgbClr val="C8C2BE"/>
              </a:solidFill>
              <a:ln w="0">
                <a:solidFill>
                  <a:srgbClr val="C8C2BE"/>
                </a:solidFill>
              </a:ln>
            </c:spPr>
            <c:extLst>
              <c:ext xmlns:c16="http://schemas.microsoft.com/office/drawing/2014/chart" uri="{C3380CC4-5D6E-409C-BE32-E72D297353CC}">
                <c16:uniqueId val="{00000003-3E90-374D-A154-28106283358E}"/>
              </c:ext>
            </c:extLst>
          </c:dPt>
          <c:dPt>
            <c:idx val="2"/>
            <c:invertIfNegative val="0"/>
            <c:bubble3D val="0"/>
            <c:spPr>
              <a:solidFill>
                <a:srgbClr val="C8C2BE"/>
              </a:solidFill>
              <a:ln w="0">
                <a:solidFill>
                  <a:srgbClr val="C8C2BE"/>
                </a:solidFill>
              </a:ln>
            </c:spPr>
            <c:extLst>
              <c:ext xmlns:c16="http://schemas.microsoft.com/office/drawing/2014/chart" uri="{C3380CC4-5D6E-409C-BE32-E72D297353CC}">
                <c16:uniqueId val="{00000005-3E90-374D-A154-28106283358E}"/>
              </c:ext>
            </c:extLst>
          </c:dPt>
          <c:dPt>
            <c:idx val="3"/>
            <c:invertIfNegative val="0"/>
            <c:bubble3D val="0"/>
            <c:spPr>
              <a:solidFill>
                <a:srgbClr val="C8C2BE"/>
              </a:solidFill>
              <a:ln w="0">
                <a:solidFill>
                  <a:srgbClr val="C8C2BE"/>
                </a:solidFill>
              </a:ln>
            </c:spPr>
            <c:extLst>
              <c:ext xmlns:c16="http://schemas.microsoft.com/office/drawing/2014/chart" uri="{C3380CC4-5D6E-409C-BE32-E72D297353CC}">
                <c16:uniqueId val="{00000007-3E90-374D-A154-28106283358E}"/>
              </c:ext>
            </c:extLst>
          </c:dPt>
          <c:dPt>
            <c:idx val="4"/>
            <c:invertIfNegative val="0"/>
            <c:bubble3D val="0"/>
            <c:spPr>
              <a:solidFill>
                <a:srgbClr val="C8C2BE"/>
              </a:solidFill>
              <a:ln w="0">
                <a:solidFill>
                  <a:srgbClr val="C8C2BE"/>
                </a:solidFill>
              </a:ln>
            </c:spPr>
            <c:extLst>
              <c:ext xmlns:c16="http://schemas.microsoft.com/office/drawing/2014/chart" uri="{C3380CC4-5D6E-409C-BE32-E72D297353CC}">
                <c16:uniqueId val="{00000009-3E90-374D-A154-28106283358E}"/>
              </c:ext>
            </c:extLst>
          </c:dPt>
          <c:dPt>
            <c:idx val="5"/>
            <c:invertIfNegative val="0"/>
            <c:bubble3D val="0"/>
            <c:spPr>
              <a:solidFill>
                <a:srgbClr val="C8C2BE"/>
              </a:solidFill>
              <a:ln w="0">
                <a:solidFill>
                  <a:srgbClr val="C8C2BE"/>
                </a:solidFill>
              </a:ln>
            </c:spPr>
            <c:extLst>
              <c:ext xmlns:c16="http://schemas.microsoft.com/office/drawing/2014/chart" uri="{C3380CC4-5D6E-409C-BE32-E72D297353CC}">
                <c16:uniqueId val="{0000000B-3E90-374D-A154-28106283358E}"/>
              </c:ext>
            </c:extLst>
          </c:dPt>
          <c:dLbls>
            <c:dLbl>
              <c:idx val="0"/>
              <c:spPr/>
              <c:txPr>
                <a:bodyPr wrap="square"/>
                <a:lstStyle/>
                <a:p>
                  <a:pPr>
                    <a:defRPr sz="1000" b="0" strike="noStrike" spc="-1">
                      <a:solidFill>
                        <a:srgbClr val="000000"/>
                      </a:solidFill>
                      <a:latin typeface="Calibri"/>
                    </a:defRPr>
                  </a:pPr>
                  <a:endParaRPr lang="en-CO"/>
                </a:p>
              </c:txPr>
              <c:dLblPos val="outEnd"/>
              <c:showLegendKey val="0"/>
              <c:showVal val="1"/>
              <c:showCatName val="0"/>
              <c:showSerName val="0"/>
              <c:showPercent val="0"/>
              <c:showBubbleSize val="1"/>
              <c:extLst>
                <c:ext xmlns:c16="http://schemas.microsoft.com/office/drawing/2014/chart" uri="{C3380CC4-5D6E-409C-BE32-E72D297353CC}">
                  <c16:uniqueId val="{00000001-3E90-374D-A154-28106283358E}"/>
                </c:ext>
              </c:extLst>
            </c:dLbl>
            <c:dLbl>
              <c:idx val="1"/>
              <c:spPr/>
              <c:txPr>
                <a:bodyPr wrap="square"/>
                <a:lstStyle/>
                <a:p>
                  <a:pPr>
                    <a:defRPr sz="1000" b="0" strike="noStrike" spc="-1">
                      <a:solidFill>
                        <a:srgbClr val="000000"/>
                      </a:solidFill>
                      <a:latin typeface="Calibri"/>
                    </a:defRPr>
                  </a:pPr>
                  <a:endParaRPr lang="en-CO"/>
                </a:p>
              </c:txPr>
              <c:dLblPos val="outEnd"/>
              <c:showLegendKey val="0"/>
              <c:showVal val="1"/>
              <c:showCatName val="0"/>
              <c:showSerName val="0"/>
              <c:showPercent val="0"/>
              <c:showBubbleSize val="1"/>
              <c:extLst>
                <c:ext xmlns:c16="http://schemas.microsoft.com/office/drawing/2014/chart" uri="{C3380CC4-5D6E-409C-BE32-E72D297353CC}">
                  <c16:uniqueId val="{00000003-3E90-374D-A154-28106283358E}"/>
                </c:ext>
              </c:extLst>
            </c:dLbl>
            <c:dLbl>
              <c:idx val="2"/>
              <c:spPr/>
              <c:txPr>
                <a:bodyPr wrap="square"/>
                <a:lstStyle/>
                <a:p>
                  <a:pPr>
                    <a:defRPr sz="1000" b="0" strike="noStrike" spc="-1">
                      <a:solidFill>
                        <a:srgbClr val="000000"/>
                      </a:solidFill>
                      <a:latin typeface="Calibri"/>
                    </a:defRPr>
                  </a:pPr>
                  <a:endParaRPr lang="en-CO"/>
                </a:p>
              </c:txPr>
              <c:dLblPos val="outEnd"/>
              <c:showLegendKey val="0"/>
              <c:showVal val="1"/>
              <c:showCatName val="0"/>
              <c:showSerName val="0"/>
              <c:showPercent val="0"/>
              <c:showBubbleSize val="1"/>
              <c:extLst>
                <c:ext xmlns:c16="http://schemas.microsoft.com/office/drawing/2014/chart" uri="{C3380CC4-5D6E-409C-BE32-E72D297353CC}">
                  <c16:uniqueId val="{00000005-3E90-374D-A154-28106283358E}"/>
                </c:ext>
              </c:extLst>
            </c:dLbl>
            <c:dLbl>
              <c:idx val="3"/>
              <c:spPr/>
              <c:txPr>
                <a:bodyPr wrap="square"/>
                <a:lstStyle/>
                <a:p>
                  <a:pPr>
                    <a:defRPr sz="1000" b="0" strike="noStrike" spc="-1">
                      <a:solidFill>
                        <a:srgbClr val="000000"/>
                      </a:solidFill>
                      <a:latin typeface="Calibri"/>
                    </a:defRPr>
                  </a:pPr>
                  <a:endParaRPr lang="en-CO"/>
                </a:p>
              </c:txPr>
              <c:dLblPos val="outEnd"/>
              <c:showLegendKey val="0"/>
              <c:showVal val="1"/>
              <c:showCatName val="0"/>
              <c:showSerName val="0"/>
              <c:showPercent val="0"/>
              <c:showBubbleSize val="1"/>
              <c:extLst>
                <c:ext xmlns:c16="http://schemas.microsoft.com/office/drawing/2014/chart" uri="{C3380CC4-5D6E-409C-BE32-E72D297353CC}">
                  <c16:uniqueId val="{00000007-3E90-374D-A154-28106283358E}"/>
                </c:ext>
              </c:extLst>
            </c:dLbl>
            <c:dLbl>
              <c:idx val="4"/>
              <c:spPr/>
              <c:txPr>
                <a:bodyPr wrap="square"/>
                <a:lstStyle/>
                <a:p>
                  <a:pPr>
                    <a:defRPr sz="1000" b="0" strike="noStrike" spc="-1">
                      <a:solidFill>
                        <a:srgbClr val="000000"/>
                      </a:solidFill>
                      <a:latin typeface="Calibri"/>
                    </a:defRPr>
                  </a:pPr>
                  <a:endParaRPr lang="en-CO"/>
                </a:p>
              </c:txPr>
              <c:dLblPos val="outEnd"/>
              <c:showLegendKey val="0"/>
              <c:showVal val="1"/>
              <c:showCatName val="0"/>
              <c:showSerName val="0"/>
              <c:showPercent val="0"/>
              <c:showBubbleSize val="1"/>
              <c:extLst>
                <c:ext xmlns:c16="http://schemas.microsoft.com/office/drawing/2014/chart" uri="{C3380CC4-5D6E-409C-BE32-E72D297353CC}">
                  <c16:uniqueId val="{00000009-3E90-374D-A154-28106283358E}"/>
                </c:ext>
              </c:extLst>
            </c:dLbl>
            <c:dLbl>
              <c:idx val="5"/>
              <c:spPr/>
              <c:txPr>
                <a:bodyPr wrap="square"/>
                <a:lstStyle/>
                <a:p>
                  <a:pPr>
                    <a:defRPr sz="1000" b="0" strike="noStrike" spc="-1">
                      <a:solidFill>
                        <a:srgbClr val="000000"/>
                      </a:solidFill>
                      <a:latin typeface="Calibri"/>
                    </a:defRPr>
                  </a:pPr>
                  <a:endParaRPr lang="en-CO"/>
                </a:p>
              </c:txPr>
              <c:dLblPos val="outEnd"/>
              <c:showLegendKey val="0"/>
              <c:showVal val="1"/>
              <c:showCatName val="0"/>
              <c:showSerName val="0"/>
              <c:showPercent val="0"/>
              <c:showBubbleSize val="1"/>
              <c:extLst>
                <c:ext xmlns:c16="http://schemas.microsoft.com/office/drawing/2014/chart" uri="{C3380CC4-5D6E-409C-BE32-E72D297353CC}">
                  <c16:uniqueId val="{0000000B-3E90-374D-A154-28106283358E}"/>
                </c:ext>
              </c:extLst>
            </c:dLbl>
            <c:spPr>
              <a:noFill/>
              <a:ln>
                <a:noFill/>
              </a:ln>
              <a:effectLst/>
            </c:spPr>
            <c:txPr>
              <a:bodyPr wrap="square"/>
              <a:lstStyle/>
              <a:p>
                <a:pPr>
                  <a:defRPr sz="1000" b="0" strike="noStrike" spc="-1">
                    <a:solidFill>
                      <a:srgbClr val="000000"/>
                    </a:solidFill>
                    <a:latin typeface="Calibri"/>
                  </a:defRPr>
                </a:pPr>
                <a:endParaRPr lang="en-CO"/>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'H3 ASUNTO'!$A$10:$A$15</c:f>
              <c:strCache>
                <c:ptCount val="6"/>
                <c:pt idx="0">
                  <c:v>El asunto</c:v>
                </c:pt>
                <c:pt idx="1">
                  <c:v>El tipo de campaña</c:v>
                </c:pt>
                <c:pt idx="2">
                  <c:v>La hora</c:v>
                </c:pt>
                <c:pt idx="3">
                  <c:v>El día de la semana</c:v>
                </c:pt>
                <c:pt idx="4">
                  <c:v>El mes</c:v>
                </c:pt>
                <c:pt idx="5">
                  <c:v>El momento del mes</c:v>
                </c:pt>
              </c:strCache>
            </c:strRef>
          </c:cat>
          <c:val>
            <c:numRef>
              <c:f>'H3 ASUNTO'!$B$10:$B$15</c:f>
              <c:numCache>
                <c:formatCode>0.0</c:formatCode>
                <c:ptCount val="6"/>
                <c:pt idx="0">
                  <c:v>47.41037221266307</c:v>
                </c:pt>
                <c:pt idx="1">
                  <c:v>1.3828802115824816</c:v>
                </c:pt>
                <c:pt idx="2">
                  <c:v>1.0467797552456561</c:v>
                </c:pt>
                <c:pt idx="3">
                  <c:v>0.52913857855511603</c:v>
                </c:pt>
                <c:pt idx="4">
                  <c:v>9.4078929895030472E-2</c:v>
                </c:pt>
                <c:pt idx="5">
                  <c:v>0.17975665331537036</c:v>
                </c:pt>
              </c:numCache>
            </c:numRef>
          </c:val>
          <c:extLst>
            <c:ext xmlns:c16="http://schemas.microsoft.com/office/drawing/2014/chart" uri="{C3380CC4-5D6E-409C-BE32-E72D297353CC}">
              <c16:uniqueId val="{0000000C-3E90-374D-A154-28106283358E}"/>
            </c:ext>
          </c:extLst>
        </c:ser>
        <c:dLbls>
          <c:showLegendKey val="0"/>
          <c:showVal val="0"/>
          <c:showCatName val="0"/>
          <c:showSerName val="0"/>
          <c:showPercent val="0"/>
          <c:showBubbleSize val="0"/>
        </c:dLbls>
        <c:gapWidth val="60"/>
        <c:axId val="7411970"/>
        <c:axId val="14648086"/>
      </c:barChart>
      <c:catAx>
        <c:axId val="7411970"/>
        <c:scaling>
          <c:orientation val="maxMin"/>
        </c:scaling>
        <c:delete val="0"/>
        <c:axPos val="l"/>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CO"/>
          </a:p>
        </c:txPr>
        <c:crossAx val="14648086"/>
        <c:crosses val="autoZero"/>
        <c:auto val="1"/>
        <c:lblAlgn val="ctr"/>
        <c:lblOffset val="100"/>
        <c:noMultiLvlLbl val="0"/>
      </c:catAx>
      <c:valAx>
        <c:axId val="14648086"/>
        <c:scaling>
          <c:orientation val="minMax"/>
        </c:scaling>
        <c:delete val="1"/>
        <c:axPos val="t"/>
        <c:numFmt formatCode="0.0" sourceLinked="1"/>
        <c:majorTickMark val="none"/>
        <c:minorTickMark val="none"/>
        <c:tickLblPos val="nextTo"/>
        <c:crossAx val="7411970"/>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En las tres pruebas, los asuntos que ganaban abrieron unos 39 % y los que perdían entre 16 % y 21 %</a:t>
            </a:r>
          </a:p>
        </c:rich>
      </c:tx>
      <c:overlay val="0"/>
      <c:spPr>
        <a:noFill/>
        <a:ln w="0">
          <a:noFill/>
        </a:ln>
      </c:spPr>
    </c:title>
    <c:autoTitleDeleted val="0"/>
    <c:plotArea>
      <c:layout/>
      <c:barChart>
        <c:barDir val="col"/>
        <c:grouping val="clustered"/>
        <c:varyColors val="0"/>
        <c:ser>
          <c:idx val="0"/>
          <c:order val="0"/>
          <c:tx>
            <c:strRef>
              <c:f>'H3 ASUNTO'!$B$33</c:f>
              <c:strCache>
                <c:ptCount val="1"/>
                <c:pt idx="0">
                  <c:v>Los 5 que ganaban</c:v>
                </c:pt>
              </c:strCache>
            </c:strRef>
          </c:tx>
          <c:spPr>
            <a:solidFill>
              <a:srgbClr val="901C1A"/>
            </a:solidFill>
            <a:ln w="0">
              <a:solidFill>
                <a:srgbClr val="901C1A"/>
              </a:solidFill>
            </a:ln>
          </c:spPr>
          <c:invertIfNegative val="0"/>
          <c:dLbls>
            <c:spPr>
              <a:noFill/>
              <a:ln>
                <a:noFill/>
              </a:ln>
              <a:effectLst/>
            </c:spPr>
            <c:txPr>
              <a:bodyPr wrap="square"/>
              <a:lstStyle/>
              <a:p>
                <a:pPr>
                  <a:defRPr sz="1000" b="0" strike="noStrike" spc="-1">
                    <a:solidFill>
                      <a:srgbClr val="000000"/>
                    </a:solidFill>
                    <a:latin typeface="Calibri"/>
                  </a:defRPr>
                </a:pPr>
                <a:endParaRPr lang="en-CO"/>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'H3 ASUNTO'!$A$34:$A$36</c:f>
              <c:strCache>
                <c:ptCount val="3"/>
                <c:pt idx="0">
                  <c:v>Prueba en agosto</c:v>
                </c:pt>
                <c:pt idx="1">
                  <c:v>Prueba en septiembre</c:v>
                </c:pt>
                <c:pt idx="2">
                  <c:v>Prueba en octubre</c:v>
                </c:pt>
              </c:strCache>
            </c:strRef>
          </c:cat>
          <c:val>
            <c:numRef>
              <c:f>'H3 ASUNTO'!$B$34:$B$36</c:f>
              <c:numCache>
                <c:formatCode>0.0</c:formatCode>
                <c:ptCount val="3"/>
                <c:pt idx="0">
                  <c:v>39.033106879410646</c:v>
                </c:pt>
                <c:pt idx="1">
                  <c:v>38.936538712598711</c:v>
                </c:pt>
                <c:pt idx="2">
                  <c:v>39.550180419753673</c:v>
                </c:pt>
              </c:numCache>
            </c:numRef>
          </c:val>
          <c:extLst>
            <c:ext xmlns:c16="http://schemas.microsoft.com/office/drawing/2014/chart" uri="{C3380CC4-5D6E-409C-BE32-E72D297353CC}">
              <c16:uniqueId val="{00000000-F8A2-9E46-929E-198D2F0D54DD}"/>
            </c:ext>
          </c:extLst>
        </c:ser>
        <c:ser>
          <c:idx val="1"/>
          <c:order val="1"/>
          <c:tx>
            <c:strRef>
              <c:f>'H3 ASUNTO'!$C$33</c:f>
              <c:strCache>
                <c:ptCount val="1"/>
                <c:pt idx="0">
                  <c:v>Los 5 que perdían</c:v>
                </c:pt>
              </c:strCache>
            </c:strRef>
          </c:tx>
          <c:spPr>
            <a:solidFill>
              <a:srgbClr val="000000"/>
            </a:solidFill>
            <a:ln w="0">
              <a:solidFill>
                <a:srgbClr val="000000"/>
              </a:solidFill>
            </a:ln>
          </c:spPr>
          <c:invertIfNegative val="0"/>
          <c:dLbls>
            <c:spPr>
              <a:noFill/>
              <a:ln>
                <a:noFill/>
              </a:ln>
              <a:effectLst/>
            </c:spPr>
            <c:txPr>
              <a:bodyPr wrap="square"/>
              <a:lstStyle/>
              <a:p>
                <a:pPr>
                  <a:defRPr sz="1000" b="0" strike="noStrike" spc="-1">
                    <a:solidFill>
                      <a:srgbClr val="000000"/>
                    </a:solidFill>
                    <a:latin typeface="Calibri"/>
                  </a:defRPr>
                </a:pPr>
                <a:endParaRPr lang="en-CO"/>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'H3 ASUNTO'!$A$34:$A$36</c:f>
              <c:strCache>
                <c:ptCount val="3"/>
                <c:pt idx="0">
                  <c:v>Prueba en agosto</c:v>
                </c:pt>
                <c:pt idx="1">
                  <c:v>Prueba en septiembre</c:v>
                </c:pt>
                <c:pt idx="2">
                  <c:v>Prueba en octubre</c:v>
                </c:pt>
              </c:strCache>
            </c:strRef>
          </c:cat>
          <c:val>
            <c:numRef>
              <c:f>'H3 ASUNTO'!$C$34:$C$36</c:f>
              <c:numCache>
                <c:formatCode>0.0</c:formatCode>
                <c:ptCount val="3"/>
                <c:pt idx="0">
                  <c:v>20.596390593465472</c:v>
                </c:pt>
                <c:pt idx="1">
                  <c:v>16.313814163332356</c:v>
                </c:pt>
                <c:pt idx="2">
                  <c:v>16.525879046600455</c:v>
                </c:pt>
              </c:numCache>
            </c:numRef>
          </c:val>
          <c:extLst>
            <c:ext xmlns:c16="http://schemas.microsoft.com/office/drawing/2014/chart" uri="{C3380CC4-5D6E-409C-BE32-E72D297353CC}">
              <c16:uniqueId val="{00000001-F8A2-9E46-929E-198D2F0D54DD}"/>
            </c:ext>
          </c:extLst>
        </c:ser>
        <c:dLbls>
          <c:showLegendKey val="0"/>
          <c:showVal val="0"/>
          <c:showCatName val="0"/>
          <c:showSerName val="0"/>
          <c:showPercent val="0"/>
          <c:showBubbleSize val="0"/>
        </c:dLbls>
        <c:gapWidth val="60"/>
        <c:axId val="50621236"/>
        <c:axId val="50167589"/>
      </c:barChart>
      <c:catAx>
        <c:axId val="50621236"/>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CO"/>
          </a:p>
        </c:txPr>
        <c:crossAx val="50167589"/>
        <c:crosses val="autoZero"/>
        <c:auto val="1"/>
        <c:lblAlgn val="ctr"/>
        <c:lblOffset val="100"/>
        <c:noMultiLvlLbl val="0"/>
      </c:catAx>
      <c:valAx>
        <c:axId val="50167589"/>
        <c:scaling>
          <c:orientation val="minMax"/>
          <c:max val="50"/>
          <c:min val="0"/>
        </c:scaling>
        <c:delete val="1"/>
        <c:axPos val="l"/>
        <c:numFmt formatCode="0.0" sourceLinked="1"/>
        <c:majorTickMark val="none"/>
        <c:minorTickMark val="none"/>
        <c:tickLblPos val="nextTo"/>
        <c:crossAx val="50621236"/>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CO"/>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El asunto con cifra abre 41,6 %; el de solo urgencia 21,3 % y la pregunta abierta 15,9 %</a:t>
            </a:r>
          </a:p>
        </c:rich>
      </c:tx>
      <c:overlay val="0"/>
      <c:spPr>
        <a:noFill/>
        <a:ln w="0">
          <a:noFill/>
        </a:ln>
      </c:spPr>
    </c:title>
    <c:autoTitleDeleted val="0"/>
    <c:plotArea>
      <c:layout/>
      <c:barChart>
        <c:barDir val="col"/>
        <c:grouping val="clustered"/>
        <c:varyColors val="0"/>
        <c:ser>
          <c:idx val="0"/>
          <c:order val="0"/>
          <c:tx>
            <c:strRef>
              <c:f>'H3 ASUNTO'!$C$57</c:f>
              <c:strCache>
                <c:ptCount val="1"/>
                <c:pt idx="0">
                  <c:v>Apertura (%)</c:v>
                </c:pt>
              </c:strCache>
            </c:strRef>
          </c:tx>
          <c:spPr>
            <a:solidFill>
              <a:srgbClr val="901C1A"/>
            </a:solidFill>
            <a:ln w="0">
              <a:solidFill>
                <a:srgbClr val="901C1A"/>
              </a:solidFill>
            </a:ln>
          </c:spPr>
          <c:invertIfNegative val="0"/>
          <c:dLbls>
            <c:spPr>
              <a:noFill/>
              <a:ln>
                <a:noFill/>
              </a:ln>
              <a:effectLst/>
            </c:spPr>
            <c:txPr>
              <a:bodyPr wrap="square"/>
              <a:lstStyle/>
              <a:p>
                <a:pPr>
                  <a:defRPr sz="1000" b="0" strike="noStrike" spc="-1">
                    <a:solidFill>
                      <a:srgbClr val="000000"/>
                    </a:solidFill>
                    <a:latin typeface="Calibri"/>
                  </a:defRPr>
                </a:pPr>
                <a:endParaRPr lang="en-CO"/>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'H3 ASUNTO'!$A$58:$A$62</c:f>
              <c:strCache>
                <c:ptCount val="5"/>
                <c:pt idx="0">
                  <c:v>Con cifra concreta</c:v>
                </c:pt>
                <c:pt idx="1">
                  <c:v>Recompensa o sorpresa</c:v>
                </c:pt>
                <c:pt idx="2">
                  <c:v>Otro: beneficio o novedad</c:v>
                </c:pt>
                <c:pt idx="3">
                  <c:v>Solo urgencia, sin cifra</c:v>
                </c:pt>
                <c:pt idx="4">
                  <c:v>Pregunta abierta</c:v>
                </c:pt>
              </c:strCache>
            </c:strRef>
          </c:cat>
          <c:val>
            <c:numRef>
              <c:f>'H3 ASUNTO'!$C$58:$C$62</c:f>
              <c:numCache>
                <c:formatCode>0.0</c:formatCode>
                <c:ptCount val="5"/>
                <c:pt idx="0">
                  <c:v>41.593592985418489</c:v>
                </c:pt>
                <c:pt idx="1">
                  <c:v>29.134330954436024</c:v>
                </c:pt>
                <c:pt idx="2">
                  <c:v>30.545097730144708</c:v>
                </c:pt>
                <c:pt idx="3">
                  <c:v>21.257415548708167</c:v>
                </c:pt>
                <c:pt idx="4">
                  <c:v>15.908213539730554</c:v>
                </c:pt>
              </c:numCache>
            </c:numRef>
          </c:val>
          <c:extLst>
            <c:ext xmlns:c16="http://schemas.microsoft.com/office/drawing/2014/chart" uri="{C3380CC4-5D6E-409C-BE32-E72D297353CC}">
              <c16:uniqueId val="{00000000-8865-9B4B-919A-180DBC4E4E4D}"/>
            </c:ext>
          </c:extLst>
        </c:ser>
        <c:ser>
          <c:idx val="1"/>
          <c:order val="1"/>
          <c:tx>
            <c:strRef>
              <c:f>'H3 ASUNTO'!$D$57</c:f>
              <c:strCache>
                <c:ptCount val="1"/>
                <c:pt idx="0">
                  <c:v>CTR (%)</c:v>
                </c:pt>
              </c:strCache>
            </c:strRef>
          </c:tx>
          <c:spPr>
            <a:solidFill>
              <a:srgbClr val="000000"/>
            </a:solidFill>
            <a:ln w="0">
              <a:solidFill>
                <a:srgbClr val="000000"/>
              </a:solidFill>
            </a:ln>
          </c:spPr>
          <c:invertIfNegative val="0"/>
          <c:dLbls>
            <c:spPr>
              <a:noFill/>
              <a:ln>
                <a:noFill/>
              </a:ln>
              <a:effectLst/>
            </c:spPr>
            <c:txPr>
              <a:bodyPr wrap="square"/>
              <a:lstStyle/>
              <a:p>
                <a:pPr>
                  <a:defRPr sz="1000" b="0" strike="noStrike" spc="-1">
                    <a:solidFill>
                      <a:srgbClr val="000000"/>
                    </a:solidFill>
                    <a:latin typeface="Calibri"/>
                  </a:defRPr>
                </a:pPr>
                <a:endParaRPr lang="en-CO"/>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'H3 ASUNTO'!$A$58:$A$62</c:f>
              <c:strCache>
                <c:ptCount val="5"/>
                <c:pt idx="0">
                  <c:v>Con cifra concreta</c:v>
                </c:pt>
                <c:pt idx="1">
                  <c:v>Recompensa o sorpresa</c:v>
                </c:pt>
                <c:pt idx="2">
                  <c:v>Otro: beneficio o novedad</c:v>
                </c:pt>
                <c:pt idx="3">
                  <c:v>Solo urgencia, sin cifra</c:v>
                </c:pt>
                <c:pt idx="4">
                  <c:v>Pregunta abierta</c:v>
                </c:pt>
              </c:strCache>
            </c:strRef>
          </c:cat>
          <c:val>
            <c:numRef>
              <c:f>'H3 ASUNTO'!$D$58:$D$62</c:f>
              <c:numCache>
                <c:formatCode>0.0</c:formatCode>
                <c:ptCount val="5"/>
                <c:pt idx="0">
                  <c:v>10.640007862164545</c:v>
                </c:pt>
                <c:pt idx="1">
                  <c:v>9.5944866979263121</c:v>
                </c:pt>
                <c:pt idx="2">
                  <c:v>10.270903140702199</c:v>
                </c:pt>
                <c:pt idx="3">
                  <c:v>8.0652296890237913</c:v>
                </c:pt>
                <c:pt idx="4">
                  <c:v>8.08965498759658</c:v>
                </c:pt>
              </c:numCache>
            </c:numRef>
          </c:val>
          <c:extLst>
            <c:ext xmlns:c16="http://schemas.microsoft.com/office/drawing/2014/chart" uri="{C3380CC4-5D6E-409C-BE32-E72D297353CC}">
              <c16:uniqueId val="{00000001-8865-9B4B-919A-180DBC4E4E4D}"/>
            </c:ext>
          </c:extLst>
        </c:ser>
        <c:dLbls>
          <c:showLegendKey val="0"/>
          <c:showVal val="0"/>
          <c:showCatName val="0"/>
          <c:showSerName val="0"/>
          <c:showPercent val="0"/>
          <c:showBubbleSize val="0"/>
        </c:dLbls>
        <c:gapWidth val="60"/>
        <c:axId val="6980884"/>
        <c:axId val="98949960"/>
      </c:barChart>
      <c:catAx>
        <c:axId val="6980884"/>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CO"/>
          </a:p>
        </c:txPr>
        <c:crossAx val="98949960"/>
        <c:crosses val="autoZero"/>
        <c:auto val="1"/>
        <c:lblAlgn val="ctr"/>
        <c:lblOffset val="100"/>
        <c:noMultiLvlLbl val="0"/>
      </c:catAx>
      <c:valAx>
        <c:axId val="98949960"/>
        <c:scaling>
          <c:orientation val="minMax"/>
          <c:max val="50"/>
          <c:min val="0"/>
        </c:scaling>
        <c:delete val="1"/>
        <c:axPos val="l"/>
        <c:numFmt formatCode="0.0" sourceLinked="1"/>
        <c:majorTickMark val="none"/>
        <c:minorTickMark val="none"/>
        <c:tickLblPos val="nextTo"/>
        <c:crossAx val="6980884"/>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CO"/>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Empezar el asunto con una etiqueta resta entre 10 y 17 puntos de apertura, en los tres meses</a:t>
            </a:r>
          </a:p>
        </c:rich>
      </c:tx>
      <c:overlay val="0"/>
      <c:spPr>
        <a:noFill/>
        <a:ln w="0">
          <a:noFill/>
        </a:ln>
      </c:spPr>
    </c:title>
    <c:autoTitleDeleted val="0"/>
    <c:plotArea>
      <c:layout/>
      <c:barChart>
        <c:barDir val="col"/>
        <c:grouping val="clustered"/>
        <c:varyColors val="0"/>
        <c:ser>
          <c:idx val="0"/>
          <c:order val="0"/>
          <c:tx>
            <c:strRef>
              <c:f>'H3 ASUNTO'!$B$81</c:f>
              <c:strCache>
                <c:ptCount val="1"/>
                <c:pt idx="0">
                  <c:v>Dice qué recibes</c:v>
                </c:pt>
              </c:strCache>
            </c:strRef>
          </c:tx>
          <c:spPr>
            <a:solidFill>
              <a:srgbClr val="901C1A"/>
            </a:solidFill>
            <a:ln w="0">
              <a:solidFill>
                <a:srgbClr val="901C1A"/>
              </a:solidFill>
            </a:ln>
          </c:spPr>
          <c:invertIfNegative val="0"/>
          <c:dLbls>
            <c:spPr>
              <a:noFill/>
              <a:ln>
                <a:noFill/>
              </a:ln>
              <a:effectLst/>
            </c:spPr>
            <c:txPr>
              <a:bodyPr wrap="square"/>
              <a:lstStyle/>
              <a:p>
                <a:pPr>
                  <a:defRPr sz="1000" b="0" strike="noStrike" spc="-1">
                    <a:solidFill>
                      <a:srgbClr val="000000"/>
                    </a:solidFill>
                    <a:latin typeface="Calibri"/>
                  </a:defRPr>
                </a:pPr>
                <a:endParaRPr lang="en-CO"/>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'H3 ASUNTO'!$A$82:$A$84</c:f>
              <c:strCache>
                <c:ptCount val="3"/>
                <c:pt idx="0">
                  <c:v>Agosto</c:v>
                </c:pt>
                <c:pt idx="1">
                  <c:v>Septiembre</c:v>
                </c:pt>
                <c:pt idx="2">
                  <c:v>Octubre</c:v>
                </c:pt>
              </c:strCache>
            </c:strRef>
          </c:cat>
          <c:val>
            <c:numRef>
              <c:f>'H3 ASUNTO'!$B$82:$B$84</c:f>
              <c:numCache>
                <c:formatCode>0.0</c:formatCode>
                <c:ptCount val="3"/>
                <c:pt idx="0">
                  <c:v>32.555381701825404</c:v>
                </c:pt>
                <c:pt idx="1">
                  <c:v>32.878149610269382</c:v>
                </c:pt>
                <c:pt idx="2">
                  <c:v>33.164493821488726</c:v>
                </c:pt>
              </c:numCache>
            </c:numRef>
          </c:val>
          <c:extLst>
            <c:ext xmlns:c16="http://schemas.microsoft.com/office/drawing/2014/chart" uri="{C3380CC4-5D6E-409C-BE32-E72D297353CC}">
              <c16:uniqueId val="{00000000-1D09-E744-BC36-B194E5192BE8}"/>
            </c:ext>
          </c:extLst>
        </c:ser>
        <c:ser>
          <c:idx val="1"/>
          <c:order val="1"/>
          <c:tx>
            <c:strRef>
              <c:f>'H3 ASUNTO'!$C$81</c:f>
              <c:strCache>
                <c:ptCount val="1"/>
                <c:pt idx="0">
                  <c:v>Empieza con etiqueta</c:v>
                </c:pt>
              </c:strCache>
            </c:strRef>
          </c:tx>
          <c:spPr>
            <a:solidFill>
              <a:srgbClr val="8C8C8C"/>
            </a:solidFill>
            <a:ln w="0">
              <a:solidFill>
                <a:srgbClr val="8C8C8C"/>
              </a:solidFill>
            </a:ln>
          </c:spPr>
          <c:invertIfNegative val="0"/>
          <c:dLbls>
            <c:spPr>
              <a:noFill/>
              <a:ln>
                <a:noFill/>
              </a:ln>
              <a:effectLst/>
            </c:spPr>
            <c:txPr>
              <a:bodyPr wrap="square"/>
              <a:lstStyle/>
              <a:p>
                <a:pPr>
                  <a:defRPr sz="1000" b="0" strike="noStrike" spc="-1">
                    <a:solidFill>
                      <a:srgbClr val="000000"/>
                    </a:solidFill>
                    <a:latin typeface="Calibri"/>
                  </a:defRPr>
                </a:pPr>
                <a:endParaRPr lang="en-CO"/>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'H3 ASUNTO'!$A$82:$A$84</c:f>
              <c:strCache>
                <c:ptCount val="3"/>
                <c:pt idx="0">
                  <c:v>Agosto</c:v>
                </c:pt>
                <c:pt idx="1">
                  <c:v>Septiembre</c:v>
                </c:pt>
                <c:pt idx="2">
                  <c:v>Octubre</c:v>
                </c:pt>
              </c:strCache>
            </c:strRef>
          </c:cat>
          <c:val>
            <c:numRef>
              <c:f>'H3 ASUNTO'!$C$82:$C$84</c:f>
              <c:numCache>
                <c:formatCode>0.0</c:formatCode>
                <c:ptCount val="3"/>
                <c:pt idx="0">
                  <c:v>22.687529323820609</c:v>
                </c:pt>
                <c:pt idx="1">
                  <c:v>16.127339318316405</c:v>
                </c:pt>
                <c:pt idx="2">
                  <c:v>19.532131265132833</c:v>
                </c:pt>
              </c:numCache>
            </c:numRef>
          </c:val>
          <c:extLst>
            <c:ext xmlns:c16="http://schemas.microsoft.com/office/drawing/2014/chart" uri="{C3380CC4-5D6E-409C-BE32-E72D297353CC}">
              <c16:uniqueId val="{00000001-1D09-E744-BC36-B194E5192BE8}"/>
            </c:ext>
          </c:extLst>
        </c:ser>
        <c:dLbls>
          <c:showLegendKey val="0"/>
          <c:showVal val="0"/>
          <c:showCatName val="0"/>
          <c:showSerName val="0"/>
          <c:showPercent val="0"/>
          <c:showBubbleSize val="0"/>
        </c:dLbls>
        <c:gapWidth val="60"/>
        <c:axId val="60757274"/>
        <c:axId val="23900739"/>
      </c:barChart>
      <c:catAx>
        <c:axId val="60757274"/>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CO"/>
          </a:p>
        </c:txPr>
        <c:crossAx val="23900739"/>
        <c:crosses val="autoZero"/>
        <c:auto val="1"/>
        <c:lblAlgn val="ctr"/>
        <c:lblOffset val="100"/>
        <c:noMultiLvlLbl val="0"/>
      </c:catAx>
      <c:valAx>
        <c:axId val="23900739"/>
        <c:scaling>
          <c:orientation val="minMax"/>
          <c:max val="50"/>
          <c:min val="0"/>
        </c:scaling>
        <c:delete val="1"/>
        <c:axPos val="l"/>
        <c:numFmt formatCode="0.0" sourceLinked="1"/>
        <c:majorTickMark val="none"/>
        <c:minorTickMark val="none"/>
        <c:tickLblPos val="nextTo"/>
        <c:crossAx val="60757274"/>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CO"/>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Un preheader vago abre 19,4 % contra 30,6 % de uno que dice qué hay adentro</a:t>
            </a:r>
          </a:p>
        </c:rich>
      </c:tx>
      <c:overlay val="0"/>
      <c:spPr>
        <a:noFill/>
        <a:ln w="0">
          <a:noFill/>
        </a:ln>
      </c:spPr>
    </c:title>
    <c:autoTitleDeleted val="0"/>
    <c:plotArea>
      <c:layout/>
      <c:barChart>
        <c:barDir val="col"/>
        <c:grouping val="clustered"/>
        <c:varyColors val="0"/>
        <c:ser>
          <c:idx val="0"/>
          <c:order val="0"/>
          <c:tx>
            <c:strRef>
              <c:f>'H3 ASUNTO'!$C$105</c:f>
              <c:strCache>
                <c:ptCount val="1"/>
                <c:pt idx="0">
                  <c:v>Apertura (%)</c:v>
                </c:pt>
              </c:strCache>
            </c:strRef>
          </c:tx>
          <c:spPr>
            <a:solidFill>
              <a:srgbClr val="901C1A"/>
            </a:solidFill>
            <a:ln w="0">
              <a:solidFill>
                <a:srgbClr val="901C1A"/>
              </a:solidFill>
            </a:ln>
          </c:spPr>
          <c:invertIfNegative val="0"/>
          <c:dLbls>
            <c:spPr>
              <a:noFill/>
              <a:ln>
                <a:noFill/>
              </a:ln>
              <a:effectLst/>
            </c:spPr>
            <c:txPr>
              <a:bodyPr wrap="square"/>
              <a:lstStyle/>
              <a:p>
                <a:pPr>
                  <a:defRPr sz="1000" b="0" strike="noStrike" spc="-1">
                    <a:solidFill>
                      <a:srgbClr val="000000"/>
                    </a:solidFill>
                    <a:latin typeface="Calibri"/>
                  </a:defRPr>
                </a:pPr>
                <a:endParaRPr lang="en-CO"/>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'H3 ASUNTO'!$A$106:$A$107</c:f>
              <c:strCache>
                <c:ptCount val="2"/>
                <c:pt idx="0">
                  <c:v>Preheader que concreta</c:v>
                </c:pt>
                <c:pt idx="1">
                  <c:v>Preheader vago ("estas ofertas", "algo especial")</c:v>
                </c:pt>
              </c:strCache>
            </c:strRef>
          </c:cat>
          <c:val>
            <c:numRef>
              <c:f>'H3 ASUNTO'!$C$106:$C$107</c:f>
              <c:numCache>
                <c:formatCode>0.0</c:formatCode>
                <c:ptCount val="2"/>
                <c:pt idx="0">
                  <c:v>30.577433337994901</c:v>
                </c:pt>
                <c:pt idx="1">
                  <c:v>19.428075179111346</c:v>
                </c:pt>
              </c:numCache>
            </c:numRef>
          </c:val>
          <c:extLst>
            <c:ext xmlns:c16="http://schemas.microsoft.com/office/drawing/2014/chart" uri="{C3380CC4-5D6E-409C-BE32-E72D297353CC}">
              <c16:uniqueId val="{00000000-4978-7545-ABAF-44DCD0B3188E}"/>
            </c:ext>
          </c:extLst>
        </c:ser>
        <c:ser>
          <c:idx val="1"/>
          <c:order val="1"/>
          <c:tx>
            <c:strRef>
              <c:f>'H3 ASUNTO'!$D$105</c:f>
              <c:strCache>
                <c:ptCount val="1"/>
                <c:pt idx="0">
                  <c:v>CTR (%)</c:v>
                </c:pt>
              </c:strCache>
            </c:strRef>
          </c:tx>
          <c:spPr>
            <a:solidFill>
              <a:srgbClr val="000000"/>
            </a:solidFill>
            <a:ln w="0">
              <a:solidFill>
                <a:srgbClr val="000000"/>
              </a:solidFill>
            </a:ln>
          </c:spPr>
          <c:invertIfNegative val="0"/>
          <c:dLbls>
            <c:spPr>
              <a:noFill/>
              <a:ln>
                <a:noFill/>
              </a:ln>
              <a:effectLst/>
            </c:spPr>
            <c:txPr>
              <a:bodyPr wrap="square"/>
              <a:lstStyle/>
              <a:p>
                <a:pPr>
                  <a:defRPr sz="1000" b="0" strike="noStrike" spc="-1">
                    <a:solidFill>
                      <a:srgbClr val="000000"/>
                    </a:solidFill>
                    <a:latin typeface="Calibri"/>
                  </a:defRPr>
                </a:pPr>
                <a:endParaRPr lang="en-CO"/>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'H3 ASUNTO'!$A$106:$A$107</c:f>
              <c:strCache>
                <c:ptCount val="2"/>
                <c:pt idx="0">
                  <c:v>Preheader que concreta</c:v>
                </c:pt>
                <c:pt idx="1">
                  <c:v>Preheader vago ("estas ofertas", "algo especial")</c:v>
                </c:pt>
              </c:strCache>
            </c:strRef>
          </c:cat>
          <c:val>
            <c:numRef>
              <c:f>'H3 ASUNTO'!$D$106:$D$107</c:f>
              <c:numCache>
                <c:formatCode>0.0</c:formatCode>
                <c:ptCount val="2"/>
                <c:pt idx="0">
                  <c:v>9.9521412009448138</c:v>
                </c:pt>
                <c:pt idx="1">
                  <c:v>8.6297328082852349</c:v>
                </c:pt>
              </c:numCache>
            </c:numRef>
          </c:val>
          <c:extLst>
            <c:ext xmlns:c16="http://schemas.microsoft.com/office/drawing/2014/chart" uri="{C3380CC4-5D6E-409C-BE32-E72D297353CC}">
              <c16:uniqueId val="{00000001-4978-7545-ABAF-44DCD0B3188E}"/>
            </c:ext>
          </c:extLst>
        </c:ser>
        <c:dLbls>
          <c:showLegendKey val="0"/>
          <c:showVal val="0"/>
          <c:showCatName val="0"/>
          <c:showSerName val="0"/>
          <c:showPercent val="0"/>
          <c:showBubbleSize val="0"/>
        </c:dLbls>
        <c:gapWidth val="60"/>
        <c:axId val="22713778"/>
        <c:axId val="25048912"/>
      </c:barChart>
      <c:catAx>
        <c:axId val="22713778"/>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CO"/>
          </a:p>
        </c:txPr>
        <c:crossAx val="25048912"/>
        <c:crosses val="autoZero"/>
        <c:auto val="1"/>
        <c:lblAlgn val="ctr"/>
        <c:lblOffset val="100"/>
        <c:noMultiLvlLbl val="0"/>
      </c:catAx>
      <c:valAx>
        <c:axId val="25048912"/>
        <c:scaling>
          <c:orientation val="minMax"/>
          <c:max val="50"/>
          <c:min val="0"/>
        </c:scaling>
        <c:delete val="1"/>
        <c:axPos val="l"/>
        <c:numFmt formatCode="0.0" sourceLinked="1"/>
        <c:majorTickMark val="none"/>
        <c:minorTickMark val="none"/>
        <c:tickLblPos val="nextTo"/>
        <c:crossAx val="22713778"/>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CO"/>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Mismo tipo de campaña, distinto asunto: en los tres pares gana el que dice qué recibes</a:t>
            </a:r>
          </a:p>
        </c:rich>
      </c:tx>
      <c:overlay val="0"/>
      <c:spPr>
        <a:noFill/>
        <a:ln w="0">
          <a:noFill/>
        </a:ln>
      </c:spPr>
    </c:title>
    <c:autoTitleDeleted val="0"/>
    <c:plotArea>
      <c:layout/>
      <c:barChart>
        <c:barDir val="bar"/>
        <c:grouping val="clustered"/>
        <c:varyColors val="0"/>
        <c:ser>
          <c:idx val="0"/>
          <c:order val="0"/>
          <c:tx>
            <c:strRef>
              <c:f>'H3 ASUNTO'!$C$129</c:f>
              <c:strCache>
                <c:ptCount val="1"/>
                <c:pt idx="0">
                  <c:v>Apertura (%)</c:v>
                </c:pt>
              </c:strCache>
            </c:strRef>
          </c:tx>
          <c:spPr>
            <a:solidFill>
              <a:srgbClr val="901C1A"/>
            </a:solidFill>
            <a:ln w="0">
              <a:solidFill>
                <a:srgbClr val="901C1A"/>
              </a:solidFill>
            </a:ln>
          </c:spPr>
          <c:invertIfNegative val="0"/>
          <c:dPt>
            <c:idx val="0"/>
            <c:invertIfNegative val="0"/>
            <c:bubble3D val="0"/>
            <c:spPr>
              <a:solidFill>
                <a:srgbClr val="D9534F"/>
              </a:solidFill>
              <a:ln w="0">
                <a:solidFill>
                  <a:srgbClr val="D9534F"/>
                </a:solidFill>
              </a:ln>
            </c:spPr>
            <c:extLst>
              <c:ext xmlns:c16="http://schemas.microsoft.com/office/drawing/2014/chart" uri="{C3380CC4-5D6E-409C-BE32-E72D297353CC}">
                <c16:uniqueId val="{00000001-0F54-BE46-BF62-48B19B85E605}"/>
              </c:ext>
            </c:extLst>
          </c:dPt>
          <c:dPt>
            <c:idx val="1"/>
            <c:invertIfNegative val="0"/>
            <c:bubble3D val="0"/>
            <c:spPr>
              <a:solidFill>
                <a:srgbClr val="8C8C8C"/>
              </a:solidFill>
              <a:ln w="0">
                <a:solidFill>
                  <a:srgbClr val="8C8C8C"/>
                </a:solidFill>
              </a:ln>
            </c:spPr>
            <c:extLst>
              <c:ext xmlns:c16="http://schemas.microsoft.com/office/drawing/2014/chart" uri="{C3380CC4-5D6E-409C-BE32-E72D297353CC}">
                <c16:uniqueId val="{00000003-0F54-BE46-BF62-48B19B85E605}"/>
              </c:ext>
            </c:extLst>
          </c:dPt>
          <c:dPt>
            <c:idx val="2"/>
            <c:invertIfNegative val="0"/>
            <c:bubble3D val="0"/>
            <c:spPr>
              <a:solidFill>
                <a:srgbClr val="D9534F"/>
              </a:solidFill>
              <a:ln w="0">
                <a:solidFill>
                  <a:srgbClr val="D9534F"/>
                </a:solidFill>
              </a:ln>
            </c:spPr>
            <c:extLst>
              <c:ext xmlns:c16="http://schemas.microsoft.com/office/drawing/2014/chart" uri="{C3380CC4-5D6E-409C-BE32-E72D297353CC}">
                <c16:uniqueId val="{00000005-0F54-BE46-BF62-48B19B85E605}"/>
              </c:ext>
            </c:extLst>
          </c:dPt>
          <c:dPt>
            <c:idx val="3"/>
            <c:invertIfNegative val="0"/>
            <c:bubble3D val="0"/>
            <c:spPr>
              <a:solidFill>
                <a:srgbClr val="8C8C8C"/>
              </a:solidFill>
              <a:ln w="0">
                <a:solidFill>
                  <a:srgbClr val="8C8C8C"/>
                </a:solidFill>
              </a:ln>
            </c:spPr>
            <c:extLst>
              <c:ext xmlns:c16="http://schemas.microsoft.com/office/drawing/2014/chart" uri="{C3380CC4-5D6E-409C-BE32-E72D297353CC}">
                <c16:uniqueId val="{00000007-0F54-BE46-BF62-48B19B85E605}"/>
              </c:ext>
            </c:extLst>
          </c:dPt>
          <c:dPt>
            <c:idx val="4"/>
            <c:invertIfNegative val="0"/>
            <c:bubble3D val="0"/>
            <c:spPr>
              <a:solidFill>
                <a:srgbClr val="D9534F"/>
              </a:solidFill>
              <a:ln w="0">
                <a:solidFill>
                  <a:srgbClr val="D9534F"/>
                </a:solidFill>
              </a:ln>
            </c:spPr>
            <c:extLst>
              <c:ext xmlns:c16="http://schemas.microsoft.com/office/drawing/2014/chart" uri="{C3380CC4-5D6E-409C-BE32-E72D297353CC}">
                <c16:uniqueId val="{00000009-0F54-BE46-BF62-48B19B85E605}"/>
              </c:ext>
            </c:extLst>
          </c:dPt>
          <c:dPt>
            <c:idx val="5"/>
            <c:invertIfNegative val="0"/>
            <c:bubble3D val="0"/>
            <c:spPr>
              <a:solidFill>
                <a:srgbClr val="8C8C8C"/>
              </a:solidFill>
              <a:ln w="0">
                <a:solidFill>
                  <a:srgbClr val="8C8C8C"/>
                </a:solidFill>
              </a:ln>
            </c:spPr>
            <c:extLst>
              <c:ext xmlns:c16="http://schemas.microsoft.com/office/drawing/2014/chart" uri="{C3380CC4-5D6E-409C-BE32-E72D297353CC}">
                <c16:uniqueId val="{0000000B-0F54-BE46-BF62-48B19B85E605}"/>
              </c:ext>
            </c:extLst>
          </c:dPt>
          <c:dLbls>
            <c:dLbl>
              <c:idx val="0"/>
              <c:spPr/>
              <c:txPr>
                <a:bodyPr wrap="square"/>
                <a:lstStyle/>
                <a:p>
                  <a:pPr>
                    <a:defRPr sz="1000" b="0" strike="noStrike" spc="-1">
                      <a:solidFill>
                        <a:srgbClr val="000000"/>
                      </a:solidFill>
                      <a:latin typeface="Calibri"/>
                    </a:defRPr>
                  </a:pPr>
                  <a:endParaRPr lang="en-CO"/>
                </a:p>
              </c:txPr>
              <c:dLblPos val="outEnd"/>
              <c:showLegendKey val="0"/>
              <c:showVal val="1"/>
              <c:showCatName val="0"/>
              <c:showSerName val="0"/>
              <c:showPercent val="0"/>
              <c:showBubbleSize val="1"/>
              <c:extLst>
                <c:ext xmlns:c16="http://schemas.microsoft.com/office/drawing/2014/chart" uri="{C3380CC4-5D6E-409C-BE32-E72D297353CC}">
                  <c16:uniqueId val="{00000001-0F54-BE46-BF62-48B19B85E605}"/>
                </c:ext>
              </c:extLst>
            </c:dLbl>
            <c:dLbl>
              <c:idx val="1"/>
              <c:spPr/>
              <c:txPr>
                <a:bodyPr wrap="square"/>
                <a:lstStyle/>
                <a:p>
                  <a:pPr>
                    <a:defRPr sz="1000" b="0" strike="noStrike" spc="-1">
                      <a:solidFill>
                        <a:srgbClr val="000000"/>
                      </a:solidFill>
                      <a:latin typeface="Calibri"/>
                    </a:defRPr>
                  </a:pPr>
                  <a:endParaRPr lang="en-CO"/>
                </a:p>
              </c:txPr>
              <c:dLblPos val="outEnd"/>
              <c:showLegendKey val="0"/>
              <c:showVal val="1"/>
              <c:showCatName val="0"/>
              <c:showSerName val="0"/>
              <c:showPercent val="0"/>
              <c:showBubbleSize val="1"/>
              <c:extLst>
                <c:ext xmlns:c16="http://schemas.microsoft.com/office/drawing/2014/chart" uri="{C3380CC4-5D6E-409C-BE32-E72D297353CC}">
                  <c16:uniqueId val="{00000003-0F54-BE46-BF62-48B19B85E605}"/>
                </c:ext>
              </c:extLst>
            </c:dLbl>
            <c:dLbl>
              <c:idx val="2"/>
              <c:spPr/>
              <c:txPr>
                <a:bodyPr wrap="square"/>
                <a:lstStyle/>
                <a:p>
                  <a:pPr>
                    <a:defRPr sz="1000" b="0" strike="noStrike" spc="-1">
                      <a:solidFill>
                        <a:srgbClr val="000000"/>
                      </a:solidFill>
                      <a:latin typeface="Calibri"/>
                    </a:defRPr>
                  </a:pPr>
                  <a:endParaRPr lang="en-CO"/>
                </a:p>
              </c:txPr>
              <c:dLblPos val="outEnd"/>
              <c:showLegendKey val="0"/>
              <c:showVal val="1"/>
              <c:showCatName val="0"/>
              <c:showSerName val="0"/>
              <c:showPercent val="0"/>
              <c:showBubbleSize val="1"/>
              <c:extLst>
                <c:ext xmlns:c16="http://schemas.microsoft.com/office/drawing/2014/chart" uri="{C3380CC4-5D6E-409C-BE32-E72D297353CC}">
                  <c16:uniqueId val="{00000005-0F54-BE46-BF62-48B19B85E605}"/>
                </c:ext>
              </c:extLst>
            </c:dLbl>
            <c:dLbl>
              <c:idx val="3"/>
              <c:spPr/>
              <c:txPr>
                <a:bodyPr wrap="square"/>
                <a:lstStyle/>
                <a:p>
                  <a:pPr>
                    <a:defRPr sz="1000" b="0" strike="noStrike" spc="-1">
                      <a:solidFill>
                        <a:srgbClr val="000000"/>
                      </a:solidFill>
                      <a:latin typeface="Calibri"/>
                    </a:defRPr>
                  </a:pPr>
                  <a:endParaRPr lang="en-CO"/>
                </a:p>
              </c:txPr>
              <c:dLblPos val="outEnd"/>
              <c:showLegendKey val="0"/>
              <c:showVal val="1"/>
              <c:showCatName val="0"/>
              <c:showSerName val="0"/>
              <c:showPercent val="0"/>
              <c:showBubbleSize val="1"/>
              <c:extLst>
                <c:ext xmlns:c16="http://schemas.microsoft.com/office/drawing/2014/chart" uri="{C3380CC4-5D6E-409C-BE32-E72D297353CC}">
                  <c16:uniqueId val="{00000007-0F54-BE46-BF62-48B19B85E605}"/>
                </c:ext>
              </c:extLst>
            </c:dLbl>
            <c:dLbl>
              <c:idx val="4"/>
              <c:spPr/>
              <c:txPr>
                <a:bodyPr wrap="square"/>
                <a:lstStyle/>
                <a:p>
                  <a:pPr>
                    <a:defRPr sz="1000" b="0" strike="noStrike" spc="-1">
                      <a:solidFill>
                        <a:srgbClr val="000000"/>
                      </a:solidFill>
                      <a:latin typeface="Calibri"/>
                    </a:defRPr>
                  </a:pPr>
                  <a:endParaRPr lang="en-CO"/>
                </a:p>
              </c:txPr>
              <c:dLblPos val="outEnd"/>
              <c:showLegendKey val="0"/>
              <c:showVal val="1"/>
              <c:showCatName val="0"/>
              <c:showSerName val="0"/>
              <c:showPercent val="0"/>
              <c:showBubbleSize val="1"/>
              <c:extLst>
                <c:ext xmlns:c16="http://schemas.microsoft.com/office/drawing/2014/chart" uri="{C3380CC4-5D6E-409C-BE32-E72D297353CC}">
                  <c16:uniqueId val="{00000009-0F54-BE46-BF62-48B19B85E605}"/>
                </c:ext>
              </c:extLst>
            </c:dLbl>
            <c:dLbl>
              <c:idx val="5"/>
              <c:spPr/>
              <c:txPr>
                <a:bodyPr wrap="square"/>
                <a:lstStyle/>
                <a:p>
                  <a:pPr>
                    <a:defRPr sz="1000" b="0" strike="noStrike" spc="-1">
                      <a:solidFill>
                        <a:srgbClr val="000000"/>
                      </a:solidFill>
                      <a:latin typeface="Calibri"/>
                    </a:defRPr>
                  </a:pPr>
                  <a:endParaRPr lang="en-CO"/>
                </a:p>
              </c:txPr>
              <c:dLblPos val="outEnd"/>
              <c:showLegendKey val="0"/>
              <c:showVal val="1"/>
              <c:showCatName val="0"/>
              <c:showSerName val="0"/>
              <c:showPercent val="0"/>
              <c:showBubbleSize val="1"/>
              <c:extLst>
                <c:ext xmlns:c16="http://schemas.microsoft.com/office/drawing/2014/chart" uri="{C3380CC4-5D6E-409C-BE32-E72D297353CC}">
                  <c16:uniqueId val="{0000000B-0F54-BE46-BF62-48B19B85E605}"/>
                </c:ext>
              </c:extLst>
            </c:dLbl>
            <c:spPr>
              <a:noFill/>
              <a:ln>
                <a:noFill/>
              </a:ln>
              <a:effectLst/>
            </c:spPr>
            <c:txPr>
              <a:bodyPr wrap="square"/>
              <a:lstStyle/>
              <a:p>
                <a:pPr>
                  <a:defRPr sz="1000" b="0" strike="noStrike" spc="-1">
                    <a:solidFill>
                      <a:srgbClr val="000000"/>
                    </a:solidFill>
                    <a:latin typeface="Calibri"/>
                  </a:defRPr>
                </a:pPr>
                <a:endParaRPr lang="en-CO"/>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'H3 ASUNTO'!$A$130:$A$135</c:f>
              <c:strCache>
                <c:ptCount val="6"/>
                <c:pt idx="0">
                  <c:v>¡El futuro de tu piel ha llegado! Nuevo Producto revolucionario</c:v>
                </c:pt>
                <c:pt idx="1">
                  <c:v>Presentamos: Nuestro último lanzamiento de belleza ¡Imperdible!</c:v>
                </c:pt>
                <c:pt idx="2">
                  <c:v>Lo último en L'Oréal: Mantente informad@ de las novedades</c:v>
                </c:pt>
                <c:pt idx="3">
                  <c:v>Actualización de L'Oréal: ¿Qué hay de nuevo en el mundo beauty?</c:v>
                </c:pt>
                <c:pt idx="4">
                  <c:v>¡Tu lealtad tiene recompensa! Descúbrela, sorpresas para ti</c:v>
                </c:pt>
                <c:pt idx="5">
                  <c:v>¡Un pequeño detalle para agradecerte tu lealtad! L'Oréal</c:v>
                </c:pt>
              </c:strCache>
            </c:strRef>
          </c:cat>
          <c:val>
            <c:numRef>
              <c:f>'H3 ASUNTO'!$C$130:$C$135</c:f>
              <c:numCache>
                <c:formatCode>0.0</c:formatCode>
                <c:ptCount val="6"/>
                <c:pt idx="0">
                  <c:v>36.132518317209367</c:v>
                </c:pt>
                <c:pt idx="1">
                  <c:v>23.315840784070005</c:v>
                </c:pt>
                <c:pt idx="2">
                  <c:v>36.827379346292652</c:v>
                </c:pt>
                <c:pt idx="3">
                  <c:v>15.908213539730554</c:v>
                </c:pt>
                <c:pt idx="4">
                  <c:v>40.72142758959253</c:v>
                </c:pt>
                <c:pt idx="5">
                  <c:v>20.724631699294946</c:v>
                </c:pt>
              </c:numCache>
            </c:numRef>
          </c:val>
          <c:extLst>
            <c:ext xmlns:c16="http://schemas.microsoft.com/office/drawing/2014/chart" uri="{C3380CC4-5D6E-409C-BE32-E72D297353CC}">
              <c16:uniqueId val="{0000000C-0F54-BE46-BF62-48B19B85E605}"/>
            </c:ext>
          </c:extLst>
        </c:ser>
        <c:dLbls>
          <c:showLegendKey val="0"/>
          <c:showVal val="0"/>
          <c:showCatName val="0"/>
          <c:showSerName val="0"/>
          <c:showPercent val="0"/>
          <c:showBubbleSize val="0"/>
        </c:dLbls>
        <c:gapWidth val="60"/>
        <c:axId val="97293503"/>
        <c:axId val="93647358"/>
      </c:barChart>
      <c:catAx>
        <c:axId val="97293503"/>
        <c:scaling>
          <c:orientation val="maxMin"/>
        </c:scaling>
        <c:delete val="0"/>
        <c:axPos val="l"/>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CO"/>
          </a:p>
        </c:txPr>
        <c:crossAx val="93647358"/>
        <c:crosses val="autoZero"/>
        <c:auto val="1"/>
        <c:lblAlgn val="ctr"/>
        <c:lblOffset val="100"/>
        <c:noMultiLvlLbl val="0"/>
      </c:catAx>
      <c:valAx>
        <c:axId val="93647358"/>
        <c:scaling>
          <c:orientation val="minMax"/>
        </c:scaling>
        <c:delete val="1"/>
        <c:axPos val="t"/>
        <c:numFmt formatCode="0.0" sourceLinked="1"/>
        <c:majorTickMark val="none"/>
        <c:minorTickMark val="none"/>
        <c:tickLblPos val="nextTo"/>
        <c:crossAx val="97293503"/>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Los asuntos que más se abren también reciben más clics (r = 0,74)</a:t>
            </a:r>
          </a:p>
        </c:rich>
      </c:tx>
      <c:overlay val="0"/>
      <c:spPr>
        <a:noFill/>
        <a:ln w="0">
          <a:noFill/>
        </a:ln>
      </c:spPr>
    </c:title>
    <c:autoTitleDeleted val="0"/>
    <c:plotArea>
      <c:layout/>
      <c:scatterChart>
        <c:scatterStyle val="lineMarker"/>
        <c:varyColors val="0"/>
        <c:ser>
          <c:idx val="0"/>
          <c:order val="0"/>
          <c:tx>
            <c:v>Asuntos</c:v>
          </c:tx>
          <c:spPr>
            <a:ln w="28440">
              <a:noFill/>
            </a:ln>
          </c:spPr>
          <c:marker>
            <c:symbol val="circle"/>
            <c:size val="7"/>
            <c:spPr>
              <a:solidFill>
                <a:srgbClr val="901C1A"/>
              </a:solidFill>
            </c:spPr>
          </c:marker>
          <c:dLbls>
            <c:spPr>
              <a:noFill/>
              <a:ln>
                <a:noFill/>
              </a:ln>
              <a:effectLst/>
            </c:spPr>
            <c:txPr>
              <a:bodyPr wrap="square"/>
              <a:lstStyle/>
              <a:p>
                <a:pPr>
                  <a:defRPr sz="1000" b="0" strike="noStrike" spc="-1">
                    <a:solidFill>
                      <a:srgbClr val="000000"/>
                    </a:solidFill>
                    <a:latin typeface="Arial"/>
                  </a:defRPr>
                </a:pPr>
                <a:endParaRPr lang="en-CO"/>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_calculos!$C$73:$C$94</c:f>
              <c:numCache>
                <c:formatCode>General</c:formatCode>
                <c:ptCount val="22"/>
                <c:pt idx="0">
                  <c:v>41.593592985418489</c:v>
                </c:pt>
                <c:pt idx="1">
                  <c:v>40.72142758959253</c:v>
                </c:pt>
                <c:pt idx="2">
                  <c:v>39.210446566150395</c:v>
                </c:pt>
                <c:pt idx="3">
                  <c:v>38.720231784441999</c:v>
                </c:pt>
                <c:pt idx="4">
                  <c:v>36.827379346292652</c:v>
                </c:pt>
                <c:pt idx="5">
                  <c:v>36.132518317209367</c:v>
                </c:pt>
                <c:pt idx="6">
                  <c:v>35.565837226891659</c:v>
                </c:pt>
                <c:pt idx="7">
                  <c:v>35.409886702202286</c:v>
                </c:pt>
                <c:pt idx="8">
                  <c:v>33.412775116147934</c:v>
                </c:pt>
                <c:pt idx="9">
                  <c:v>33.047230763392911</c:v>
                </c:pt>
                <c:pt idx="10">
                  <c:v>30.93688234168668</c:v>
                </c:pt>
                <c:pt idx="11">
                  <c:v>29.233022524783024</c:v>
                </c:pt>
                <c:pt idx="12">
                  <c:v>23.315840784070005</c:v>
                </c:pt>
                <c:pt idx="13">
                  <c:v>22.891293825435607</c:v>
                </c:pt>
                <c:pt idx="14">
                  <c:v>22.775066640377752</c:v>
                </c:pt>
                <c:pt idx="15">
                  <c:v>21.434915192427972</c:v>
                </c:pt>
                <c:pt idx="16">
                  <c:v>21.363100647493706</c:v>
                </c:pt>
                <c:pt idx="17">
                  <c:v>20.724631699294946</c:v>
                </c:pt>
                <c:pt idx="18">
                  <c:v>18.428686186240089</c:v>
                </c:pt>
                <c:pt idx="19">
                  <c:v>17.395911943759799</c:v>
                </c:pt>
                <c:pt idx="20">
                  <c:v>15.908213539730554</c:v>
                </c:pt>
                <c:pt idx="21">
                  <c:v>10.717211021745861</c:v>
                </c:pt>
              </c:numCache>
            </c:numRef>
          </c:xVal>
          <c:yVal>
            <c:numRef>
              <c:f>_calculos!$D$73:$D$94</c:f>
              <c:numCache>
                <c:formatCode>General</c:formatCode>
                <c:ptCount val="22"/>
                <c:pt idx="0">
                  <c:v>10.640007862164545</c:v>
                </c:pt>
                <c:pt idx="1">
                  <c:v>10.084078499747937</c:v>
                </c:pt>
                <c:pt idx="2">
                  <c:v>12.290336402782355</c:v>
                </c:pt>
                <c:pt idx="3">
                  <c:v>13.442773238180321</c:v>
                </c:pt>
                <c:pt idx="4">
                  <c:v>11.21179435454512</c:v>
                </c:pt>
                <c:pt idx="5">
                  <c:v>12.286279963650317</c:v>
                </c:pt>
                <c:pt idx="6">
                  <c:v>9.1636304893164979</c:v>
                </c:pt>
                <c:pt idx="7">
                  <c:v>10.180271791541561</c:v>
                </c:pt>
                <c:pt idx="8">
                  <c:v>12.982833908482792</c:v>
                </c:pt>
                <c:pt idx="9">
                  <c:v>8.8191240837739784</c:v>
                </c:pt>
                <c:pt idx="10">
                  <c:v>11.943638509771747</c:v>
                </c:pt>
                <c:pt idx="11">
                  <c:v>7.9784637705697268</c:v>
                </c:pt>
                <c:pt idx="12">
                  <c:v>8.3866728214971751</c:v>
                </c:pt>
                <c:pt idx="13">
                  <c:v>8.950219304858523</c:v>
                </c:pt>
                <c:pt idx="14">
                  <c:v>7.6719520838610986</c:v>
                </c:pt>
                <c:pt idx="15">
                  <c:v>7.2719368394638622</c:v>
                </c:pt>
                <c:pt idx="16">
                  <c:v>7.2412428235406834</c:v>
                </c:pt>
                <c:pt idx="17">
                  <c:v>7.8195809033385801</c:v>
                </c:pt>
                <c:pt idx="18">
                  <c:v>7.0116974908304908</c:v>
                </c:pt>
                <c:pt idx="19">
                  <c:v>9.2938358042444964</c:v>
                </c:pt>
                <c:pt idx="20">
                  <c:v>8.08965498759658</c:v>
                </c:pt>
                <c:pt idx="21">
                  <c:v>7.8528886139407827</c:v>
                </c:pt>
              </c:numCache>
            </c:numRef>
          </c:yVal>
          <c:smooth val="1"/>
          <c:extLst>
            <c:ext xmlns:c16="http://schemas.microsoft.com/office/drawing/2014/chart" uri="{C3380CC4-5D6E-409C-BE32-E72D297353CC}">
              <c16:uniqueId val="{00000000-9448-B346-AE5D-60B08E7A4272}"/>
            </c:ext>
          </c:extLst>
        </c:ser>
        <c:dLbls>
          <c:showLegendKey val="0"/>
          <c:showVal val="0"/>
          <c:showCatName val="0"/>
          <c:showSerName val="0"/>
          <c:showPercent val="0"/>
          <c:showBubbleSize val="0"/>
        </c:dLbls>
        <c:axId val="21019406"/>
        <c:axId val="38771603"/>
      </c:scatterChart>
      <c:valAx>
        <c:axId val="21019406"/>
        <c:scaling>
          <c:orientation val="minMax"/>
          <c:max val="45"/>
          <c:min val="5"/>
        </c:scaling>
        <c:delete val="0"/>
        <c:axPos val="b"/>
        <c:majorGridlines>
          <c:spPr>
            <a:ln w="9360">
              <a:solidFill>
                <a:srgbClr val="878787"/>
              </a:solidFill>
              <a:round/>
            </a:ln>
          </c:spPr>
        </c:majorGridlines>
        <c:title>
          <c:tx>
            <c:rich>
              <a:bodyPr rot="0"/>
              <a:lstStyle/>
              <a:p>
                <a:pPr>
                  <a:defRPr sz="1000" b="1" strike="noStrike" spc="-1">
                    <a:solidFill>
                      <a:srgbClr val="000000"/>
                    </a:solidFill>
                    <a:latin typeface="Calibri"/>
                  </a:defRPr>
                </a:pPr>
                <a:r>
                  <a:rPr lang="en-US" sz="1000" b="1" strike="noStrike" spc="-1">
                    <a:solidFill>
                      <a:srgbClr val="000000"/>
                    </a:solidFill>
                    <a:latin typeface="Calibri"/>
                  </a:rPr>
                  <a:t>Apertura (%)</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CO"/>
          </a:p>
        </c:txPr>
        <c:crossAx val="38771603"/>
        <c:crosses val="autoZero"/>
        <c:crossBetween val="midCat"/>
      </c:valAx>
      <c:valAx>
        <c:axId val="38771603"/>
        <c:scaling>
          <c:orientation val="minMax"/>
        </c:scaling>
        <c:delete val="0"/>
        <c:axPos val="l"/>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CTR (%)</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CO"/>
          </a:p>
        </c:txPr>
        <c:crossAx val="21019406"/>
        <c:crosses val="autoZero"/>
        <c:crossBetween val="midCat"/>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Cumplir las reglas de Mailchimp no sube la apertura: 28,4 % contra 30,2 %</a:t>
            </a:r>
          </a:p>
        </c:rich>
      </c:tx>
      <c:overlay val="0"/>
      <c:spPr>
        <a:noFill/>
        <a:ln w="0">
          <a:noFill/>
        </a:ln>
      </c:spPr>
    </c:title>
    <c:autoTitleDeleted val="0"/>
    <c:plotArea>
      <c:layout/>
      <c:barChart>
        <c:barDir val="col"/>
        <c:grouping val="clustered"/>
        <c:varyColors val="0"/>
        <c:ser>
          <c:idx val="0"/>
          <c:order val="0"/>
          <c:tx>
            <c:strRef>
              <c:f>'H3 ASUNTO'!$C$177</c:f>
              <c:strCache>
                <c:ptCount val="1"/>
                <c:pt idx="0">
                  <c:v>Apertura (%)</c:v>
                </c:pt>
              </c:strCache>
            </c:strRef>
          </c:tx>
          <c:spPr>
            <a:solidFill>
              <a:srgbClr val="901C1A"/>
            </a:solidFill>
            <a:ln w="0">
              <a:solidFill>
                <a:srgbClr val="901C1A"/>
              </a:solidFill>
            </a:ln>
          </c:spPr>
          <c:invertIfNegative val="0"/>
          <c:dLbls>
            <c:spPr>
              <a:noFill/>
              <a:ln>
                <a:noFill/>
              </a:ln>
              <a:effectLst/>
            </c:spPr>
            <c:txPr>
              <a:bodyPr wrap="square"/>
              <a:lstStyle/>
              <a:p>
                <a:pPr>
                  <a:defRPr sz="1000" b="0" strike="noStrike" spc="-1">
                    <a:solidFill>
                      <a:srgbClr val="000000"/>
                    </a:solidFill>
                    <a:latin typeface="Calibri"/>
                  </a:defRPr>
                </a:pPr>
                <a:endParaRPr lang="en-CO"/>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'H3 ASUNTO'!$A$178:$A$179</c:f>
              <c:strCache>
                <c:ptCount val="2"/>
                <c:pt idx="0">
                  <c:v>Cumple las reglas de Mailchimp</c:v>
                </c:pt>
                <c:pt idx="1">
                  <c:v>No las cumple</c:v>
                </c:pt>
              </c:strCache>
            </c:strRef>
          </c:cat>
          <c:val>
            <c:numRef>
              <c:f>'H3 ASUNTO'!$C$178:$C$179</c:f>
              <c:numCache>
                <c:formatCode>0.0</c:formatCode>
                <c:ptCount val="2"/>
                <c:pt idx="0">
                  <c:v>28.350908070173141</c:v>
                </c:pt>
                <c:pt idx="1">
                  <c:v>30.159138195274682</c:v>
                </c:pt>
              </c:numCache>
            </c:numRef>
          </c:val>
          <c:extLst>
            <c:ext xmlns:c16="http://schemas.microsoft.com/office/drawing/2014/chart" uri="{C3380CC4-5D6E-409C-BE32-E72D297353CC}">
              <c16:uniqueId val="{00000000-39BF-9A40-9FFD-8258BB239A5E}"/>
            </c:ext>
          </c:extLst>
        </c:ser>
        <c:ser>
          <c:idx val="1"/>
          <c:order val="1"/>
          <c:tx>
            <c:strRef>
              <c:f>'H3 ASUNTO'!$D$177</c:f>
              <c:strCache>
                <c:ptCount val="1"/>
                <c:pt idx="0">
                  <c:v>CTR (%)</c:v>
                </c:pt>
              </c:strCache>
            </c:strRef>
          </c:tx>
          <c:spPr>
            <a:solidFill>
              <a:srgbClr val="000000"/>
            </a:solidFill>
            <a:ln w="0">
              <a:solidFill>
                <a:srgbClr val="000000"/>
              </a:solidFill>
            </a:ln>
          </c:spPr>
          <c:invertIfNegative val="0"/>
          <c:dLbls>
            <c:spPr>
              <a:noFill/>
              <a:ln>
                <a:noFill/>
              </a:ln>
              <a:effectLst/>
            </c:spPr>
            <c:txPr>
              <a:bodyPr wrap="square"/>
              <a:lstStyle/>
              <a:p>
                <a:pPr>
                  <a:defRPr sz="1000" b="0" strike="noStrike" spc="-1">
                    <a:solidFill>
                      <a:srgbClr val="000000"/>
                    </a:solidFill>
                    <a:latin typeface="Calibri"/>
                  </a:defRPr>
                </a:pPr>
                <a:endParaRPr lang="en-CO"/>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'H3 ASUNTO'!$A$178:$A$179</c:f>
              <c:strCache>
                <c:ptCount val="2"/>
                <c:pt idx="0">
                  <c:v>Cumple las reglas de Mailchimp</c:v>
                </c:pt>
                <c:pt idx="1">
                  <c:v>No las cumple</c:v>
                </c:pt>
              </c:strCache>
            </c:strRef>
          </c:cat>
          <c:val>
            <c:numRef>
              <c:f>'H3 ASUNTO'!$D$178:$D$179</c:f>
              <c:numCache>
                <c:formatCode>0.0</c:formatCode>
                <c:ptCount val="2"/>
                <c:pt idx="0">
                  <c:v>9.2991464863384312</c:v>
                </c:pt>
                <c:pt idx="1">
                  <c:v>10.355108891162708</c:v>
                </c:pt>
              </c:numCache>
            </c:numRef>
          </c:val>
          <c:extLst>
            <c:ext xmlns:c16="http://schemas.microsoft.com/office/drawing/2014/chart" uri="{C3380CC4-5D6E-409C-BE32-E72D297353CC}">
              <c16:uniqueId val="{00000001-39BF-9A40-9FFD-8258BB239A5E}"/>
            </c:ext>
          </c:extLst>
        </c:ser>
        <c:dLbls>
          <c:showLegendKey val="0"/>
          <c:showVal val="0"/>
          <c:showCatName val="0"/>
          <c:showSerName val="0"/>
          <c:showPercent val="0"/>
          <c:showBubbleSize val="0"/>
        </c:dLbls>
        <c:gapWidth val="60"/>
        <c:axId val="3915299"/>
        <c:axId val="51113659"/>
      </c:barChart>
      <c:catAx>
        <c:axId val="3915299"/>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CO"/>
          </a:p>
        </c:txPr>
        <c:crossAx val="51113659"/>
        <c:crosses val="autoZero"/>
        <c:auto val="1"/>
        <c:lblAlgn val="ctr"/>
        <c:lblOffset val="100"/>
        <c:noMultiLvlLbl val="0"/>
      </c:catAx>
      <c:valAx>
        <c:axId val="51113659"/>
        <c:scaling>
          <c:orientation val="minMax"/>
          <c:max val="50"/>
          <c:min val="0"/>
        </c:scaling>
        <c:delete val="1"/>
        <c:axPos val="l"/>
        <c:numFmt formatCode="0.0" sourceLinked="1"/>
        <c:majorTickMark val="none"/>
        <c:minorTickMark val="none"/>
        <c:tickLblPos val="nextTo"/>
        <c:crossAx val="3915299"/>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CO"/>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En descuentos, los correos de agradecimiento abren 35,7 % y las ofertas exclusivas 27,0 %</a:t>
            </a:r>
          </a:p>
        </c:rich>
      </c:tx>
      <c:overlay val="0"/>
      <c:spPr>
        <a:noFill/>
        <a:ln w="0">
          <a:noFill/>
        </a:ln>
      </c:spPr>
    </c:title>
    <c:autoTitleDeleted val="0"/>
    <c:plotArea>
      <c:layout/>
      <c:barChart>
        <c:barDir val="col"/>
        <c:grouping val="clustered"/>
        <c:varyColors val="0"/>
        <c:ser>
          <c:idx val="0"/>
          <c:order val="0"/>
          <c:tx>
            <c:strRef>
              <c:f>'H4 TEMÁTICA HOT SALE'!$C$12</c:f>
              <c:strCache>
                <c:ptCount val="1"/>
                <c:pt idx="0">
                  <c:v>Apertura (%)</c:v>
                </c:pt>
              </c:strCache>
            </c:strRef>
          </c:tx>
          <c:spPr>
            <a:solidFill>
              <a:srgbClr val="901C1A"/>
            </a:solidFill>
            <a:ln w="0">
              <a:solidFill>
                <a:srgbClr val="901C1A"/>
              </a:solidFill>
            </a:ln>
          </c:spPr>
          <c:invertIfNegative val="0"/>
          <c:dLbls>
            <c:spPr>
              <a:noFill/>
              <a:ln>
                <a:noFill/>
              </a:ln>
              <a:effectLst/>
            </c:spPr>
            <c:txPr>
              <a:bodyPr wrap="square"/>
              <a:lstStyle/>
              <a:p>
                <a:pPr>
                  <a:defRPr sz="1000" b="0" strike="noStrike" spc="-1">
                    <a:solidFill>
                      <a:srgbClr val="000000"/>
                    </a:solidFill>
                    <a:latin typeface="Calibri"/>
                  </a:defRPr>
                </a:pPr>
                <a:endParaRPr lang="en-CO"/>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'H4 TEMÁTICA HOT SALE'!$A$13:$A$16</c:f>
              <c:strCache>
                <c:ptCount val="4"/>
                <c:pt idx="0">
                  <c:v>Customer Appreciation</c:v>
                </c:pt>
                <c:pt idx="1">
                  <c:v>Exclusive Offers</c:v>
                </c:pt>
                <c:pt idx="2">
                  <c:v>Flash Sale</c:v>
                </c:pt>
                <c:pt idx="3">
                  <c:v>Holiday Discounts</c:v>
                </c:pt>
              </c:strCache>
            </c:strRef>
          </c:cat>
          <c:val>
            <c:numRef>
              <c:f>'H4 TEMÁTICA HOT SALE'!$C$13:$C$16</c:f>
              <c:numCache>
                <c:formatCode>0.0</c:formatCode>
                <c:ptCount val="4"/>
                <c:pt idx="0">
                  <c:v>35.672560277441029</c:v>
                </c:pt>
                <c:pt idx="1">
                  <c:v>27.021447627328243</c:v>
                </c:pt>
                <c:pt idx="2">
                  <c:v>29.440902453236173</c:v>
                </c:pt>
                <c:pt idx="3">
                  <c:v>30.71114383300629</c:v>
                </c:pt>
              </c:numCache>
            </c:numRef>
          </c:val>
          <c:extLst>
            <c:ext xmlns:c16="http://schemas.microsoft.com/office/drawing/2014/chart" uri="{C3380CC4-5D6E-409C-BE32-E72D297353CC}">
              <c16:uniqueId val="{00000000-200D-6248-948B-760D05DF7D85}"/>
            </c:ext>
          </c:extLst>
        </c:ser>
        <c:ser>
          <c:idx val="1"/>
          <c:order val="1"/>
          <c:tx>
            <c:strRef>
              <c:f>'H4 TEMÁTICA HOT SALE'!$D$12</c:f>
              <c:strCache>
                <c:ptCount val="1"/>
                <c:pt idx="0">
                  <c:v>CTR (%)</c:v>
                </c:pt>
              </c:strCache>
            </c:strRef>
          </c:tx>
          <c:spPr>
            <a:solidFill>
              <a:srgbClr val="000000"/>
            </a:solidFill>
            <a:ln w="0">
              <a:solidFill>
                <a:srgbClr val="000000"/>
              </a:solidFill>
            </a:ln>
          </c:spPr>
          <c:invertIfNegative val="0"/>
          <c:dLbls>
            <c:spPr>
              <a:noFill/>
              <a:ln>
                <a:noFill/>
              </a:ln>
              <a:effectLst/>
            </c:spPr>
            <c:txPr>
              <a:bodyPr wrap="square"/>
              <a:lstStyle/>
              <a:p>
                <a:pPr>
                  <a:defRPr sz="1000" b="0" strike="noStrike" spc="-1">
                    <a:solidFill>
                      <a:srgbClr val="000000"/>
                    </a:solidFill>
                    <a:latin typeface="Calibri"/>
                  </a:defRPr>
                </a:pPr>
                <a:endParaRPr lang="en-CO"/>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'H4 TEMÁTICA HOT SALE'!$A$13:$A$16</c:f>
              <c:strCache>
                <c:ptCount val="4"/>
                <c:pt idx="0">
                  <c:v>Customer Appreciation</c:v>
                </c:pt>
                <c:pt idx="1">
                  <c:v>Exclusive Offers</c:v>
                </c:pt>
                <c:pt idx="2">
                  <c:v>Flash Sale</c:v>
                </c:pt>
                <c:pt idx="3">
                  <c:v>Holiday Discounts</c:v>
                </c:pt>
              </c:strCache>
            </c:strRef>
          </c:cat>
          <c:val>
            <c:numRef>
              <c:f>'H4 TEMÁTICA HOT SALE'!$D$13:$D$16</c:f>
              <c:numCache>
                <c:formatCode>0.0</c:formatCode>
                <c:ptCount val="4"/>
                <c:pt idx="0">
                  <c:v>10.752665544174819</c:v>
                </c:pt>
                <c:pt idx="1">
                  <c:v>9.2971825130085737</c:v>
                </c:pt>
                <c:pt idx="2">
                  <c:v>9.2051660264854309</c:v>
                </c:pt>
                <c:pt idx="3">
                  <c:v>9.0557740211665223</c:v>
                </c:pt>
              </c:numCache>
            </c:numRef>
          </c:val>
          <c:extLst>
            <c:ext xmlns:c16="http://schemas.microsoft.com/office/drawing/2014/chart" uri="{C3380CC4-5D6E-409C-BE32-E72D297353CC}">
              <c16:uniqueId val="{00000001-200D-6248-948B-760D05DF7D85}"/>
            </c:ext>
          </c:extLst>
        </c:ser>
        <c:dLbls>
          <c:showLegendKey val="0"/>
          <c:showVal val="0"/>
          <c:showCatName val="0"/>
          <c:showSerName val="0"/>
          <c:showPercent val="0"/>
          <c:showBubbleSize val="0"/>
        </c:dLbls>
        <c:gapWidth val="60"/>
        <c:axId val="34374824"/>
        <c:axId val="62224829"/>
      </c:barChart>
      <c:catAx>
        <c:axId val="34374824"/>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CO"/>
          </a:p>
        </c:txPr>
        <c:crossAx val="62224829"/>
        <c:crosses val="autoZero"/>
        <c:auto val="1"/>
        <c:lblAlgn val="ctr"/>
        <c:lblOffset val="100"/>
        <c:noMultiLvlLbl val="0"/>
      </c:catAx>
      <c:valAx>
        <c:axId val="62224829"/>
        <c:scaling>
          <c:orientation val="minMax"/>
          <c:max val="50"/>
          <c:min val="0"/>
        </c:scaling>
        <c:delete val="1"/>
        <c:axPos val="l"/>
        <c:numFmt formatCode="0.0" sourceLinked="1"/>
        <c:majorTickMark val="none"/>
        <c:minorTickMark val="none"/>
        <c:tickLblPos val="nextTo"/>
        <c:crossAx val="34374824"/>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CO"/>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En descuentos, la cifra concreta abre 41,6 % y la urgencia sola 21,3 %</a:t>
            </a:r>
          </a:p>
        </c:rich>
      </c:tx>
      <c:overlay val="0"/>
      <c:spPr>
        <a:noFill/>
        <a:ln w="0">
          <a:noFill/>
        </a:ln>
      </c:spPr>
    </c:title>
    <c:autoTitleDeleted val="0"/>
    <c:plotArea>
      <c:layout/>
      <c:barChart>
        <c:barDir val="col"/>
        <c:grouping val="clustered"/>
        <c:varyColors val="0"/>
        <c:ser>
          <c:idx val="0"/>
          <c:order val="0"/>
          <c:tx>
            <c:strRef>
              <c:f>'H4 TEMÁTICA HOT SALE'!$C$36</c:f>
              <c:strCache>
                <c:ptCount val="1"/>
                <c:pt idx="0">
                  <c:v>Apertura (%)</c:v>
                </c:pt>
              </c:strCache>
            </c:strRef>
          </c:tx>
          <c:spPr>
            <a:solidFill>
              <a:srgbClr val="901C1A"/>
            </a:solidFill>
            <a:ln w="0">
              <a:solidFill>
                <a:srgbClr val="901C1A"/>
              </a:solidFill>
            </a:ln>
          </c:spPr>
          <c:invertIfNegative val="0"/>
          <c:dLbls>
            <c:spPr>
              <a:noFill/>
              <a:ln>
                <a:noFill/>
              </a:ln>
              <a:effectLst/>
            </c:spPr>
            <c:txPr>
              <a:bodyPr wrap="square"/>
              <a:lstStyle/>
              <a:p>
                <a:pPr>
                  <a:defRPr sz="1000" b="0" strike="noStrike" spc="-1">
                    <a:solidFill>
                      <a:srgbClr val="000000"/>
                    </a:solidFill>
                    <a:latin typeface="Calibri"/>
                  </a:defRPr>
                </a:pPr>
                <a:endParaRPr lang="en-CO"/>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'H4 TEMÁTICA HOT SALE'!$A$37:$A$40</c:f>
              <c:strCache>
                <c:ptCount val="4"/>
                <c:pt idx="0">
                  <c:v>Con cifra concreta</c:v>
                </c:pt>
                <c:pt idx="1">
                  <c:v>Recompensa o sorpresa</c:v>
                </c:pt>
                <c:pt idx="2">
                  <c:v>Otro: beneficio o novedad</c:v>
                </c:pt>
                <c:pt idx="3">
                  <c:v>Solo urgencia, sin cifra</c:v>
                </c:pt>
              </c:strCache>
            </c:strRef>
          </c:cat>
          <c:val>
            <c:numRef>
              <c:f>'H4 TEMÁTICA HOT SALE'!$C$37:$C$40</c:f>
              <c:numCache>
                <c:formatCode>0.0</c:formatCode>
                <c:ptCount val="4"/>
                <c:pt idx="0">
                  <c:v>41.593592985418489</c:v>
                </c:pt>
                <c:pt idx="1">
                  <c:v>30.707806475530596</c:v>
                </c:pt>
                <c:pt idx="2">
                  <c:v>32.735202146551309</c:v>
                </c:pt>
                <c:pt idx="3">
                  <c:v>21.257415548708167</c:v>
                </c:pt>
              </c:numCache>
            </c:numRef>
          </c:val>
          <c:extLst>
            <c:ext xmlns:c16="http://schemas.microsoft.com/office/drawing/2014/chart" uri="{C3380CC4-5D6E-409C-BE32-E72D297353CC}">
              <c16:uniqueId val="{00000000-5C2B-1444-9832-A2D39441C8B0}"/>
            </c:ext>
          </c:extLst>
        </c:ser>
        <c:ser>
          <c:idx val="1"/>
          <c:order val="1"/>
          <c:tx>
            <c:strRef>
              <c:f>'H4 TEMÁTICA HOT SALE'!$D$36</c:f>
              <c:strCache>
                <c:ptCount val="1"/>
                <c:pt idx="0">
                  <c:v>CTR (%)</c:v>
                </c:pt>
              </c:strCache>
            </c:strRef>
          </c:tx>
          <c:spPr>
            <a:solidFill>
              <a:srgbClr val="000000"/>
            </a:solidFill>
            <a:ln w="0">
              <a:solidFill>
                <a:srgbClr val="000000"/>
              </a:solidFill>
            </a:ln>
          </c:spPr>
          <c:invertIfNegative val="0"/>
          <c:dLbls>
            <c:spPr>
              <a:noFill/>
              <a:ln>
                <a:noFill/>
              </a:ln>
              <a:effectLst/>
            </c:spPr>
            <c:txPr>
              <a:bodyPr wrap="square"/>
              <a:lstStyle/>
              <a:p>
                <a:pPr>
                  <a:defRPr sz="1000" b="0" strike="noStrike" spc="-1">
                    <a:solidFill>
                      <a:srgbClr val="000000"/>
                    </a:solidFill>
                    <a:latin typeface="Calibri"/>
                  </a:defRPr>
                </a:pPr>
                <a:endParaRPr lang="en-CO"/>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'H4 TEMÁTICA HOT SALE'!$A$37:$A$40</c:f>
              <c:strCache>
                <c:ptCount val="4"/>
                <c:pt idx="0">
                  <c:v>Con cifra concreta</c:v>
                </c:pt>
                <c:pt idx="1">
                  <c:v>Recompensa o sorpresa</c:v>
                </c:pt>
                <c:pt idx="2">
                  <c:v>Otro: beneficio o novedad</c:v>
                </c:pt>
                <c:pt idx="3">
                  <c:v>Solo urgencia, sin cifra</c:v>
                </c:pt>
              </c:strCache>
            </c:strRef>
          </c:cat>
          <c:val>
            <c:numRef>
              <c:f>'H4 TEMÁTICA HOT SALE'!$D$37:$D$40</c:f>
              <c:numCache>
                <c:formatCode>0.0</c:formatCode>
                <c:ptCount val="4"/>
                <c:pt idx="0">
                  <c:v>10.640007862164545</c:v>
                </c:pt>
                <c:pt idx="1">
                  <c:v>9.917253790078485</c:v>
                </c:pt>
                <c:pt idx="2">
                  <c:v>9.5296091307474082</c:v>
                </c:pt>
                <c:pt idx="3">
                  <c:v>8.0652296890237913</c:v>
                </c:pt>
              </c:numCache>
            </c:numRef>
          </c:val>
          <c:extLst>
            <c:ext xmlns:c16="http://schemas.microsoft.com/office/drawing/2014/chart" uri="{C3380CC4-5D6E-409C-BE32-E72D297353CC}">
              <c16:uniqueId val="{00000001-5C2B-1444-9832-A2D39441C8B0}"/>
            </c:ext>
          </c:extLst>
        </c:ser>
        <c:dLbls>
          <c:showLegendKey val="0"/>
          <c:showVal val="0"/>
          <c:showCatName val="0"/>
          <c:showSerName val="0"/>
          <c:showPercent val="0"/>
          <c:showBubbleSize val="0"/>
        </c:dLbls>
        <c:gapWidth val="60"/>
        <c:axId val="27711352"/>
        <c:axId val="85822547"/>
      </c:barChart>
      <c:catAx>
        <c:axId val="27711352"/>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CO"/>
          </a:p>
        </c:txPr>
        <c:crossAx val="85822547"/>
        <c:crosses val="autoZero"/>
        <c:auto val="1"/>
        <c:lblAlgn val="ctr"/>
        <c:lblOffset val="100"/>
        <c:noMultiLvlLbl val="0"/>
      </c:catAx>
      <c:valAx>
        <c:axId val="85822547"/>
        <c:scaling>
          <c:orientation val="minMax"/>
          <c:max val="50"/>
          <c:min val="0"/>
        </c:scaling>
        <c:delete val="1"/>
        <c:axPos val="l"/>
        <c:numFmt formatCode="0.0" sourceLinked="1"/>
        <c:majorTickMark val="none"/>
        <c:minorTickMark val="none"/>
        <c:tickLblPos val="nextTo"/>
        <c:crossAx val="27711352"/>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CO"/>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En descuentos, la quincena tampoco cambia la apertura</a:t>
            </a:r>
          </a:p>
        </c:rich>
      </c:tx>
      <c:overlay val="0"/>
      <c:spPr>
        <a:noFill/>
        <a:ln w="0">
          <a:noFill/>
        </a:ln>
      </c:spPr>
    </c:title>
    <c:autoTitleDeleted val="0"/>
    <c:plotArea>
      <c:layout/>
      <c:barChart>
        <c:barDir val="col"/>
        <c:grouping val="clustered"/>
        <c:varyColors val="0"/>
        <c:ser>
          <c:idx val="0"/>
          <c:order val="0"/>
          <c:tx>
            <c:strRef>
              <c:f>'H4 TEMÁTICA HOT SALE'!$C$60</c:f>
              <c:strCache>
                <c:ptCount val="1"/>
                <c:pt idx="0">
                  <c:v>Apertura (%)</c:v>
                </c:pt>
              </c:strCache>
            </c:strRef>
          </c:tx>
          <c:spPr>
            <a:solidFill>
              <a:srgbClr val="901C1A"/>
            </a:solidFill>
            <a:ln w="0">
              <a:solidFill>
                <a:srgbClr val="901C1A"/>
              </a:solidFill>
            </a:ln>
          </c:spPr>
          <c:invertIfNegative val="0"/>
          <c:dLbls>
            <c:spPr>
              <a:noFill/>
              <a:ln>
                <a:noFill/>
              </a:ln>
              <a:effectLst/>
            </c:spPr>
            <c:txPr>
              <a:bodyPr wrap="square"/>
              <a:lstStyle/>
              <a:p>
                <a:pPr>
                  <a:defRPr sz="1000" b="0" strike="noStrike" spc="-1">
                    <a:solidFill>
                      <a:srgbClr val="000000"/>
                    </a:solidFill>
                    <a:latin typeface="Calibri"/>
                  </a:defRPr>
                </a:pPr>
                <a:endParaRPr lang="en-CO"/>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'H4 TEMÁTICA HOT SALE'!$A$61:$A$63</c:f>
              <c:strCache>
                <c:ptCount val="3"/>
                <c:pt idx="0">
                  <c:v>Quincena</c:v>
                </c:pt>
                <c:pt idx="1">
                  <c:v>Días después del pago</c:v>
                </c:pt>
                <c:pt idx="2">
                  <c:v>Resto del mes</c:v>
                </c:pt>
              </c:strCache>
            </c:strRef>
          </c:cat>
          <c:val>
            <c:numRef>
              <c:f>'H4 TEMÁTICA HOT SALE'!$C$61:$C$63</c:f>
              <c:numCache>
                <c:formatCode>0.0</c:formatCode>
                <c:ptCount val="3"/>
                <c:pt idx="0">
                  <c:v>28.696124183741251</c:v>
                </c:pt>
                <c:pt idx="1">
                  <c:v>30.998500195838087</c:v>
                </c:pt>
                <c:pt idx="2">
                  <c:v>30.312775835197506</c:v>
                </c:pt>
              </c:numCache>
            </c:numRef>
          </c:val>
          <c:extLst>
            <c:ext xmlns:c16="http://schemas.microsoft.com/office/drawing/2014/chart" uri="{C3380CC4-5D6E-409C-BE32-E72D297353CC}">
              <c16:uniqueId val="{00000000-F75B-D84F-9936-004A3C01898D}"/>
            </c:ext>
          </c:extLst>
        </c:ser>
        <c:ser>
          <c:idx val="1"/>
          <c:order val="1"/>
          <c:tx>
            <c:strRef>
              <c:f>'H4 TEMÁTICA HOT SALE'!$D$60</c:f>
              <c:strCache>
                <c:ptCount val="1"/>
                <c:pt idx="0">
                  <c:v>CTR (%)</c:v>
                </c:pt>
              </c:strCache>
            </c:strRef>
          </c:tx>
          <c:spPr>
            <a:solidFill>
              <a:srgbClr val="000000"/>
            </a:solidFill>
            <a:ln w="0">
              <a:solidFill>
                <a:srgbClr val="000000"/>
              </a:solidFill>
            </a:ln>
          </c:spPr>
          <c:invertIfNegative val="0"/>
          <c:dLbls>
            <c:spPr>
              <a:noFill/>
              <a:ln>
                <a:noFill/>
              </a:ln>
              <a:effectLst/>
            </c:spPr>
            <c:txPr>
              <a:bodyPr wrap="square"/>
              <a:lstStyle/>
              <a:p>
                <a:pPr>
                  <a:defRPr sz="1000" b="0" strike="noStrike" spc="-1">
                    <a:solidFill>
                      <a:srgbClr val="000000"/>
                    </a:solidFill>
                    <a:latin typeface="Calibri"/>
                  </a:defRPr>
                </a:pPr>
                <a:endParaRPr lang="en-CO"/>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'H4 TEMÁTICA HOT SALE'!$A$61:$A$63</c:f>
              <c:strCache>
                <c:ptCount val="3"/>
                <c:pt idx="0">
                  <c:v>Quincena</c:v>
                </c:pt>
                <c:pt idx="1">
                  <c:v>Días después del pago</c:v>
                </c:pt>
                <c:pt idx="2">
                  <c:v>Resto del mes</c:v>
                </c:pt>
              </c:strCache>
            </c:strRef>
          </c:cat>
          <c:val>
            <c:numRef>
              <c:f>'H4 TEMÁTICA HOT SALE'!$D$61:$D$63</c:f>
              <c:numCache>
                <c:formatCode>0.0</c:formatCode>
                <c:ptCount val="3"/>
                <c:pt idx="0">
                  <c:v>8.6609898511127295</c:v>
                </c:pt>
                <c:pt idx="1">
                  <c:v>9.4686403346159871</c:v>
                </c:pt>
                <c:pt idx="2">
                  <c:v>9.7471840876656373</c:v>
                </c:pt>
              </c:numCache>
            </c:numRef>
          </c:val>
          <c:extLst>
            <c:ext xmlns:c16="http://schemas.microsoft.com/office/drawing/2014/chart" uri="{C3380CC4-5D6E-409C-BE32-E72D297353CC}">
              <c16:uniqueId val="{00000001-F75B-D84F-9936-004A3C01898D}"/>
            </c:ext>
          </c:extLst>
        </c:ser>
        <c:dLbls>
          <c:showLegendKey val="0"/>
          <c:showVal val="0"/>
          <c:showCatName val="0"/>
          <c:showSerName val="0"/>
          <c:showPercent val="0"/>
          <c:showBubbleSize val="0"/>
        </c:dLbls>
        <c:gapWidth val="60"/>
        <c:axId val="85849528"/>
        <c:axId val="44463928"/>
      </c:barChart>
      <c:catAx>
        <c:axId val="85849528"/>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CO"/>
          </a:p>
        </c:txPr>
        <c:crossAx val="44463928"/>
        <c:crosses val="autoZero"/>
        <c:auto val="1"/>
        <c:lblAlgn val="ctr"/>
        <c:lblOffset val="100"/>
        <c:noMultiLvlLbl val="0"/>
      </c:catAx>
      <c:valAx>
        <c:axId val="44463928"/>
        <c:scaling>
          <c:orientation val="minMax"/>
          <c:max val="50"/>
          <c:min val="0"/>
        </c:scaling>
        <c:delete val="1"/>
        <c:axPos val="l"/>
        <c:numFmt formatCode="0.0" sourceLinked="1"/>
        <c:majorTickMark val="none"/>
        <c:minorTickMark val="none"/>
        <c:tickLblPos val="nextTo"/>
        <c:crossAx val="85849528"/>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CO"/>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En descuentos, ningún día de la semana abre más que los demás</a:t>
            </a:r>
          </a:p>
        </c:rich>
      </c:tx>
      <c:overlay val="0"/>
      <c:spPr>
        <a:noFill/>
        <a:ln w="0">
          <a:noFill/>
        </a:ln>
      </c:spPr>
    </c:title>
    <c:autoTitleDeleted val="0"/>
    <c:plotArea>
      <c:layout/>
      <c:barChart>
        <c:barDir val="col"/>
        <c:grouping val="clustered"/>
        <c:varyColors val="0"/>
        <c:ser>
          <c:idx val="0"/>
          <c:order val="0"/>
          <c:tx>
            <c:strRef>
              <c:f>'H4 TEMÁTICA HOT SALE'!$C$84</c:f>
              <c:strCache>
                <c:ptCount val="1"/>
                <c:pt idx="0">
                  <c:v>Apertura (%)</c:v>
                </c:pt>
              </c:strCache>
            </c:strRef>
          </c:tx>
          <c:spPr>
            <a:solidFill>
              <a:srgbClr val="901C1A"/>
            </a:solidFill>
            <a:ln w="0">
              <a:solidFill>
                <a:srgbClr val="901C1A"/>
              </a:solidFill>
            </a:ln>
          </c:spPr>
          <c:invertIfNegative val="0"/>
          <c:dLbls>
            <c:spPr>
              <a:noFill/>
              <a:ln>
                <a:noFill/>
              </a:ln>
              <a:effectLst/>
            </c:spPr>
            <c:txPr>
              <a:bodyPr wrap="square"/>
              <a:lstStyle/>
              <a:p>
                <a:pPr>
                  <a:defRPr sz="1000" b="0" strike="noStrike" spc="-1">
                    <a:solidFill>
                      <a:srgbClr val="000000"/>
                    </a:solidFill>
                    <a:latin typeface="Calibri"/>
                  </a:defRPr>
                </a:pPr>
                <a:endParaRPr lang="en-CO"/>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'H4 TEMÁTICA HOT SALE'!$A$85:$A$91</c:f>
              <c:strCache>
                <c:ptCount val="7"/>
                <c:pt idx="0">
                  <c:v>Lunes</c:v>
                </c:pt>
                <c:pt idx="1">
                  <c:v>Martes</c:v>
                </c:pt>
                <c:pt idx="2">
                  <c:v>Miércoles</c:v>
                </c:pt>
                <c:pt idx="3">
                  <c:v>Jueves</c:v>
                </c:pt>
                <c:pt idx="4">
                  <c:v>Viernes</c:v>
                </c:pt>
                <c:pt idx="5">
                  <c:v>Sábado</c:v>
                </c:pt>
                <c:pt idx="6">
                  <c:v>Domingo</c:v>
                </c:pt>
              </c:strCache>
            </c:strRef>
          </c:cat>
          <c:val>
            <c:numRef>
              <c:f>'H4 TEMÁTICA HOT SALE'!$C$85:$C$91</c:f>
              <c:numCache>
                <c:formatCode>0.0</c:formatCode>
                <c:ptCount val="7"/>
                <c:pt idx="0">
                  <c:v>32.188424471851462</c:v>
                </c:pt>
                <c:pt idx="1">
                  <c:v>29.75947019576526</c:v>
                </c:pt>
                <c:pt idx="2">
                  <c:v>31.232565378186703</c:v>
                </c:pt>
                <c:pt idx="3">
                  <c:v>30.176602390994212</c:v>
                </c:pt>
                <c:pt idx="4">
                  <c:v>28.060256989067526</c:v>
                </c:pt>
                <c:pt idx="5">
                  <c:v>27.202830167408777</c:v>
                </c:pt>
                <c:pt idx="6">
                  <c:v>33.118311474976473</c:v>
                </c:pt>
              </c:numCache>
            </c:numRef>
          </c:val>
          <c:extLst>
            <c:ext xmlns:c16="http://schemas.microsoft.com/office/drawing/2014/chart" uri="{C3380CC4-5D6E-409C-BE32-E72D297353CC}">
              <c16:uniqueId val="{00000000-0E2F-5D41-A1B7-0C62924048AE}"/>
            </c:ext>
          </c:extLst>
        </c:ser>
        <c:ser>
          <c:idx val="1"/>
          <c:order val="1"/>
          <c:tx>
            <c:strRef>
              <c:f>'H4 TEMÁTICA HOT SALE'!$D$84</c:f>
              <c:strCache>
                <c:ptCount val="1"/>
                <c:pt idx="0">
                  <c:v>CTR (%)</c:v>
                </c:pt>
              </c:strCache>
            </c:strRef>
          </c:tx>
          <c:spPr>
            <a:solidFill>
              <a:srgbClr val="000000"/>
            </a:solidFill>
            <a:ln w="0">
              <a:solidFill>
                <a:srgbClr val="000000"/>
              </a:solidFill>
            </a:ln>
          </c:spPr>
          <c:invertIfNegative val="0"/>
          <c:dLbls>
            <c:spPr>
              <a:noFill/>
              <a:ln>
                <a:noFill/>
              </a:ln>
              <a:effectLst/>
            </c:spPr>
            <c:txPr>
              <a:bodyPr wrap="square"/>
              <a:lstStyle/>
              <a:p>
                <a:pPr>
                  <a:defRPr sz="1000" b="0" strike="noStrike" spc="-1">
                    <a:solidFill>
                      <a:srgbClr val="000000"/>
                    </a:solidFill>
                    <a:latin typeface="Calibri"/>
                  </a:defRPr>
                </a:pPr>
                <a:endParaRPr lang="en-CO"/>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'H4 TEMÁTICA HOT SALE'!$A$85:$A$91</c:f>
              <c:strCache>
                <c:ptCount val="7"/>
                <c:pt idx="0">
                  <c:v>Lunes</c:v>
                </c:pt>
                <c:pt idx="1">
                  <c:v>Martes</c:v>
                </c:pt>
                <c:pt idx="2">
                  <c:v>Miércoles</c:v>
                </c:pt>
                <c:pt idx="3">
                  <c:v>Jueves</c:v>
                </c:pt>
                <c:pt idx="4">
                  <c:v>Viernes</c:v>
                </c:pt>
                <c:pt idx="5">
                  <c:v>Sábado</c:v>
                </c:pt>
                <c:pt idx="6">
                  <c:v>Domingo</c:v>
                </c:pt>
              </c:strCache>
            </c:strRef>
          </c:cat>
          <c:val>
            <c:numRef>
              <c:f>'H4 TEMÁTICA HOT SALE'!$D$85:$D$91</c:f>
              <c:numCache>
                <c:formatCode>0.0</c:formatCode>
                <c:ptCount val="7"/>
                <c:pt idx="0">
                  <c:v>9.7230436493047847</c:v>
                </c:pt>
                <c:pt idx="1">
                  <c:v>9.9026914506255288</c:v>
                </c:pt>
                <c:pt idx="2">
                  <c:v>9.7460808905828653</c:v>
                </c:pt>
                <c:pt idx="3">
                  <c:v>9.1106082185750115</c:v>
                </c:pt>
                <c:pt idx="4">
                  <c:v>8.4225011413682971</c:v>
                </c:pt>
                <c:pt idx="5">
                  <c:v>8.6127331379028522</c:v>
                </c:pt>
                <c:pt idx="6">
                  <c:v>11.313938625209941</c:v>
                </c:pt>
              </c:numCache>
            </c:numRef>
          </c:val>
          <c:extLst>
            <c:ext xmlns:c16="http://schemas.microsoft.com/office/drawing/2014/chart" uri="{C3380CC4-5D6E-409C-BE32-E72D297353CC}">
              <c16:uniqueId val="{00000001-0E2F-5D41-A1B7-0C62924048AE}"/>
            </c:ext>
          </c:extLst>
        </c:ser>
        <c:dLbls>
          <c:showLegendKey val="0"/>
          <c:showVal val="0"/>
          <c:showCatName val="0"/>
          <c:showSerName val="0"/>
          <c:showPercent val="0"/>
          <c:showBubbleSize val="0"/>
        </c:dLbls>
        <c:gapWidth val="60"/>
        <c:axId val="98237599"/>
        <c:axId val="3856558"/>
      </c:barChart>
      <c:catAx>
        <c:axId val="98237599"/>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CO"/>
          </a:p>
        </c:txPr>
        <c:crossAx val="3856558"/>
        <c:crosses val="autoZero"/>
        <c:auto val="1"/>
        <c:lblAlgn val="ctr"/>
        <c:lblOffset val="100"/>
        <c:noMultiLvlLbl val="0"/>
      </c:catAx>
      <c:valAx>
        <c:axId val="3856558"/>
        <c:scaling>
          <c:orientation val="minMax"/>
          <c:max val="50"/>
          <c:min val="0"/>
        </c:scaling>
        <c:delete val="1"/>
        <c:axPos val="l"/>
        <c:numFmt formatCode="0.0" sourceLinked="1"/>
        <c:majorTickMark val="none"/>
        <c:minorTickMark val="none"/>
        <c:tickLblPos val="nextTo"/>
        <c:crossAx val="98237599"/>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CO"/>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En descuentos, ninguna hora de envío se separa del resto</a:t>
            </a:r>
          </a:p>
        </c:rich>
      </c:tx>
      <c:overlay val="0"/>
      <c:spPr>
        <a:noFill/>
        <a:ln w="0">
          <a:noFill/>
        </a:ln>
      </c:spPr>
    </c:title>
    <c:autoTitleDeleted val="0"/>
    <c:plotArea>
      <c:layout/>
      <c:barChart>
        <c:barDir val="col"/>
        <c:grouping val="clustered"/>
        <c:varyColors val="0"/>
        <c:ser>
          <c:idx val="0"/>
          <c:order val="0"/>
          <c:tx>
            <c:strRef>
              <c:f>'H4 TEMÁTICA HOT SALE'!$C$108</c:f>
              <c:strCache>
                <c:ptCount val="1"/>
                <c:pt idx="0">
                  <c:v>Apertura (%)</c:v>
                </c:pt>
              </c:strCache>
            </c:strRef>
          </c:tx>
          <c:spPr>
            <a:solidFill>
              <a:srgbClr val="901C1A"/>
            </a:solidFill>
            <a:ln w="0">
              <a:solidFill>
                <a:srgbClr val="901C1A"/>
              </a:solidFill>
            </a:ln>
          </c:spPr>
          <c:invertIfNegative val="0"/>
          <c:dLbls>
            <c:spPr>
              <a:noFill/>
              <a:ln>
                <a:noFill/>
              </a:ln>
              <a:effectLst/>
            </c:spPr>
            <c:txPr>
              <a:bodyPr wrap="square"/>
              <a:lstStyle/>
              <a:p>
                <a:pPr>
                  <a:defRPr sz="1000" b="0" strike="noStrike" spc="-1">
                    <a:solidFill>
                      <a:srgbClr val="000000"/>
                    </a:solidFill>
                    <a:latin typeface="Calibri"/>
                  </a:defRPr>
                </a:pPr>
                <a:endParaRPr lang="en-CO"/>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'H4 TEMÁTICA HOT SALE'!$A$109:$A$117</c:f>
              <c:numCache>
                <c:formatCode>General</c:formatCode>
                <c:ptCount val="9"/>
                <c:pt idx="0">
                  <c:v>8</c:v>
                </c:pt>
                <c:pt idx="1">
                  <c:v>9</c:v>
                </c:pt>
                <c:pt idx="2">
                  <c:v>10</c:v>
                </c:pt>
                <c:pt idx="3">
                  <c:v>11</c:v>
                </c:pt>
                <c:pt idx="4">
                  <c:v>12</c:v>
                </c:pt>
                <c:pt idx="5">
                  <c:v>13</c:v>
                </c:pt>
                <c:pt idx="6">
                  <c:v>14</c:v>
                </c:pt>
                <c:pt idx="7">
                  <c:v>15</c:v>
                </c:pt>
                <c:pt idx="8">
                  <c:v>16</c:v>
                </c:pt>
              </c:numCache>
            </c:numRef>
          </c:cat>
          <c:val>
            <c:numRef>
              <c:f>'H4 TEMÁTICA HOT SALE'!$C$109:$C$117</c:f>
              <c:numCache>
                <c:formatCode>0.0</c:formatCode>
                <c:ptCount val="9"/>
                <c:pt idx="0">
                  <c:v>28.996584860624559</c:v>
                </c:pt>
                <c:pt idx="1">
                  <c:v>30.684769975402642</c:v>
                </c:pt>
                <c:pt idx="2">
                  <c:v>30.915001390034359</c:v>
                </c:pt>
                <c:pt idx="3">
                  <c:v>27.703451525974959</c:v>
                </c:pt>
                <c:pt idx="4">
                  <c:v>37.091232135550769</c:v>
                </c:pt>
                <c:pt idx="5">
                  <c:v>29.167677931605891</c:v>
                </c:pt>
                <c:pt idx="6">
                  <c:v>27.253713327212683</c:v>
                </c:pt>
                <c:pt idx="7">
                  <c:v>33.654977926686037</c:v>
                </c:pt>
                <c:pt idx="8">
                  <c:v>28.27378845976563</c:v>
                </c:pt>
              </c:numCache>
            </c:numRef>
          </c:val>
          <c:extLst>
            <c:ext xmlns:c16="http://schemas.microsoft.com/office/drawing/2014/chart" uri="{C3380CC4-5D6E-409C-BE32-E72D297353CC}">
              <c16:uniqueId val="{00000000-2914-F248-BFED-51B4FD62821C}"/>
            </c:ext>
          </c:extLst>
        </c:ser>
        <c:ser>
          <c:idx val="1"/>
          <c:order val="1"/>
          <c:tx>
            <c:strRef>
              <c:f>'H4 TEMÁTICA HOT SALE'!$D$108</c:f>
              <c:strCache>
                <c:ptCount val="1"/>
                <c:pt idx="0">
                  <c:v>CTR (%)</c:v>
                </c:pt>
              </c:strCache>
            </c:strRef>
          </c:tx>
          <c:spPr>
            <a:solidFill>
              <a:srgbClr val="000000"/>
            </a:solidFill>
            <a:ln w="0">
              <a:solidFill>
                <a:srgbClr val="000000"/>
              </a:solidFill>
            </a:ln>
          </c:spPr>
          <c:invertIfNegative val="0"/>
          <c:dLbls>
            <c:spPr>
              <a:noFill/>
              <a:ln>
                <a:noFill/>
              </a:ln>
              <a:effectLst/>
            </c:spPr>
            <c:txPr>
              <a:bodyPr wrap="square"/>
              <a:lstStyle/>
              <a:p>
                <a:pPr>
                  <a:defRPr sz="1000" b="0" strike="noStrike" spc="-1">
                    <a:solidFill>
                      <a:srgbClr val="000000"/>
                    </a:solidFill>
                    <a:latin typeface="Calibri"/>
                  </a:defRPr>
                </a:pPr>
                <a:endParaRPr lang="en-CO"/>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'H4 TEMÁTICA HOT SALE'!$A$109:$A$117</c:f>
              <c:numCache>
                <c:formatCode>General</c:formatCode>
                <c:ptCount val="9"/>
                <c:pt idx="0">
                  <c:v>8</c:v>
                </c:pt>
                <c:pt idx="1">
                  <c:v>9</c:v>
                </c:pt>
                <c:pt idx="2">
                  <c:v>10</c:v>
                </c:pt>
                <c:pt idx="3">
                  <c:v>11</c:v>
                </c:pt>
                <c:pt idx="4">
                  <c:v>12</c:v>
                </c:pt>
                <c:pt idx="5">
                  <c:v>13</c:v>
                </c:pt>
                <c:pt idx="6">
                  <c:v>14</c:v>
                </c:pt>
                <c:pt idx="7">
                  <c:v>15</c:v>
                </c:pt>
                <c:pt idx="8">
                  <c:v>16</c:v>
                </c:pt>
              </c:numCache>
            </c:numRef>
          </c:cat>
          <c:val>
            <c:numRef>
              <c:f>'H4 TEMÁTICA HOT SALE'!$D$109:$D$117</c:f>
              <c:numCache>
                <c:formatCode>0.0</c:formatCode>
                <c:ptCount val="9"/>
                <c:pt idx="0">
                  <c:v>7.6433660397425811</c:v>
                </c:pt>
                <c:pt idx="1">
                  <c:v>9.1914212640601942</c:v>
                </c:pt>
                <c:pt idx="2">
                  <c:v>10.136858828757358</c:v>
                </c:pt>
                <c:pt idx="3">
                  <c:v>9.0613249693159972</c:v>
                </c:pt>
                <c:pt idx="4">
                  <c:v>10.296305833585295</c:v>
                </c:pt>
                <c:pt idx="5">
                  <c:v>9.3819117639651317</c:v>
                </c:pt>
                <c:pt idx="6">
                  <c:v>9.2860913494319846</c:v>
                </c:pt>
                <c:pt idx="7">
                  <c:v>10.241311766449241</c:v>
                </c:pt>
                <c:pt idx="8">
                  <c:v>8.5242855811706733</c:v>
                </c:pt>
              </c:numCache>
            </c:numRef>
          </c:val>
          <c:extLst>
            <c:ext xmlns:c16="http://schemas.microsoft.com/office/drawing/2014/chart" uri="{C3380CC4-5D6E-409C-BE32-E72D297353CC}">
              <c16:uniqueId val="{00000001-2914-F248-BFED-51B4FD62821C}"/>
            </c:ext>
          </c:extLst>
        </c:ser>
        <c:dLbls>
          <c:showLegendKey val="0"/>
          <c:showVal val="0"/>
          <c:showCatName val="0"/>
          <c:showSerName val="0"/>
          <c:showPercent val="0"/>
          <c:showBubbleSize val="0"/>
        </c:dLbls>
        <c:gapWidth val="60"/>
        <c:axId val="13614511"/>
        <c:axId val="28750236"/>
      </c:barChart>
      <c:catAx>
        <c:axId val="13614511"/>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CO"/>
          </a:p>
        </c:txPr>
        <c:crossAx val="28750236"/>
        <c:crosses val="autoZero"/>
        <c:auto val="1"/>
        <c:lblAlgn val="ctr"/>
        <c:lblOffset val="100"/>
        <c:noMultiLvlLbl val="0"/>
      </c:catAx>
      <c:valAx>
        <c:axId val="28750236"/>
        <c:scaling>
          <c:orientation val="minMax"/>
          <c:max val="50"/>
          <c:min val="0"/>
        </c:scaling>
        <c:delete val="1"/>
        <c:axPos val="l"/>
        <c:numFmt formatCode="0.0" sourceLinked="1"/>
        <c:majorTickMark val="none"/>
        <c:minorTickMark val="none"/>
        <c:tickLblPos val="nextTo"/>
        <c:crossAx val="13614511"/>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CO"/>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El tiempo límite en el asunto baja la apertura a 20,8 %; en el preheader sube a 37,6 %</a:t>
            </a:r>
          </a:p>
        </c:rich>
      </c:tx>
      <c:overlay val="0"/>
      <c:spPr>
        <a:noFill/>
        <a:ln w="0">
          <a:noFill/>
        </a:ln>
      </c:spPr>
    </c:title>
    <c:autoTitleDeleted val="0"/>
    <c:plotArea>
      <c:layout/>
      <c:barChart>
        <c:barDir val="bar"/>
        <c:grouping val="clustered"/>
        <c:varyColors val="0"/>
        <c:ser>
          <c:idx val="0"/>
          <c:order val="0"/>
          <c:tx>
            <c:strRef>
              <c:f>'H4 TEMÁTICA HOT SALE'!$C$132</c:f>
              <c:strCache>
                <c:ptCount val="1"/>
                <c:pt idx="0">
                  <c:v>Apertura (%)</c:v>
                </c:pt>
              </c:strCache>
            </c:strRef>
          </c:tx>
          <c:spPr>
            <a:solidFill>
              <a:srgbClr val="901C1A"/>
            </a:solidFill>
            <a:ln w="0">
              <a:solidFill>
                <a:srgbClr val="901C1A"/>
              </a:solidFill>
            </a:ln>
          </c:spPr>
          <c:invertIfNegative val="0"/>
          <c:dLbls>
            <c:spPr>
              <a:noFill/>
              <a:ln>
                <a:noFill/>
              </a:ln>
              <a:effectLst/>
            </c:spPr>
            <c:txPr>
              <a:bodyPr wrap="square"/>
              <a:lstStyle/>
              <a:p>
                <a:pPr>
                  <a:defRPr sz="1000" b="0" strike="noStrike" spc="-1">
                    <a:solidFill>
                      <a:srgbClr val="000000"/>
                    </a:solidFill>
                    <a:latin typeface="Calibri"/>
                  </a:defRPr>
                </a:pPr>
                <a:endParaRPr lang="en-CO"/>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'H4 TEMÁTICA HOT SALE'!$A$133:$A$136</c:f>
              <c:strCache>
                <c:ptCount val="4"/>
                <c:pt idx="0">
                  <c:v>Descuento sin tiempo límite</c:v>
                </c:pt>
                <c:pt idx="1">
                  <c:v>Descuento con tiempo límite solo en el preheader</c:v>
                </c:pt>
                <c:pt idx="2">
                  <c:v>Descuento con tiempo límite en el asunto</c:v>
                </c:pt>
                <c:pt idx="3">
                  <c:v>Sin descuento</c:v>
                </c:pt>
              </c:strCache>
            </c:strRef>
          </c:cat>
          <c:val>
            <c:numRef>
              <c:f>'H4 TEMÁTICA HOT SALE'!$C$133:$C$136</c:f>
              <c:numCache>
                <c:formatCode>0.0</c:formatCode>
                <c:ptCount val="4"/>
                <c:pt idx="0">
                  <c:v>32.142247305736767</c:v>
                </c:pt>
                <c:pt idx="1">
                  <c:v>37.555790098765478</c:v>
                </c:pt>
                <c:pt idx="2">
                  <c:v>20.798269672331276</c:v>
                </c:pt>
                <c:pt idx="3">
                  <c:v>27.793976916791504</c:v>
                </c:pt>
              </c:numCache>
            </c:numRef>
          </c:val>
          <c:extLst>
            <c:ext xmlns:c16="http://schemas.microsoft.com/office/drawing/2014/chart" uri="{C3380CC4-5D6E-409C-BE32-E72D297353CC}">
              <c16:uniqueId val="{00000000-830E-8A4B-B24E-D540ECF470BB}"/>
            </c:ext>
          </c:extLst>
        </c:ser>
        <c:ser>
          <c:idx val="1"/>
          <c:order val="1"/>
          <c:tx>
            <c:strRef>
              <c:f>'H4 TEMÁTICA HOT SALE'!$D$132</c:f>
              <c:strCache>
                <c:ptCount val="1"/>
                <c:pt idx="0">
                  <c:v>CTR (%)</c:v>
                </c:pt>
              </c:strCache>
            </c:strRef>
          </c:tx>
          <c:spPr>
            <a:solidFill>
              <a:srgbClr val="000000"/>
            </a:solidFill>
            <a:ln w="0">
              <a:solidFill>
                <a:srgbClr val="000000"/>
              </a:solidFill>
            </a:ln>
          </c:spPr>
          <c:invertIfNegative val="0"/>
          <c:dLbls>
            <c:spPr>
              <a:noFill/>
              <a:ln>
                <a:noFill/>
              </a:ln>
              <a:effectLst/>
            </c:spPr>
            <c:txPr>
              <a:bodyPr wrap="square"/>
              <a:lstStyle/>
              <a:p>
                <a:pPr>
                  <a:defRPr sz="1000" b="0" strike="noStrike" spc="-1">
                    <a:solidFill>
                      <a:srgbClr val="000000"/>
                    </a:solidFill>
                    <a:latin typeface="Calibri"/>
                  </a:defRPr>
                </a:pPr>
                <a:endParaRPr lang="en-CO"/>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'H4 TEMÁTICA HOT SALE'!$A$133:$A$136</c:f>
              <c:strCache>
                <c:ptCount val="4"/>
                <c:pt idx="0">
                  <c:v>Descuento sin tiempo límite</c:v>
                </c:pt>
                <c:pt idx="1">
                  <c:v>Descuento con tiempo límite solo en el preheader</c:v>
                </c:pt>
                <c:pt idx="2">
                  <c:v>Descuento con tiempo límite en el asunto</c:v>
                </c:pt>
                <c:pt idx="3">
                  <c:v>Sin descuento</c:v>
                </c:pt>
              </c:strCache>
            </c:strRef>
          </c:cat>
          <c:val>
            <c:numRef>
              <c:f>'H4 TEMÁTICA HOT SALE'!$D$133:$D$136</c:f>
              <c:numCache>
                <c:formatCode>0.0</c:formatCode>
                <c:ptCount val="4"/>
                <c:pt idx="0">
                  <c:v>9.5029646941451187</c:v>
                </c:pt>
                <c:pt idx="1">
                  <c:v>13.070679122493052</c:v>
                </c:pt>
                <c:pt idx="2">
                  <c:v>7.9922495316549256</c:v>
                </c:pt>
                <c:pt idx="3">
                  <c:v>10.268812746753635</c:v>
                </c:pt>
              </c:numCache>
            </c:numRef>
          </c:val>
          <c:extLst>
            <c:ext xmlns:c16="http://schemas.microsoft.com/office/drawing/2014/chart" uri="{C3380CC4-5D6E-409C-BE32-E72D297353CC}">
              <c16:uniqueId val="{00000001-830E-8A4B-B24E-D540ECF470BB}"/>
            </c:ext>
          </c:extLst>
        </c:ser>
        <c:dLbls>
          <c:showLegendKey val="0"/>
          <c:showVal val="0"/>
          <c:showCatName val="0"/>
          <c:showSerName val="0"/>
          <c:showPercent val="0"/>
          <c:showBubbleSize val="0"/>
        </c:dLbls>
        <c:gapWidth val="60"/>
        <c:axId val="28080977"/>
        <c:axId val="68103783"/>
      </c:barChart>
      <c:catAx>
        <c:axId val="28080977"/>
        <c:scaling>
          <c:orientation val="maxMin"/>
        </c:scaling>
        <c:delete val="0"/>
        <c:axPos val="l"/>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CO"/>
          </a:p>
        </c:txPr>
        <c:crossAx val="68103783"/>
        <c:crosses val="autoZero"/>
        <c:auto val="1"/>
        <c:lblAlgn val="ctr"/>
        <c:lblOffset val="100"/>
        <c:noMultiLvlLbl val="0"/>
      </c:catAx>
      <c:valAx>
        <c:axId val="68103783"/>
        <c:scaling>
          <c:orientation val="minMax"/>
          <c:max val="50"/>
          <c:min val="0"/>
        </c:scaling>
        <c:delete val="1"/>
        <c:axPos val="t"/>
        <c:numFmt formatCode="0.0" sourceLinked="1"/>
        <c:majorTickMark val="none"/>
        <c:minorTickMark val="none"/>
        <c:tickLblPos val="nextTo"/>
        <c:crossAx val="28080977"/>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CO"/>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La urgencia solo funciona con una cifra concreta: 41,6 % contra 18,6 % sin beneficio</a:t>
            </a:r>
          </a:p>
        </c:rich>
      </c:tx>
      <c:overlay val="0"/>
      <c:spPr>
        <a:noFill/>
        <a:ln w="0">
          <a:noFill/>
        </a:ln>
      </c:spPr>
    </c:title>
    <c:autoTitleDeleted val="0"/>
    <c:plotArea>
      <c:layout/>
      <c:barChart>
        <c:barDir val="bar"/>
        <c:grouping val="clustered"/>
        <c:varyColors val="0"/>
        <c:ser>
          <c:idx val="0"/>
          <c:order val="0"/>
          <c:tx>
            <c:strRef>
              <c:f>'H4 TEMÁTICA HOT SALE'!$C$156</c:f>
              <c:strCache>
                <c:ptCount val="1"/>
                <c:pt idx="0">
                  <c:v>Apertura (%)</c:v>
                </c:pt>
              </c:strCache>
            </c:strRef>
          </c:tx>
          <c:spPr>
            <a:solidFill>
              <a:srgbClr val="901C1A"/>
            </a:solidFill>
            <a:ln w="0">
              <a:solidFill>
                <a:srgbClr val="901C1A"/>
              </a:solidFill>
            </a:ln>
          </c:spPr>
          <c:invertIfNegative val="0"/>
          <c:dPt>
            <c:idx val="0"/>
            <c:invertIfNegative val="0"/>
            <c:bubble3D val="0"/>
            <c:spPr>
              <a:solidFill>
                <a:srgbClr val="8C8C8C"/>
              </a:solidFill>
              <a:ln w="0">
                <a:solidFill>
                  <a:srgbClr val="8C8C8C"/>
                </a:solidFill>
              </a:ln>
            </c:spPr>
            <c:extLst>
              <c:ext xmlns:c16="http://schemas.microsoft.com/office/drawing/2014/chart" uri="{C3380CC4-5D6E-409C-BE32-E72D297353CC}">
                <c16:uniqueId val="{00000001-B1A8-3242-A1FA-4D74A953ECBF}"/>
              </c:ext>
            </c:extLst>
          </c:dPt>
          <c:dPt>
            <c:idx val="1"/>
            <c:invertIfNegative val="0"/>
            <c:bubble3D val="0"/>
            <c:spPr>
              <a:solidFill>
                <a:srgbClr val="D9534F"/>
              </a:solidFill>
              <a:ln w="0">
                <a:solidFill>
                  <a:srgbClr val="D9534F"/>
                </a:solidFill>
              </a:ln>
            </c:spPr>
            <c:extLst>
              <c:ext xmlns:c16="http://schemas.microsoft.com/office/drawing/2014/chart" uri="{C3380CC4-5D6E-409C-BE32-E72D297353CC}">
                <c16:uniqueId val="{00000003-B1A8-3242-A1FA-4D74A953ECBF}"/>
              </c:ext>
            </c:extLst>
          </c:dPt>
          <c:dPt>
            <c:idx val="2"/>
            <c:invertIfNegative val="0"/>
            <c:bubble3D val="0"/>
            <c:spPr>
              <a:solidFill>
                <a:srgbClr val="D9534F"/>
              </a:solidFill>
              <a:ln w="0">
                <a:solidFill>
                  <a:srgbClr val="D9534F"/>
                </a:solidFill>
              </a:ln>
            </c:spPr>
            <c:extLst>
              <c:ext xmlns:c16="http://schemas.microsoft.com/office/drawing/2014/chart" uri="{C3380CC4-5D6E-409C-BE32-E72D297353CC}">
                <c16:uniqueId val="{00000005-B1A8-3242-A1FA-4D74A953ECBF}"/>
              </c:ext>
            </c:extLst>
          </c:dPt>
          <c:dLbls>
            <c:dLbl>
              <c:idx val="0"/>
              <c:spPr/>
              <c:txPr>
                <a:bodyPr wrap="square"/>
                <a:lstStyle/>
                <a:p>
                  <a:pPr>
                    <a:defRPr sz="1000" b="0" strike="noStrike" spc="-1">
                      <a:solidFill>
                        <a:srgbClr val="000000"/>
                      </a:solidFill>
                      <a:latin typeface="Calibri"/>
                    </a:defRPr>
                  </a:pPr>
                  <a:endParaRPr lang="en-CO"/>
                </a:p>
              </c:txPr>
              <c:dLblPos val="outEnd"/>
              <c:showLegendKey val="0"/>
              <c:showVal val="1"/>
              <c:showCatName val="0"/>
              <c:showSerName val="0"/>
              <c:showPercent val="0"/>
              <c:showBubbleSize val="1"/>
              <c:extLst>
                <c:ext xmlns:c16="http://schemas.microsoft.com/office/drawing/2014/chart" uri="{C3380CC4-5D6E-409C-BE32-E72D297353CC}">
                  <c16:uniqueId val="{00000001-B1A8-3242-A1FA-4D74A953ECBF}"/>
                </c:ext>
              </c:extLst>
            </c:dLbl>
            <c:dLbl>
              <c:idx val="1"/>
              <c:spPr/>
              <c:txPr>
                <a:bodyPr wrap="square"/>
                <a:lstStyle/>
                <a:p>
                  <a:pPr>
                    <a:defRPr sz="1000" b="0" strike="noStrike" spc="-1">
                      <a:solidFill>
                        <a:srgbClr val="000000"/>
                      </a:solidFill>
                      <a:latin typeface="Calibri"/>
                    </a:defRPr>
                  </a:pPr>
                  <a:endParaRPr lang="en-CO"/>
                </a:p>
              </c:txPr>
              <c:dLblPos val="outEnd"/>
              <c:showLegendKey val="0"/>
              <c:showVal val="1"/>
              <c:showCatName val="0"/>
              <c:showSerName val="0"/>
              <c:showPercent val="0"/>
              <c:showBubbleSize val="1"/>
              <c:extLst>
                <c:ext xmlns:c16="http://schemas.microsoft.com/office/drawing/2014/chart" uri="{C3380CC4-5D6E-409C-BE32-E72D297353CC}">
                  <c16:uniqueId val="{00000003-B1A8-3242-A1FA-4D74A953ECBF}"/>
                </c:ext>
              </c:extLst>
            </c:dLbl>
            <c:dLbl>
              <c:idx val="2"/>
              <c:spPr/>
              <c:txPr>
                <a:bodyPr wrap="square"/>
                <a:lstStyle/>
                <a:p>
                  <a:pPr>
                    <a:defRPr sz="1000" b="0" strike="noStrike" spc="-1">
                      <a:solidFill>
                        <a:srgbClr val="000000"/>
                      </a:solidFill>
                      <a:latin typeface="Calibri"/>
                    </a:defRPr>
                  </a:pPr>
                  <a:endParaRPr lang="en-CO"/>
                </a:p>
              </c:txPr>
              <c:dLblPos val="outEnd"/>
              <c:showLegendKey val="0"/>
              <c:showVal val="1"/>
              <c:showCatName val="0"/>
              <c:showSerName val="0"/>
              <c:showPercent val="0"/>
              <c:showBubbleSize val="1"/>
              <c:extLst>
                <c:ext xmlns:c16="http://schemas.microsoft.com/office/drawing/2014/chart" uri="{C3380CC4-5D6E-409C-BE32-E72D297353CC}">
                  <c16:uniqueId val="{00000005-B1A8-3242-A1FA-4D74A953ECBF}"/>
                </c:ext>
              </c:extLst>
            </c:dLbl>
            <c:spPr>
              <a:noFill/>
              <a:ln>
                <a:noFill/>
              </a:ln>
              <a:effectLst/>
            </c:spPr>
            <c:txPr>
              <a:bodyPr wrap="square"/>
              <a:lstStyle/>
              <a:p>
                <a:pPr>
                  <a:defRPr sz="1000" b="0" strike="noStrike" spc="-1">
                    <a:solidFill>
                      <a:srgbClr val="000000"/>
                    </a:solidFill>
                    <a:latin typeface="Calibri"/>
                  </a:defRPr>
                </a:pPr>
                <a:endParaRPr lang="en-CO"/>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'H4 TEMÁTICA HOT SALE'!$A$157:$A$159</c:f>
              <c:strCache>
                <c:ptCount val="3"/>
                <c:pt idx="0">
                  <c:v>Con tiempo límite en el asunto y sin beneficio concreto</c:v>
                </c:pt>
                <c:pt idx="1">
                  <c:v>Con tiempo límite en el asunto y con beneficio concreto</c:v>
                </c:pt>
                <c:pt idx="2">
                  <c:v>"¡Ahorra YA! Flash Sale: Hasta 50% en tus favoritos"</c:v>
                </c:pt>
              </c:strCache>
            </c:strRef>
          </c:cat>
          <c:val>
            <c:numRef>
              <c:f>'H4 TEMÁTICA HOT SALE'!$C$157:$C$159</c:f>
              <c:numCache>
                <c:formatCode>0.0</c:formatCode>
                <c:ptCount val="3"/>
                <c:pt idx="0">
                  <c:v>18.606848531197503</c:v>
                </c:pt>
                <c:pt idx="1">
                  <c:v>22.47406230966887</c:v>
                </c:pt>
                <c:pt idx="2">
                  <c:v>41.593592985418489</c:v>
                </c:pt>
              </c:numCache>
            </c:numRef>
          </c:val>
          <c:extLst>
            <c:ext xmlns:c16="http://schemas.microsoft.com/office/drawing/2014/chart" uri="{C3380CC4-5D6E-409C-BE32-E72D297353CC}">
              <c16:uniqueId val="{00000006-B1A8-3242-A1FA-4D74A953ECBF}"/>
            </c:ext>
          </c:extLst>
        </c:ser>
        <c:dLbls>
          <c:showLegendKey val="0"/>
          <c:showVal val="0"/>
          <c:showCatName val="0"/>
          <c:showSerName val="0"/>
          <c:showPercent val="0"/>
          <c:showBubbleSize val="0"/>
        </c:dLbls>
        <c:gapWidth val="60"/>
        <c:axId val="97751197"/>
        <c:axId val="31603287"/>
      </c:barChart>
      <c:catAx>
        <c:axId val="97751197"/>
        <c:scaling>
          <c:orientation val="maxMin"/>
        </c:scaling>
        <c:delete val="0"/>
        <c:axPos val="l"/>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CO"/>
          </a:p>
        </c:txPr>
        <c:crossAx val="31603287"/>
        <c:crosses val="autoZero"/>
        <c:auto val="1"/>
        <c:lblAlgn val="ctr"/>
        <c:lblOffset val="100"/>
        <c:noMultiLvlLbl val="0"/>
      </c:catAx>
      <c:valAx>
        <c:axId val="31603287"/>
        <c:scaling>
          <c:orientation val="minMax"/>
        </c:scaling>
        <c:delete val="1"/>
        <c:axPos val="t"/>
        <c:numFmt formatCode="0.0" sourceLinked="1"/>
        <c:majorTickMark val="none"/>
        <c:minorTickMark val="none"/>
        <c:tickLblPos val="nextTo"/>
        <c:crossAx val="97751197"/>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En Flash Sale, el mismo tipo de oferta va de 10,8 % a 49,7 % de apertura según el asunto</a:t>
            </a:r>
          </a:p>
        </c:rich>
      </c:tx>
      <c:overlay val="0"/>
      <c:spPr>
        <a:noFill/>
        <a:ln w="0">
          <a:noFill/>
        </a:ln>
      </c:spPr>
    </c:title>
    <c:autoTitleDeleted val="0"/>
    <c:plotArea>
      <c:layout/>
      <c:barChart>
        <c:barDir val="bar"/>
        <c:grouping val="clustered"/>
        <c:varyColors val="0"/>
        <c:ser>
          <c:idx val="0"/>
          <c:order val="0"/>
          <c:tx>
            <c:strRef>
              <c:f>'H4 TEMÁTICA HOT SALE'!$C$180</c:f>
              <c:strCache>
                <c:ptCount val="1"/>
                <c:pt idx="0">
                  <c:v>Apertura (%)</c:v>
                </c:pt>
              </c:strCache>
            </c:strRef>
          </c:tx>
          <c:spPr>
            <a:solidFill>
              <a:srgbClr val="901C1A"/>
            </a:solidFill>
            <a:ln w="0">
              <a:solidFill>
                <a:srgbClr val="901C1A"/>
              </a:solidFill>
            </a:ln>
          </c:spPr>
          <c:invertIfNegative val="0"/>
          <c:dLbls>
            <c:spPr>
              <a:noFill/>
              <a:ln>
                <a:noFill/>
              </a:ln>
              <a:effectLst/>
            </c:spPr>
            <c:txPr>
              <a:bodyPr wrap="square"/>
              <a:lstStyle/>
              <a:p>
                <a:pPr>
                  <a:defRPr sz="1000" b="0" strike="noStrike" spc="-1">
                    <a:solidFill>
                      <a:srgbClr val="000000"/>
                    </a:solidFill>
                    <a:latin typeface="Calibri"/>
                  </a:defRPr>
                </a:pPr>
                <a:endParaRPr lang="en-CO"/>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'H4 TEMÁTICA HOT SALE'!$A$181:$A$196</c:f>
              <c:strCache>
                <c:ptCount val="16"/>
                <c:pt idx="0">
                  <c:v>Prepárate para un Ahorro Épico: ¡Flash Sale en toda la tienda!</c:v>
                </c:pt>
                <c:pt idx="1">
                  <c:v>¡Última Oportunidad! Descuentos de otro nivel en L'Oréal</c:v>
                </c:pt>
                <c:pt idx="2">
                  <c:v>🔥 Hot Sale Anticipado: ¡Precios de locura en L'Oréal Paris!</c:v>
                </c:pt>
                <c:pt idx="3">
                  <c:v>¡Ahorra YA! Flash Sale: Hasta 50% en tus favoritos</c:v>
                </c:pt>
                <c:pt idx="4">
                  <c:v>🔥 Hot Sale Anticipado: ¡Precios increíbles en belleza!</c:v>
                </c:pt>
                <c:pt idx="5">
                  <c:v>¡Oferta Express! No parpadees, tus productos favoritos te esperan</c:v>
                </c:pt>
                <c:pt idx="6">
                  <c:v>¡Ahorra en tus favoritos! Oferta Flash, solo por hoy</c:v>
                </c:pt>
                <c:pt idx="7">
                  <c:v>¡Ofertas que te harán sonreír! Flash Sale en tus favoritos</c:v>
                </c:pt>
                <c:pt idx="8">
                  <c:v>Prepárate para un Ahorro Épico: ¡Flash Sale en todo!</c:v>
                </c:pt>
                <c:pt idx="9">
                  <c:v>🔥 Hot Sale Anticipado: ¡Precios de locura en maquillaje y más!</c:v>
                </c:pt>
                <c:pt idx="10">
                  <c:v>¡Descuentos Imperdibles! Solo por tiempo limitado, no esperes</c:v>
                </c:pt>
                <c:pt idx="11">
                  <c:v>¡Aprovecha antes de que se acabe! Oferta Flash, productos top</c:v>
                </c:pt>
                <c:pt idx="12">
                  <c:v>¡Ahorra en grande! Oferta Relámpago, últimas unidades</c:v>
                </c:pt>
                <c:pt idx="13">
                  <c:v>¡Última oportunidad! Descuentos que no volverán, no esperes</c:v>
                </c:pt>
                <c:pt idx="14">
                  <c:v>¡Gran oferta! Por tiempo limitado, no te lo pierdas</c:v>
                </c:pt>
                <c:pt idx="15">
                  <c:v>¡Últimas horas! Flash Sale: No te quedes sin tu descuento</c:v>
                </c:pt>
              </c:strCache>
            </c:strRef>
          </c:cat>
          <c:val>
            <c:numRef>
              <c:f>'H4 TEMÁTICA HOT SALE'!$C$181:$C$196</c:f>
              <c:numCache>
                <c:formatCode>0.0</c:formatCode>
                <c:ptCount val="16"/>
                <c:pt idx="0">
                  <c:v>49.696273744445357</c:v>
                </c:pt>
                <c:pt idx="1">
                  <c:v>45.547169571920087</c:v>
                </c:pt>
                <c:pt idx="2">
                  <c:v>43.243161255628017</c:v>
                </c:pt>
                <c:pt idx="3">
                  <c:v>41.593592985418489</c:v>
                </c:pt>
                <c:pt idx="4">
                  <c:v>39.278310607790992</c:v>
                </c:pt>
                <c:pt idx="5">
                  <c:v>38.629986941941709</c:v>
                </c:pt>
                <c:pt idx="6">
                  <c:v>33.635625365301983</c:v>
                </c:pt>
                <c:pt idx="7">
                  <c:v>31.964920766647268</c:v>
                </c:pt>
                <c:pt idx="8">
                  <c:v>30.71624165289527</c:v>
                </c:pt>
                <c:pt idx="9">
                  <c:v>28.999873378796376</c:v>
                </c:pt>
                <c:pt idx="10">
                  <c:v>24.542645070500264</c:v>
                </c:pt>
                <c:pt idx="11">
                  <c:v>22.775066640377752</c:v>
                </c:pt>
                <c:pt idx="12">
                  <c:v>20.679461560319073</c:v>
                </c:pt>
                <c:pt idx="13">
                  <c:v>19.632660579427942</c:v>
                </c:pt>
                <c:pt idx="14">
                  <c:v>17.395911943759799</c:v>
                </c:pt>
                <c:pt idx="15">
                  <c:v>10.812608203610466</c:v>
                </c:pt>
              </c:numCache>
            </c:numRef>
          </c:val>
          <c:extLst>
            <c:ext xmlns:c16="http://schemas.microsoft.com/office/drawing/2014/chart" uri="{C3380CC4-5D6E-409C-BE32-E72D297353CC}">
              <c16:uniqueId val="{00000000-05FB-8C45-8FFA-C2D0976E5851}"/>
            </c:ext>
          </c:extLst>
        </c:ser>
        <c:dLbls>
          <c:showLegendKey val="0"/>
          <c:showVal val="0"/>
          <c:showCatName val="0"/>
          <c:showSerName val="0"/>
          <c:showPercent val="0"/>
          <c:showBubbleSize val="0"/>
        </c:dLbls>
        <c:gapWidth val="60"/>
        <c:axId val="29996370"/>
        <c:axId val="55734637"/>
      </c:barChart>
      <c:catAx>
        <c:axId val="29996370"/>
        <c:scaling>
          <c:orientation val="maxMin"/>
        </c:scaling>
        <c:delete val="0"/>
        <c:axPos val="l"/>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CO"/>
          </a:p>
        </c:txPr>
        <c:crossAx val="55734637"/>
        <c:crosses val="autoZero"/>
        <c:auto val="1"/>
        <c:lblAlgn val="ctr"/>
        <c:lblOffset val="100"/>
        <c:noMultiLvlLbl val="0"/>
      </c:catAx>
      <c:valAx>
        <c:axId val="55734637"/>
        <c:scaling>
          <c:orientation val="minMax"/>
        </c:scaling>
        <c:delete val="1"/>
        <c:axPos val="t"/>
        <c:numFmt formatCode="0.0" sourceLinked="1"/>
        <c:majorTickMark val="none"/>
        <c:minorTickMark val="none"/>
        <c:tickLblPos val="nextTo"/>
        <c:crossAx val="29996370"/>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Los Hot Sale anteriores abrieron más (39,5 % contra 28,5 %), pero no tuvieron más clics (8,4 % contra 9,3 %)</a:t>
            </a:r>
          </a:p>
        </c:rich>
      </c:tx>
      <c:overlay val="0"/>
      <c:spPr>
        <a:noFill/>
        <a:ln w="0">
          <a:noFill/>
        </a:ln>
      </c:spPr>
    </c:title>
    <c:autoTitleDeleted val="0"/>
    <c:plotArea>
      <c:layout/>
      <c:barChart>
        <c:barDir val="col"/>
        <c:grouping val="clustered"/>
        <c:varyColors val="0"/>
        <c:ser>
          <c:idx val="0"/>
          <c:order val="0"/>
          <c:tx>
            <c:strRef>
              <c:f>'H4 TEMÁTICA HOT SALE'!$C$214</c:f>
              <c:strCache>
                <c:ptCount val="1"/>
                <c:pt idx="0">
                  <c:v>Apertura (%)</c:v>
                </c:pt>
              </c:strCache>
            </c:strRef>
          </c:tx>
          <c:spPr>
            <a:solidFill>
              <a:srgbClr val="901C1A"/>
            </a:solidFill>
            <a:ln w="0">
              <a:solidFill>
                <a:srgbClr val="901C1A"/>
              </a:solidFill>
            </a:ln>
          </c:spPr>
          <c:invertIfNegative val="0"/>
          <c:dLbls>
            <c:spPr>
              <a:noFill/>
              <a:ln>
                <a:noFill/>
              </a:ln>
              <a:effectLst/>
            </c:spPr>
            <c:txPr>
              <a:bodyPr wrap="square"/>
              <a:lstStyle/>
              <a:p>
                <a:pPr>
                  <a:defRPr sz="1000" b="0" strike="noStrike" spc="-1">
                    <a:solidFill>
                      <a:srgbClr val="000000"/>
                    </a:solidFill>
                    <a:latin typeface="Calibri"/>
                  </a:defRPr>
                </a:pPr>
                <a:endParaRPr lang="en-CO"/>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'H4 TEMÁTICA HOT SALE'!$A$215:$A$216</c:f>
              <c:strCache>
                <c:ptCount val="2"/>
                <c:pt idx="0">
                  <c:v>"🔥 Hot Sale Anticipado"</c:v>
                </c:pt>
                <c:pt idx="1">
                  <c:v>Otras Flash Sale</c:v>
                </c:pt>
              </c:strCache>
            </c:strRef>
          </c:cat>
          <c:val>
            <c:numRef>
              <c:f>'H4 TEMÁTICA HOT SALE'!$C$215:$C$216</c:f>
              <c:numCache>
                <c:formatCode>0.0</c:formatCode>
                <c:ptCount val="2"/>
                <c:pt idx="0">
                  <c:v>39.509184138436197</c:v>
                </c:pt>
                <c:pt idx="1">
                  <c:v>28.488497428960489</c:v>
                </c:pt>
              </c:numCache>
            </c:numRef>
          </c:val>
          <c:extLst>
            <c:ext xmlns:c16="http://schemas.microsoft.com/office/drawing/2014/chart" uri="{C3380CC4-5D6E-409C-BE32-E72D297353CC}">
              <c16:uniqueId val="{00000000-9ED8-9A4F-8FD5-D49C19A1A908}"/>
            </c:ext>
          </c:extLst>
        </c:ser>
        <c:ser>
          <c:idx val="1"/>
          <c:order val="1"/>
          <c:tx>
            <c:strRef>
              <c:f>'H4 TEMÁTICA HOT SALE'!$D$214</c:f>
              <c:strCache>
                <c:ptCount val="1"/>
                <c:pt idx="0">
                  <c:v>CTR (%)</c:v>
                </c:pt>
              </c:strCache>
            </c:strRef>
          </c:tx>
          <c:spPr>
            <a:solidFill>
              <a:srgbClr val="000000"/>
            </a:solidFill>
            <a:ln w="0">
              <a:solidFill>
                <a:srgbClr val="000000"/>
              </a:solidFill>
            </a:ln>
          </c:spPr>
          <c:invertIfNegative val="0"/>
          <c:dLbls>
            <c:spPr>
              <a:noFill/>
              <a:ln>
                <a:noFill/>
              </a:ln>
              <a:effectLst/>
            </c:spPr>
            <c:txPr>
              <a:bodyPr wrap="square"/>
              <a:lstStyle/>
              <a:p>
                <a:pPr>
                  <a:defRPr sz="1000" b="0" strike="noStrike" spc="-1">
                    <a:solidFill>
                      <a:srgbClr val="000000"/>
                    </a:solidFill>
                    <a:latin typeface="Calibri"/>
                  </a:defRPr>
                </a:pPr>
                <a:endParaRPr lang="en-CO"/>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'H4 TEMÁTICA HOT SALE'!$A$215:$A$216</c:f>
              <c:strCache>
                <c:ptCount val="2"/>
                <c:pt idx="0">
                  <c:v>"🔥 Hot Sale Anticipado"</c:v>
                </c:pt>
                <c:pt idx="1">
                  <c:v>Otras Flash Sale</c:v>
                </c:pt>
              </c:strCache>
            </c:strRef>
          </c:cat>
          <c:val>
            <c:numRef>
              <c:f>'H4 TEMÁTICA HOT SALE'!$D$215:$D$216</c:f>
              <c:numCache>
                <c:formatCode>0.0</c:formatCode>
                <c:ptCount val="2"/>
                <c:pt idx="0">
                  <c:v>8.3578085280785892</c:v>
                </c:pt>
                <c:pt idx="1">
                  <c:v>9.2853214655239142</c:v>
                </c:pt>
              </c:numCache>
            </c:numRef>
          </c:val>
          <c:extLst>
            <c:ext xmlns:c16="http://schemas.microsoft.com/office/drawing/2014/chart" uri="{C3380CC4-5D6E-409C-BE32-E72D297353CC}">
              <c16:uniqueId val="{00000001-9ED8-9A4F-8FD5-D49C19A1A908}"/>
            </c:ext>
          </c:extLst>
        </c:ser>
        <c:ser>
          <c:idx val="2"/>
          <c:order val="2"/>
          <c:tx>
            <c:strRef>
              <c:f>'H4 TEMÁTICA HOT SALE'!$E$214</c:f>
              <c:strCache>
                <c:ptCount val="1"/>
                <c:pt idx="0">
                  <c:v>CTOR (%)</c:v>
                </c:pt>
              </c:strCache>
            </c:strRef>
          </c:tx>
          <c:spPr>
            <a:solidFill>
              <a:srgbClr val="C8C2BE"/>
            </a:solidFill>
            <a:ln w="0">
              <a:solidFill>
                <a:srgbClr val="C8C2BE"/>
              </a:solidFill>
            </a:ln>
          </c:spPr>
          <c:invertIfNegative val="0"/>
          <c:dLbls>
            <c:spPr>
              <a:noFill/>
              <a:ln>
                <a:noFill/>
              </a:ln>
              <a:effectLst/>
            </c:spPr>
            <c:txPr>
              <a:bodyPr wrap="square"/>
              <a:lstStyle/>
              <a:p>
                <a:pPr>
                  <a:defRPr sz="1000" b="0" strike="noStrike" spc="-1">
                    <a:solidFill>
                      <a:srgbClr val="000000"/>
                    </a:solidFill>
                    <a:latin typeface="Calibri"/>
                  </a:defRPr>
                </a:pPr>
                <a:endParaRPr lang="en-CO"/>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'H4 TEMÁTICA HOT SALE'!$A$215:$A$216</c:f>
              <c:strCache>
                <c:ptCount val="2"/>
                <c:pt idx="0">
                  <c:v>"🔥 Hot Sale Anticipado"</c:v>
                </c:pt>
                <c:pt idx="1">
                  <c:v>Otras Flash Sale</c:v>
                </c:pt>
              </c:strCache>
            </c:strRef>
          </c:cat>
          <c:val>
            <c:numRef>
              <c:f>'H4 TEMÁTICA HOT SALE'!$E$215:$E$216</c:f>
              <c:numCache>
                <c:formatCode>0.0</c:formatCode>
                <c:ptCount val="2"/>
                <c:pt idx="0">
                  <c:v>21.898342171402771</c:v>
                </c:pt>
                <c:pt idx="1">
                  <c:v>38.381480318265432</c:v>
                </c:pt>
              </c:numCache>
            </c:numRef>
          </c:val>
          <c:extLst>
            <c:ext xmlns:c16="http://schemas.microsoft.com/office/drawing/2014/chart" uri="{C3380CC4-5D6E-409C-BE32-E72D297353CC}">
              <c16:uniqueId val="{00000002-9ED8-9A4F-8FD5-D49C19A1A908}"/>
            </c:ext>
          </c:extLst>
        </c:ser>
        <c:dLbls>
          <c:showLegendKey val="0"/>
          <c:showVal val="0"/>
          <c:showCatName val="0"/>
          <c:showSerName val="0"/>
          <c:showPercent val="0"/>
          <c:showBubbleSize val="0"/>
        </c:dLbls>
        <c:gapWidth val="60"/>
        <c:axId val="80940064"/>
        <c:axId val="16545264"/>
      </c:barChart>
      <c:catAx>
        <c:axId val="80940064"/>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CO"/>
          </a:p>
        </c:txPr>
        <c:crossAx val="16545264"/>
        <c:crosses val="autoZero"/>
        <c:auto val="1"/>
        <c:lblAlgn val="ctr"/>
        <c:lblOffset val="100"/>
        <c:noMultiLvlLbl val="0"/>
      </c:catAx>
      <c:valAx>
        <c:axId val="16545264"/>
        <c:scaling>
          <c:orientation val="minMax"/>
        </c:scaling>
        <c:delete val="1"/>
        <c:axPos val="l"/>
        <c:numFmt formatCode="0.0" sourceLinked="1"/>
        <c:majorTickMark val="none"/>
        <c:minorTickMark val="none"/>
        <c:tickLblPos val="nextTo"/>
        <c:crossAx val="80940064"/>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CO"/>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En 4 de las 7 campañas Hot Sale, solo 3 o 4 de cada 100 personas hicieron clic</a:t>
            </a:r>
          </a:p>
        </c:rich>
      </c:tx>
      <c:overlay val="0"/>
      <c:spPr>
        <a:noFill/>
        <a:ln w="0">
          <a:noFill/>
        </a:ln>
      </c:spPr>
    </c:title>
    <c:autoTitleDeleted val="0"/>
    <c:plotArea>
      <c:layout/>
      <c:barChart>
        <c:barDir val="col"/>
        <c:grouping val="clustered"/>
        <c:varyColors val="0"/>
        <c:ser>
          <c:idx val="0"/>
          <c:order val="0"/>
          <c:tx>
            <c:strRef>
              <c:f>'H4 TEMÁTICA HOT SALE'!$B$238</c:f>
              <c:strCache>
                <c:ptCount val="1"/>
                <c:pt idx="0">
                  <c:v>Apertura (%)</c:v>
                </c:pt>
              </c:strCache>
            </c:strRef>
          </c:tx>
          <c:spPr>
            <a:solidFill>
              <a:srgbClr val="901C1A"/>
            </a:solidFill>
            <a:ln w="0">
              <a:solidFill>
                <a:srgbClr val="901C1A"/>
              </a:solidFill>
            </a:ln>
          </c:spPr>
          <c:invertIfNegative val="0"/>
          <c:dLbls>
            <c:spPr>
              <a:noFill/>
              <a:ln>
                <a:noFill/>
              </a:ln>
              <a:effectLst/>
            </c:spPr>
            <c:txPr>
              <a:bodyPr wrap="square"/>
              <a:lstStyle/>
              <a:p>
                <a:pPr>
                  <a:defRPr sz="1000" b="0" strike="noStrike" spc="-1">
                    <a:solidFill>
                      <a:srgbClr val="000000"/>
                    </a:solidFill>
                    <a:latin typeface="Calibri"/>
                  </a:defRPr>
                </a:pPr>
                <a:endParaRPr lang="en-CO"/>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'H4 TEMÁTICA HOT SALE'!$A$239:$A$245</c:f>
              <c:strCache>
                <c:ptCount val="7"/>
                <c:pt idx="0">
                  <c:v>9 Aug · EM-057</c:v>
                </c:pt>
                <c:pt idx="1">
                  <c:v>26 Aug · EM-090</c:v>
                </c:pt>
                <c:pt idx="2">
                  <c:v>30 Aug · EM-069</c:v>
                </c:pt>
                <c:pt idx="3">
                  <c:v>6 Sep · EM-080</c:v>
                </c:pt>
                <c:pt idx="4">
                  <c:v>8 Oct · EM-019</c:v>
                </c:pt>
                <c:pt idx="5">
                  <c:v>9 Oct · EM-169</c:v>
                </c:pt>
                <c:pt idx="6">
                  <c:v>18 Oct · EM-187</c:v>
                </c:pt>
              </c:strCache>
            </c:strRef>
          </c:cat>
          <c:val>
            <c:numRef>
              <c:f>'H4 TEMÁTICA HOT SALE'!$B$239:$B$245</c:f>
              <c:numCache>
                <c:formatCode>0.0</c:formatCode>
                <c:ptCount val="7"/>
                <c:pt idx="0">
                  <c:v>39.250771264874395</c:v>
                </c:pt>
                <c:pt idx="1">
                  <c:v>42.065658919890794</c:v>
                </c:pt>
                <c:pt idx="2">
                  <c:v>44.773187464111942</c:v>
                </c:pt>
                <c:pt idx="3">
                  <c:v>42.144458137661175</c:v>
                </c:pt>
                <c:pt idx="4">
                  <c:v>28.999873378796376</c:v>
                </c:pt>
                <c:pt idx="5">
                  <c:v>42.890637382881309</c:v>
                </c:pt>
                <c:pt idx="6">
                  <c:v>36.439702420837413</c:v>
                </c:pt>
              </c:numCache>
            </c:numRef>
          </c:val>
          <c:extLst>
            <c:ext xmlns:c16="http://schemas.microsoft.com/office/drawing/2014/chart" uri="{C3380CC4-5D6E-409C-BE32-E72D297353CC}">
              <c16:uniqueId val="{00000000-7AE6-1A40-B814-FF13512FAB43}"/>
            </c:ext>
          </c:extLst>
        </c:ser>
        <c:ser>
          <c:idx val="1"/>
          <c:order val="1"/>
          <c:tx>
            <c:strRef>
              <c:f>'H4 TEMÁTICA HOT SALE'!$C$238</c:f>
              <c:strCache>
                <c:ptCount val="1"/>
                <c:pt idx="0">
                  <c:v>CTR (%)</c:v>
                </c:pt>
              </c:strCache>
            </c:strRef>
          </c:tx>
          <c:spPr>
            <a:solidFill>
              <a:srgbClr val="000000"/>
            </a:solidFill>
            <a:ln w="0">
              <a:solidFill>
                <a:srgbClr val="000000"/>
              </a:solidFill>
            </a:ln>
          </c:spPr>
          <c:invertIfNegative val="0"/>
          <c:dLbls>
            <c:spPr>
              <a:noFill/>
              <a:ln>
                <a:noFill/>
              </a:ln>
              <a:effectLst/>
            </c:spPr>
            <c:txPr>
              <a:bodyPr wrap="square"/>
              <a:lstStyle/>
              <a:p>
                <a:pPr>
                  <a:defRPr sz="1000" b="0" strike="noStrike" spc="-1">
                    <a:solidFill>
                      <a:srgbClr val="000000"/>
                    </a:solidFill>
                    <a:latin typeface="Calibri"/>
                  </a:defRPr>
                </a:pPr>
                <a:endParaRPr lang="en-CO"/>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'H4 TEMÁTICA HOT SALE'!$A$239:$A$245</c:f>
              <c:strCache>
                <c:ptCount val="7"/>
                <c:pt idx="0">
                  <c:v>9 Aug · EM-057</c:v>
                </c:pt>
                <c:pt idx="1">
                  <c:v>26 Aug · EM-090</c:v>
                </c:pt>
                <c:pt idx="2">
                  <c:v>30 Aug · EM-069</c:v>
                </c:pt>
                <c:pt idx="3">
                  <c:v>6 Sep · EM-080</c:v>
                </c:pt>
                <c:pt idx="4">
                  <c:v>8 Oct · EM-019</c:v>
                </c:pt>
                <c:pt idx="5">
                  <c:v>9 Oct · EM-169</c:v>
                </c:pt>
                <c:pt idx="6">
                  <c:v>18 Oct · EM-187</c:v>
                </c:pt>
              </c:strCache>
            </c:strRef>
          </c:cat>
          <c:val>
            <c:numRef>
              <c:f>'H4 TEMÁTICA HOT SALE'!$C$239:$C$245</c:f>
              <c:numCache>
                <c:formatCode>0.0</c:formatCode>
                <c:ptCount val="7"/>
                <c:pt idx="0">
                  <c:v>14.454125278276885</c:v>
                </c:pt>
                <c:pt idx="1">
                  <c:v>16.361457015382566</c:v>
                </c:pt>
                <c:pt idx="2">
                  <c:v>3.6608339125792053</c:v>
                </c:pt>
                <c:pt idx="3">
                  <c:v>2.9798224455527307</c:v>
                </c:pt>
                <c:pt idx="4">
                  <c:v>8.4319385189453744</c:v>
                </c:pt>
                <c:pt idx="5">
                  <c:v>3.3368921266930438</c:v>
                </c:pt>
                <c:pt idx="6">
                  <c:v>9.2795903991203197</c:v>
                </c:pt>
              </c:numCache>
            </c:numRef>
          </c:val>
          <c:extLst>
            <c:ext xmlns:c16="http://schemas.microsoft.com/office/drawing/2014/chart" uri="{C3380CC4-5D6E-409C-BE32-E72D297353CC}">
              <c16:uniqueId val="{00000001-7AE6-1A40-B814-FF13512FAB43}"/>
            </c:ext>
          </c:extLst>
        </c:ser>
        <c:dLbls>
          <c:showLegendKey val="0"/>
          <c:showVal val="0"/>
          <c:showCatName val="0"/>
          <c:showSerName val="0"/>
          <c:showPercent val="0"/>
          <c:showBubbleSize val="0"/>
        </c:dLbls>
        <c:gapWidth val="60"/>
        <c:axId val="37261259"/>
        <c:axId val="20407280"/>
      </c:barChart>
      <c:catAx>
        <c:axId val="37261259"/>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CO"/>
          </a:p>
        </c:txPr>
        <c:crossAx val="20407280"/>
        <c:crosses val="autoZero"/>
        <c:auto val="1"/>
        <c:lblAlgn val="ctr"/>
        <c:lblOffset val="100"/>
        <c:noMultiLvlLbl val="0"/>
      </c:catAx>
      <c:valAx>
        <c:axId val="20407280"/>
        <c:scaling>
          <c:orientation val="minMax"/>
          <c:max val="50"/>
          <c:min val="0"/>
        </c:scaling>
        <c:delete val="1"/>
        <c:axPos val="l"/>
        <c:numFmt formatCode="0.0" sourceLinked="1"/>
        <c:majorTickMark val="none"/>
        <c:minorTickMark val="none"/>
        <c:tickLblPos val="nextTo"/>
        <c:crossAx val="37261259"/>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CO"/>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000" b="1">
                <a:latin typeface="Calibri"/>
              </a:defRPr>
            </a:pPr>
            <a:r>
              <a:rPr sz="1000" b="1">
                <a:latin typeface="Calibri"/>
              </a:rPr>
              <a:t>Contribución según la profundidad del descuento</a:t>
            </a:r>
          </a:p>
        </c:rich>
      </c:tx>
      <c:overlay val="1"/>
    </c:title>
    <c:autoTitleDeleted val="0"/>
    <c:plotArea>
      <c:layout/>
      <c:lineChart>
        <c:grouping val="standard"/>
        <c:varyColors val="1"/>
        <c:ser>
          <c:idx val="0"/>
          <c:order val="0"/>
          <c:tx>
            <c:strRef>
              <c:f>'DESCUENTO ÓPTIMO'!$D$19</c:f>
              <c:strCache>
                <c:ptCount val="1"/>
                <c:pt idx="0">
                  <c:v>Contribución</c:v>
                </c:pt>
              </c:strCache>
            </c:strRef>
          </c:tx>
          <c:spPr>
            <a:ln>
              <a:solidFill>
                <a:srgbClr val="901C1A"/>
              </a:solidFill>
              <a:prstDash val="solid"/>
            </a:ln>
          </c:spPr>
          <c:marker>
            <c:symbol val="none"/>
          </c:marker>
          <c:cat>
            <c:numRef>
              <c:f>'DESCUENTO ÓPTIMO'!$A$20:$A$34</c:f>
              <c:numCache>
                <c:formatCode>0%</c:formatCode>
                <c:ptCount val="15"/>
                <c:pt idx="0">
                  <c:v>0</c:v>
                </c:pt>
                <c:pt idx="1">
                  <c:v>0.05</c:v>
                </c:pt>
                <c:pt idx="2">
                  <c:v>0.1</c:v>
                </c:pt>
                <c:pt idx="3">
                  <c:v>0.15</c:v>
                </c:pt>
                <c:pt idx="4">
                  <c:v>0.2</c:v>
                </c:pt>
                <c:pt idx="5">
                  <c:v>0.25</c:v>
                </c:pt>
                <c:pt idx="6">
                  <c:v>0.3</c:v>
                </c:pt>
                <c:pt idx="7">
                  <c:v>0.35</c:v>
                </c:pt>
                <c:pt idx="8">
                  <c:v>0.4</c:v>
                </c:pt>
                <c:pt idx="9">
                  <c:v>0.45</c:v>
                </c:pt>
                <c:pt idx="10">
                  <c:v>0.5</c:v>
                </c:pt>
                <c:pt idx="11">
                  <c:v>0.55000000000000004</c:v>
                </c:pt>
                <c:pt idx="12">
                  <c:v>0.6</c:v>
                </c:pt>
                <c:pt idx="13">
                  <c:v>0.65</c:v>
                </c:pt>
                <c:pt idx="14">
                  <c:v>0.7</c:v>
                </c:pt>
              </c:numCache>
            </c:numRef>
          </c:cat>
          <c:val>
            <c:numRef>
              <c:f>'DESCUENTO ÓPTIMO'!$D$20:$D$34</c:f>
              <c:numCache>
                <c:formatCode>0</c:formatCode>
                <c:ptCount val="15"/>
                <c:pt idx="0">
                  <c:v>100</c:v>
                </c:pt>
                <c:pt idx="1">
                  <c:v>103.31661301190387</c:v>
                </c:pt>
                <c:pt idx="2">
                  <c:v>106.77344010677344</c:v>
                </c:pt>
                <c:pt idx="3">
                  <c:v>110.35256709997195</c:v>
                </c:pt>
                <c:pt idx="4">
                  <c:v>114.02027027027026</c:v>
                </c:pt>
                <c:pt idx="5">
                  <c:v>117.71771771771769</c:v>
                </c:pt>
                <c:pt idx="6">
                  <c:v>121.34583563154995</c:v>
                </c:pt>
                <c:pt idx="7">
                  <c:v>124.74012474012474</c:v>
                </c:pt>
                <c:pt idx="8">
                  <c:v>127.62762762762763</c:v>
                </c:pt>
                <c:pt idx="9">
                  <c:v>129.55103864194771</c:v>
                </c:pt>
                <c:pt idx="10">
                  <c:v>129.72972972972974</c:v>
                </c:pt>
                <c:pt idx="11">
                  <c:v>126.79346012679345</c:v>
                </c:pt>
                <c:pt idx="12">
                  <c:v>118.24324324324323</c:v>
                </c:pt>
                <c:pt idx="13">
                  <c:v>99.282956425813552</c:v>
                </c:pt>
                <c:pt idx="14">
                  <c:v>60.060060060060103</c:v>
                </c:pt>
              </c:numCache>
            </c:numRef>
          </c:val>
          <c:smooth val="1"/>
          <c:extLst>
            <c:ext xmlns:c16="http://schemas.microsoft.com/office/drawing/2014/chart" uri="{C3380CC4-5D6E-409C-BE32-E72D297353CC}">
              <c16:uniqueId val="{00000000-428F-EF43-9326-AF108ABBE290}"/>
            </c:ext>
          </c:extLst>
        </c:ser>
        <c:dLbls>
          <c:showLegendKey val="0"/>
          <c:showVal val="0"/>
          <c:showCatName val="0"/>
          <c:showSerName val="0"/>
          <c:showPercent val="0"/>
          <c:showBubbleSize val="0"/>
        </c:dLbls>
        <c:smooth val="0"/>
        <c:axId val="10"/>
        <c:axId val="100"/>
      </c:lineChart>
      <c:catAx>
        <c:axId val="10"/>
        <c:scaling>
          <c:orientation val="minMax"/>
        </c:scaling>
        <c:delete val="1"/>
        <c:axPos val="b"/>
        <c:title>
          <c:tx>
            <c:rich>
              <a:bodyPr/>
              <a:lstStyle/>
              <a:p>
                <a:pPr>
                  <a:defRPr/>
                </a:pPr>
                <a:r>
                  <a:t>Profundidad del descuento</a:t>
                </a:r>
              </a:p>
            </c:rich>
          </c:tx>
          <c:overlay val="1"/>
        </c:title>
        <c:numFmt formatCode="0%"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t>Contribución (sin descuento = 100)</a:t>
                </a:r>
              </a:p>
            </c:rich>
          </c:tx>
          <c:overlay val="1"/>
        </c:title>
        <c:numFmt formatCode="0"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_rels/drawing3.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9.xml"/><Relationship Id="rId2" Type="http://schemas.openxmlformats.org/officeDocument/2006/relationships/chart" Target="../charts/chart18.xml"/><Relationship Id="rId1" Type="http://schemas.openxmlformats.org/officeDocument/2006/relationships/chart" Target="../charts/chart17.xml"/><Relationship Id="rId5" Type="http://schemas.openxmlformats.org/officeDocument/2006/relationships/chart" Target="../charts/chart21.xml"/><Relationship Id="rId4" Type="http://schemas.openxmlformats.org/officeDocument/2006/relationships/chart" Target="../charts/chart20.xml"/></Relationships>
</file>

<file path=xl/drawings/_rels/drawing6.xml.rels><?xml version="1.0" encoding="UTF-8" standalone="yes"?>
<Relationships xmlns="http://schemas.openxmlformats.org/package/2006/relationships"><Relationship Id="rId8" Type="http://schemas.openxmlformats.org/officeDocument/2006/relationships/chart" Target="../charts/chart29.xml"/><Relationship Id="rId3" Type="http://schemas.openxmlformats.org/officeDocument/2006/relationships/chart" Target="../charts/chart24.xml"/><Relationship Id="rId7" Type="http://schemas.openxmlformats.org/officeDocument/2006/relationships/chart" Target="../charts/chart28.xml"/><Relationship Id="rId2" Type="http://schemas.openxmlformats.org/officeDocument/2006/relationships/chart" Target="../charts/chart23.xml"/><Relationship Id="rId1" Type="http://schemas.openxmlformats.org/officeDocument/2006/relationships/chart" Target="../charts/chart22.xml"/><Relationship Id="rId6" Type="http://schemas.openxmlformats.org/officeDocument/2006/relationships/chart" Target="../charts/chart27.xml"/><Relationship Id="rId5" Type="http://schemas.openxmlformats.org/officeDocument/2006/relationships/chart" Target="../charts/chart26.xml"/><Relationship Id="rId4" Type="http://schemas.openxmlformats.org/officeDocument/2006/relationships/chart" Target="../charts/chart25.xml"/></Relationships>
</file>

<file path=xl/drawings/_rels/drawing7.xml.rels><?xml version="1.0" encoding="UTF-8" standalone="yes"?>
<Relationships xmlns="http://schemas.openxmlformats.org/package/2006/relationships"><Relationship Id="rId8" Type="http://schemas.openxmlformats.org/officeDocument/2006/relationships/chart" Target="../charts/chart37.xml"/><Relationship Id="rId3" Type="http://schemas.openxmlformats.org/officeDocument/2006/relationships/chart" Target="../charts/chart32.xml"/><Relationship Id="rId7" Type="http://schemas.openxmlformats.org/officeDocument/2006/relationships/chart" Target="../charts/chart36.xml"/><Relationship Id="rId2" Type="http://schemas.openxmlformats.org/officeDocument/2006/relationships/chart" Target="../charts/chart31.xml"/><Relationship Id="rId1" Type="http://schemas.openxmlformats.org/officeDocument/2006/relationships/chart" Target="../charts/chart30.xml"/><Relationship Id="rId6" Type="http://schemas.openxmlformats.org/officeDocument/2006/relationships/chart" Target="../charts/chart35.xml"/><Relationship Id="rId5" Type="http://schemas.openxmlformats.org/officeDocument/2006/relationships/chart" Target="../charts/chart34.xml"/><Relationship Id="rId10" Type="http://schemas.openxmlformats.org/officeDocument/2006/relationships/chart" Target="../charts/chart39.xml"/><Relationship Id="rId4" Type="http://schemas.openxmlformats.org/officeDocument/2006/relationships/chart" Target="../charts/chart33.xml"/><Relationship Id="rId9" Type="http://schemas.openxmlformats.org/officeDocument/2006/relationships/chart" Target="../charts/chart38.xml"/></Relationships>
</file>

<file path=xl/drawings/_rels/drawing8.xml.rels><?xml version="1.0" encoding="UTF-8" standalone="yes"?>
<Relationships xmlns="http://schemas.openxmlformats.org/package/2006/relationships"><Relationship Id="rId1" Type="http://schemas.openxmlformats.org/officeDocument/2006/relationships/chart" Target="../charts/chart40.xml"/></Relationships>
</file>

<file path=xl/drawings/drawing1.xml><?xml version="1.0" encoding="utf-8"?>
<xdr:wsDr xmlns:xdr="http://schemas.openxmlformats.org/drawingml/2006/spreadsheetDrawing" xmlns:a="http://schemas.openxmlformats.org/drawingml/2006/main">
  <xdr:oneCellAnchor>
    <xdr:from>
      <xdr:col>0</xdr:col>
      <xdr:colOff>0</xdr:colOff>
      <xdr:row>8</xdr:row>
      <xdr:rowOff>0</xdr:rowOff>
    </xdr:from>
    <xdr:ext cx="3744000" cy="2664000"/>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6</xdr:col>
      <xdr:colOff>0</xdr:colOff>
      <xdr:row>8</xdr:row>
      <xdr:rowOff>0</xdr:rowOff>
    </xdr:from>
    <xdr:ext cx="3744000" cy="2664000"/>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12</xdr:col>
      <xdr:colOff>0</xdr:colOff>
      <xdr:row>8</xdr:row>
      <xdr:rowOff>0</xdr:rowOff>
    </xdr:from>
    <xdr:ext cx="3744000" cy="2664000"/>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8</xdr:row>
      <xdr:rowOff>0</xdr:rowOff>
    </xdr:from>
    <xdr:to>
      <xdr:col>6</xdr:col>
      <xdr:colOff>621360</xdr:colOff>
      <xdr:row>28</xdr:row>
      <xdr:rowOff>149400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0</xdr:colOff>
      <xdr:row>8</xdr:row>
      <xdr:rowOff>0</xdr:rowOff>
    </xdr:from>
    <xdr:to>
      <xdr:col>16</xdr:col>
      <xdr:colOff>204480</xdr:colOff>
      <xdr:row>28</xdr:row>
      <xdr:rowOff>149400</xdr:rowOff>
    </xdr:to>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31</xdr:row>
      <xdr:rowOff>0</xdr:rowOff>
    </xdr:from>
    <xdr:to>
      <xdr:col>5</xdr:col>
      <xdr:colOff>817920</xdr:colOff>
      <xdr:row>48</xdr:row>
      <xdr:rowOff>1080</xdr:rowOff>
    </xdr:to>
    <xdr:graphicFrame macro="">
      <xdr:nvGraphicFramePr>
        <xdr:cNvPr id="4" name="Chart 3">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0</xdr:colOff>
      <xdr:row>31</xdr:row>
      <xdr:rowOff>0</xdr:rowOff>
    </xdr:from>
    <xdr:to>
      <xdr:col>16</xdr:col>
      <xdr:colOff>204480</xdr:colOff>
      <xdr:row>48</xdr:row>
      <xdr:rowOff>1080</xdr:rowOff>
    </xdr:to>
    <xdr:graphicFrame macro="">
      <xdr:nvGraphicFramePr>
        <xdr:cNvPr id="5" name="Chart 4">
          <a:extLst>
            <a:ext uri="{FF2B5EF4-FFF2-40B4-BE49-F238E27FC236}">
              <a16:creationId xmlns:a16="http://schemas.microsoft.com/office/drawing/2014/main" id="{00000000-0008-0000-0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0</xdr:colOff>
      <xdr:row>3</xdr:row>
      <xdr:rowOff>0</xdr:rowOff>
    </xdr:from>
    <xdr:to>
      <xdr:col>14</xdr:col>
      <xdr:colOff>691920</xdr:colOff>
      <xdr:row>13</xdr:row>
      <xdr:rowOff>36360</xdr:rowOff>
    </xdr:to>
    <xdr:graphicFrame macro="">
      <xdr:nvGraphicFramePr>
        <xdr:cNvPr id="4" name="Chart 1">
          <a:extLst>
            <a:ext uri="{FF2B5EF4-FFF2-40B4-BE49-F238E27FC236}">
              <a16:creationId xmlns:a16="http://schemas.microsoft.com/office/drawing/2014/main" id="{00000000-0008-0000-05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16</xdr:row>
      <xdr:rowOff>163080</xdr:rowOff>
    </xdr:from>
    <xdr:to>
      <xdr:col>14</xdr:col>
      <xdr:colOff>691920</xdr:colOff>
      <xdr:row>22</xdr:row>
      <xdr:rowOff>293040</xdr:rowOff>
    </xdr:to>
    <xdr:graphicFrame macro="">
      <xdr:nvGraphicFramePr>
        <xdr:cNvPr id="5" name="Chart 2">
          <a:extLst>
            <a:ext uri="{FF2B5EF4-FFF2-40B4-BE49-F238E27FC236}">
              <a16:creationId xmlns:a16="http://schemas.microsoft.com/office/drawing/2014/main" id="{00000000-0008-0000-05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7</xdr:col>
      <xdr:colOff>0</xdr:colOff>
      <xdr:row>3</xdr:row>
      <xdr:rowOff>190800</xdr:rowOff>
    </xdr:from>
    <xdr:to>
      <xdr:col>14</xdr:col>
      <xdr:colOff>691920</xdr:colOff>
      <xdr:row>17</xdr:row>
      <xdr:rowOff>185040</xdr:rowOff>
    </xdr:to>
    <xdr:graphicFrame macro="">
      <xdr:nvGraphicFramePr>
        <xdr:cNvPr id="6" name="Chart 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27</xdr:row>
      <xdr:rowOff>163440</xdr:rowOff>
    </xdr:from>
    <xdr:to>
      <xdr:col>14</xdr:col>
      <xdr:colOff>691920</xdr:colOff>
      <xdr:row>41</xdr:row>
      <xdr:rowOff>157680</xdr:rowOff>
    </xdr:to>
    <xdr:graphicFrame macro="">
      <xdr:nvGraphicFramePr>
        <xdr:cNvPr id="7" name="Chart 2">
          <a:extLst>
            <a:ext uri="{FF2B5EF4-FFF2-40B4-BE49-F238E27FC236}">
              <a16:creationId xmlns:a16="http://schemas.microsoft.com/office/drawing/2014/main" id="{00000000-0008-0000-06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0</xdr:colOff>
      <xdr:row>51</xdr:row>
      <xdr:rowOff>136080</xdr:rowOff>
    </xdr:from>
    <xdr:to>
      <xdr:col>14</xdr:col>
      <xdr:colOff>691920</xdr:colOff>
      <xdr:row>65</xdr:row>
      <xdr:rowOff>130320</xdr:rowOff>
    </xdr:to>
    <xdr:graphicFrame macro="">
      <xdr:nvGraphicFramePr>
        <xdr:cNvPr id="8" name="Chart 3">
          <a:extLst>
            <a:ext uri="{FF2B5EF4-FFF2-40B4-BE49-F238E27FC236}">
              <a16:creationId xmlns:a16="http://schemas.microsoft.com/office/drawing/2014/main" id="{00000000-0008-0000-06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0</xdr:colOff>
      <xdr:row>75</xdr:row>
      <xdr:rowOff>108360</xdr:rowOff>
    </xdr:from>
    <xdr:to>
      <xdr:col>14</xdr:col>
      <xdr:colOff>691920</xdr:colOff>
      <xdr:row>89</xdr:row>
      <xdr:rowOff>102960</xdr:rowOff>
    </xdr:to>
    <xdr:graphicFrame macro="">
      <xdr:nvGraphicFramePr>
        <xdr:cNvPr id="9" name="Chart 4">
          <a:extLst>
            <a:ext uri="{FF2B5EF4-FFF2-40B4-BE49-F238E27FC236}">
              <a16:creationId xmlns:a16="http://schemas.microsoft.com/office/drawing/2014/main" id="{00000000-0008-0000-06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7</xdr:col>
      <xdr:colOff>0</xdr:colOff>
      <xdr:row>99</xdr:row>
      <xdr:rowOff>81000</xdr:rowOff>
    </xdr:from>
    <xdr:to>
      <xdr:col>14</xdr:col>
      <xdr:colOff>691920</xdr:colOff>
      <xdr:row>113</xdr:row>
      <xdr:rowOff>75600</xdr:rowOff>
    </xdr:to>
    <xdr:graphicFrame macro="">
      <xdr:nvGraphicFramePr>
        <xdr:cNvPr id="10" name="Chart 5">
          <a:extLst>
            <a:ext uri="{FF2B5EF4-FFF2-40B4-BE49-F238E27FC236}">
              <a16:creationId xmlns:a16="http://schemas.microsoft.com/office/drawing/2014/main" id="{00000000-0008-0000-06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7</xdr:col>
      <xdr:colOff>0</xdr:colOff>
      <xdr:row>123</xdr:row>
      <xdr:rowOff>53640</xdr:rowOff>
    </xdr:from>
    <xdr:to>
      <xdr:col>14</xdr:col>
      <xdr:colOff>691920</xdr:colOff>
      <xdr:row>137</xdr:row>
      <xdr:rowOff>48240</xdr:rowOff>
    </xdr:to>
    <xdr:graphicFrame macro="">
      <xdr:nvGraphicFramePr>
        <xdr:cNvPr id="11" name="Chart 6">
          <a:extLst>
            <a:ext uri="{FF2B5EF4-FFF2-40B4-BE49-F238E27FC236}">
              <a16:creationId xmlns:a16="http://schemas.microsoft.com/office/drawing/2014/main" id="{00000000-0008-0000-06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9</xdr:col>
      <xdr:colOff>0</xdr:colOff>
      <xdr:row>147</xdr:row>
      <xdr:rowOff>26640</xdr:rowOff>
    </xdr:from>
    <xdr:to>
      <xdr:col>21</xdr:col>
      <xdr:colOff>318240</xdr:colOff>
      <xdr:row>161</xdr:row>
      <xdr:rowOff>21240</xdr:rowOff>
    </xdr:to>
    <xdr:graphicFrame macro="">
      <xdr:nvGraphicFramePr>
        <xdr:cNvPr id="12" name="Chart 7">
          <a:extLst>
            <a:ext uri="{FF2B5EF4-FFF2-40B4-BE49-F238E27FC236}">
              <a16:creationId xmlns:a16="http://schemas.microsoft.com/office/drawing/2014/main" id="{00000000-0008-0000-06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7</xdr:col>
      <xdr:colOff>0</xdr:colOff>
      <xdr:row>3</xdr:row>
      <xdr:rowOff>190800</xdr:rowOff>
    </xdr:from>
    <xdr:to>
      <xdr:col>14</xdr:col>
      <xdr:colOff>691920</xdr:colOff>
      <xdr:row>17</xdr:row>
      <xdr:rowOff>185040</xdr:rowOff>
    </xdr:to>
    <xdr:graphicFrame macro="">
      <xdr:nvGraphicFramePr>
        <xdr:cNvPr id="13" name="Chart 1">
          <a:extLst>
            <a:ext uri="{FF2B5EF4-FFF2-40B4-BE49-F238E27FC236}">
              <a16:creationId xmlns:a16="http://schemas.microsoft.com/office/drawing/2014/main" id="{00000000-0008-0000-07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27</xdr:row>
      <xdr:rowOff>163440</xdr:rowOff>
    </xdr:from>
    <xdr:to>
      <xdr:col>14</xdr:col>
      <xdr:colOff>691920</xdr:colOff>
      <xdr:row>41</xdr:row>
      <xdr:rowOff>157680</xdr:rowOff>
    </xdr:to>
    <xdr:graphicFrame macro="">
      <xdr:nvGraphicFramePr>
        <xdr:cNvPr id="14" name="Chart 2">
          <a:extLst>
            <a:ext uri="{FF2B5EF4-FFF2-40B4-BE49-F238E27FC236}">
              <a16:creationId xmlns:a16="http://schemas.microsoft.com/office/drawing/2014/main" id="{00000000-0008-0000-07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0</xdr:colOff>
      <xdr:row>51</xdr:row>
      <xdr:rowOff>136080</xdr:rowOff>
    </xdr:from>
    <xdr:to>
      <xdr:col>14</xdr:col>
      <xdr:colOff>691920</xdr:colOff>
      <xdr:row>65</xdr:row>
      <xdr:rowOff>130320</xdr:rowOff>
    </xdr:to>
    <xdr:graphicFrame macro="">
      <xdr:nvGraphicFramePr>
        <xdr:cNvPr id="15" name="Chart 3">
          <a:extLst>
            <a:ext uri="{FF2B5EF4-FFF2-40B4-BE49-F238E27FC236}">
              <a16:creationId xmlns:a16="http://schemas.microsoft.com/office/drawing/2014/main" id="{00000000-0008-0000-07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0</xdr:colOff>
      <xdr:row>75</xdr:row>
      <xdr:rowOff>108360</xdr:rowOff>
    </xdr:from>
    <xdr:to>
      <xdr:col>14</xdr:col>
      <xdr:colOff>691920</xdr:colOff>
      <xdr:row>89</xdr:row>
      <xdr:rowOff>102960</xdr:rowOff>
    </xdr:to>
    <xdr:graphicFrame macro="">
      <xdr:nvGraphicFramePr>
        <xdr:cNvPr id="16" name="Chart 4">
          <a:extLst>
            <a:ext uri="{FF2B5EF4-FFF2-40B4-BE49-F238E27FC236}">
              <a16:creationId xmlns:a16="http://schemas.microsoft.com/office/drawing/2014/main" id="{00000000-0008-0000-0700-00001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7</xdr:col>
      <xdr:colOff>0</xdr:colOff>
      <xdr:row>99</xdr:row>
      <xdr:rowOff>81000</xdr:rowOff>
    </xdr:from>
    <xdr:to>
      <xdr:col>14</xdr:col>
      <xdr:colOff>691920</xdr:colOff>
      <xdr:row>113</xdr:row>
      <xdr:rowOff>75600</xdr:rowOff>
    </xdr:to>
    <xdr:graphicFrame macro="">
      <xdr:nvGraphicFramePr>
        <xdr:cNvPr id="17" name="Chart 5">
          <a:extLst>
            <a:ext uri="{FF2B5EF4-FFF2-40B4-BE49-F238E27FC236}">
              <a16:creationId xmlns:a16="http://schemas.microsoft.com/office/drawing/2014/main" id="{00000000-0008-0000-07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7</xdr:col>
      <xdr:colOff>0</xdr:colOff>
      <xdr:row>3</xdr:row>
      <xdr:rowOff>190800</xdr:rowOff>
    </xdr:from>
    <xdr:to>
      <xdr:col>14</xdr:col>
      <xdr:colOff>691920</xdr:colOff>
      <xdr:row>17</xdr:row>
      <xdr:rowOff>185040</xdr:rowOff>
    </xdr:to>
    <xdr:graphicFrame macro="">
      <xdr:nvGraphicFramePr>
        <xdr:cNvPr id="18" name="Chart 1">
          <a:extLst>
            <a:ext uri="{FF2B5EF4-FFF2-40B4-BE49-F238E27FC236}">
              <a16:creationId xmlns:a16="http://schemas.microsoft.com/office/drawing/2014/main" id="{00000000-0008-0000-0800-00001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27</xdr:row>
      <xdr:rowOff>163440</xdr:rowOff>
    </xdr:from>
    <xdr:to>
      <xdr:col>14</xdr:col>
      <xdr:colOff>691920</xdr:colOff>
      <xdr:row>41</xdr:row>
      <xdr:rowOff>157680</xdr:rowOff>
    </xdr:to>
    <xdr:graphicFrame macro="">
      <xdr:nvGraphicFramePr>
        <xdr:cNvPr id="19" name="Chart 2">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0</xdr:colOff>
      <xdr:row>51</xdr:row>
      <xdr:rowOff>136080</xdr:rowOff>
    </xdr:from>
    <xdr:to>
      <xdr:col>14</xdr:col>
      <xdr:colOff>691920</xdr:colOff>
      <xdr:row>65</xdr:row>
      <xdr:rowOff>130320</xdr:rowOff>
    </xdr:to>
    <xdr:graphicFrame macro="">
      <xdr:nvGraphicFramePr>
        <xdr:cNvPr id="20" name="Chart 3">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0</xdr:colOff>
      <xdr:row>75</xdr:row>
      <xdr:rowOff>108360</xdr:rowOff>
    </xdr:from>
    <xdr:to>
      <xdr:col>14</xdr:col>
      <xdr:colOff>691920</xdr:colOff>
      <xdr:row>89</xdr:row>
      <xdr:rowOff>102960</xdr:rowOff>
    </xdr:to>
    <xdr:graphicFrame macro="">
      <xdr:nvGraphicFramePr>
        <xdr:cNvPr id="21" name="Chart 4">
          <a:extLst>
            <a:ext uri="{FF2B5EF4-FFF2-40B4-BE49-F238E27FC236}">
              <a16:creationId xmlns:a16="http://schemas.microsoft.com/office/drawing/2014/main" id="{00000000-0008-0000-0800-00001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7</xdr:col>
      <xdr:colOff>0</xdr:colOff>
      <xdr:row>99</xdr:row>
      <xdr:rowOff>81000</xdr:rowOff>
    </xdr:from>
    <xdr:to>
      <xdr:col>14</xdr:col>
      <xdr:colOff>691920</xdr:colOff>
      <xdr:row>113</xdr:row>
      <xdr:rowOff>75600</xdr:rowOff>
    </xdr:to>
    <xdr:graphicFrame macro="">
      <xdr:nvGraphicFramePr>
        <xdr:cNvPr id="22" name="Chart 5">
          <a:extLst>
            <a:ext uri="{FF2B5EF4-FFF2-40B4-BE49-F238E27FC236}">
              <a16:creationId xmlns:a16="http://schemas.microsoft.com/office/drawing/2014/main" id="{00000000-0008-0000-08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7</xdr:col>
      <xdr:colOff>0</xdr:colOff>
      <xdr:row>123</xdr:row>
      <xdr:rowOff>53640</xdr:rowOff>
    </xdr:from>
    <xdr:to>
      <xdr:col>14</xdr:col>
      <xdr:colOff>691920</xdr:colOff>
      <xdr:row>137</xdr:row>
      <xdr:rowOff>48240</xdr:rowOff>
    </xdr:to>
    <xdr:graphicFrame macro="">
      <xdr:nvGraphicFramePr>
        <xdr:cNvPr id="23" name="Chart 6">
          <a:extLst>
            <a:ext uri="{FF2B5EF4-FFF2-40B4-BE49-F238E27FC236}">
              <a16:creationId xmlns:a16="http://schemas.microsoft.com/office/drawing/2014/main" id="{00000000-0008-0000-0800-00001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7</xdr:col>
      <xdr:colOff>0</xdr:colOff>
      <xdr:row>147</xdr:row>
      <xdr:rowOff>26640</xdr:rowOff>
    </xdr:from>
    <xdr:to>
      <xdr:col>14</xdr:col>
      <xdr:colOff>691920</xdr:colOff>
      <xdr:row>161</xdr:row>
      <xdr:rowOff>21240</xdr:rowOff>
    </xdr:to>
    <xdr:graphicFrame macro="">
      <xdr:nvGraphicFramePr>
        <xdr:cNvPr id="24" name="Chart 7">
          <a:extLst>
            <a:ext uri="{FF2B5EF4-FFF2-40B4-BE49-F238E27FC236}">
              <a16:creationId xmlns:a16="http://schemas.microsoft.com/office/drawing/2014/main" id="{00000000-0008-0000-08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7</xdr:col>
      <xdr:colOff>0</xdr:colOff>
      <xdr:row>171</xdr:row>
      <xdr:rowOff>-720</xdr:rowOff>
    </xdr:from>
    <xdr:to>
      <xdr:col>14</xdr:col>
      <xdr:colOff>691920</xdr:colOff>
      <xdr:row>184</xdr:row>
      <xdr:rowOff>184320</xdr:rowOff>
    </xdr:to>
    <xdr:graphicFrame macro="">
      <xdr:nvGraphicFramePr>
        <xdr:cNvPr id="25" name="Chart 8">
          <a:extLst>
            <a:ext uri="{FF2B5EF4-FFF2-40B4-BE49-F238E27FC236}">
              <a16:creationId xmlns:a16="http://schemas.microsoft.com/office/drawing/2014/main" id="{00000000-0008-0000-08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7</xdr:col>
      <xdr:colOff>0</xdr:colOff>
      <xdr:row>6</xdr:row>
      <xdr:rowOff>190440</xdr:rowOff>
    </xdr:from>
    <xdr:to>
      <xdr:col>14</xdr:col>
      <xdr:colOff>691920</xdr:colOff>
      <xdr:row>20</xdr:row>
      <xdr:rowOff>185040</xdr:rowOff>
    </xdr:to>
    <xdr:graphicFrame macro="">
      <xdr:nvGraphicFramePr>
        <xdr:cNvPr id="26" name="Chart 1">
          <a:extLst>
            <a:ext uri="{FF2B5EF4-FFF2-40B4-BE49-F238E27FC236}">
              <a16:creationId xmlns:a16="http://schemas.microsoft.com/office/drawing/2014/main" id="{00000000-0008-0000-09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30</xdr:row>
      <xdr:rowOff>163080</xdr:rowOff>
    </xdr:from>
    <xdr:to>
      <xdr:col>14</xdr:col>
      <xdr:colOff>691920</xdr:colOff>
      <xdr:row>44</xdr:row>
      <xdr:rowOff>157680</xdr:rowOff>
    </xdr:to>
    <xdr:graphicFrame macro="">
      <xdr:nvGraphicFramePr>
        <xdr:cNvPr id="27" name="Chart 2">
          <a:extLst>
            <a:ext uri="{FF2B5EF4-FFF2-40B4-BE49-F238E27FC236}">
              <a16:creationId xmlns:a16="http://schemas.microsoft.com/office/drawing/2014/main" id="{00000000-0008-0000-0900-00001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0</xdr:colOff>
      <xdr:row>54</xdr:row>
      <xdr:rowOff>136080</xdr:rowOff>
    </xdr:from>
    <xdr:to>
      <xdr:col>14</xdr:col>
      <xdr:colOff>691920</xdr:colOff>
      <xdr:row>68</xdr:row>
      <xdr:rowOff>130320</xdr:rowOff>
    </xdr:to>
    <xdr:graphicFrame macro="">
      <xdr:nvGraphicFramePr>
        <xdr:cNvPr id="28" name="Chart 3">
          <a:extLst>
            <a:ext uri="{FF2B5EF4-FFF2-40B4-BE49-F238E27FC236}">
              <a16:creationId xmlns:a16="http://schemas.microsoft.com/office/drawing/2014/main" id="{00000000-0008-0000-0900-00001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0</xdr:colOff>
      <xdr:row>78</xdr:row>
      <xdr:rowOff>108720</xdr:rowOff>
    </xdr:from>
    <xdr:to>
      <xdr:col>14</xdr:col>
      <xdr:colOff>691920</xdr:colOff>
      <xdr:row>92</xdr:row>
      <xdr:rowOff>102960</xdr:rowOff>
    </xdr:to>
    <xdr:graphicFrame macro="">
      <xdr:nvGraphicFramePr>
        <xdr:cNvPr id="29" name="Chart 4">
          <a:extLst>
            <a:ext uri="{FF2B5EF4-FFF2-40B4-BE49-F238E27FC236}">
              <a16:creationId xmlns:a16="http://schemas.microsoft.com/office/drawing/2014/main" id="{00000000-0008-0000-0900-00001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7</xdr:col>
      <xdr:colOff>0</xdr:colOff>
      <xdr:row>102</xdr:row>
      <xdr:rowOff>81360</xdr:rowOff>
    </xdr:from>
    <xdr:to>
      <xdr:col>14</xdr:col>
      <xdr:colOff>691920</xdr:colOff>
      <xdr:row>116</xdr:row>
      <xdr:rowOff>75600</xdr:rowOff>
    </xdr:to>
    <xdr:graphicFrame macro="">
      <xdr:nvGraphicFramePr>
        <xdr:cNvPr id="30" name="Chart 5">
          <a:extLst>
            <a:ext uri="{FF2B5EF4-FFF2-40B4-BE49-F238E27FC236}">
              <a16:creationId xmlns:a16="http://schemas.microsoft.com/office/drawing/2014/main" id="{00000000-0008-0000-0900-00001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7</xdr:col>
      <xdr:colOff>0</xdr:colOff>
      <xdr:row>126</xdr:row>
      <xdr:rowOff>54000</xdr:rowOff>
    </xdr:from>
    <xdr:to>
      <xdr:col>14</xdr:col>
      <xdr:colOff>691920</xdr:colOff>
      <xdr:row>142</xdr:row>
      <xdr:rowOff>27360</xdr:rowOff>
    </xdr:to>
    <xdr:graphicFrame macro="">
      <xdr:nvGraphicFramePr>
        <xdr:cNvPr id="31" name="Chart 6">
          <a:extLst>
            <a:ext uri="{FF2B5EF4-FFF2-40B4-BE49-F238E27FC236}">
              <a16:creationId xmlns:a16="http://schemas.microsoft.com/office/drawing/2014/main" id="{00000000-0008-0000-0900-00001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7</xdr:col>
      <xdr:colOff>0</xdr:colOff>
      <xdr:row>150</xdr:row>
      <xdr:rowOff>26640</xdr:rowOff>
    </xdr:from>
    <xdr:to>
      <xdr:col>14</xdr:col>
      <xdr:colOff>691920</xdr:colOff>
      <xdr:row>164</xdr:row>
      <xdr:rowOff>20880</xdr:rowOff>
    </xdr:to>
    <xdr:graphicFrame macro="">
      <xdr:nvGraphicFramePr>
        <xdr:cNvPr id="32" name="Chart 7">
          <a:extLst>
            <a:ext uri="{FF2B5EF4-FFF2-40B4-BE49-F238E27FC236}">
              <a16:creationId xmlns:a16="http://schemas.microsoft.com/office/drawing/2014/main" id="{00000000-0008-0000-0900-00002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7</xdr:col>
      <xdr:colOff>0</xdr:colOff>
      <xdr:row>174</xdr:row>
      <xdr:rowOff>-720</xdr:rowOff>
    </xdr:from>
    <xdr:to>
      <xdr:col>14</xdr:col>
      <xdr:colOff>691920</xdr:colOff>
      <xdr:row>195</xdr:row>
      <xdr:rowOff>100080</xdr:rowOff>
    </xdr:to>
    <xdr:graphicFrame macro="">
      <xdr:nvGraphicFramePr>
        <xdr:cNvPr id="33" name="Chart 8">
          <a:extLst>
            <a:ext uri="{FF2B5EF4-FFF2-40B4-BE49-F238E27FC236}">
              <a16:creationId xmlns:a16="http://schemas.microsoft.com/office/drawing/2014/main" id="{00000000-0008-0000-0900-00002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7</xdr:col>
      <xdr:colOff>0</xdr:colOff>
      <xdr:row>207</xdr:row>
      <xdr:rowOff>162360</xdr:rowOff>
    </xdr:from>
    <xdr:to>
      <xdr:col>14</xdr:col>
      <xdr:colOff>691920</xdr:colOff>
      <xdr:row>221</xdr:row>
      <xdr:rowOff>156960</xdr:rowOff>
    </xdr:to>
    <xdr:graphicFrame macro="">
      <xdr:nvGraphicFramePr>
        <xdr:cNvPr id="34" name="Chart 9">
          <a:extLst>
            <a:ext uri="{FF2B5EF4-FFF2-40B4-BE49-F238E27FC236}">
              <a16:creationId xmlns:a16="http://schemas.microsoft.com/office/drawing/2014/main" id="{00000000-0008-0000-0900-00002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7</xdr:col>
      <xdr:colOff>0</xdr:colOff>
      <xdr:row>231</xdr:row>
      <xdr:rowOff>135000</xdr:rowOff>
    </xdr:from>
    <xdr:to>
      <xdr:col>14</xdr:col>
      <xdr:colOff>691920</xdr:colOff>
      <xdr:row>245</xdr:row>
      <xdr:rowOff>129600</xdr:rowOff>
    </xdr:to>
    <xdr:graphicFrame macro="">
      <xdr:nvGraphicFramePr>
        <xdr:cNvPr id="35" name="Chart 10">
          <a:extLst>
            <a:ext uri="{FF2B5EF4-FFF2-40B4-BE49-F238E27FC236}">
              <a16:creationId xmlns:a16="http://schemas.microsoft.com/office/drawing/2014/main" id="{00000000-0008-0000-0900-00002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8.xml><?xml version="1.0" encoding="utf-8"?>
<xdr:wsDr xmlns:xdr="http://schemas.openxmlformats.org/drawingml/2006/spreadsheetDrawing" xmlns:a="http://schemas.openxmlformats.org/drawingml/2006/main">
  <xdr:oneCellAnchor>
    <xdr:from>
      <xdr:col>5</xdr:col>
      <xdr:colOff>0</xdr:colOff>
      <xdr:row>17</xdr:row>
      <xdr:rowOff>0</xdr:rowOff>
    </xdr:from>
    <xdr:ext cx="5400000" cy="3384000"/>
    <xdr:graphicFrame macro="">
      <xdr:nvGraphicFramePr>
        <xdr:cNvPr id="2" name="Chart 1">
          <a:extLst>
            <a:ext uri="{FF2B5EF4-FFF2-40B4-BE49-F238E27FC236}">
              <a16:creationId xmlns:a16="http://schemas.microsoft.com/office/drawing/2014/main" id="{00000000-0008-0000-1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26"/>
  <sheetViews>
    <sheetView showGridLines="0" topLeftCell="A6" zoomScaleNormal="100" workbookViewId="0">
      <selection activeCell="F22" sqref="F22"/>
    </sheetView>
  </sheetViews>
  <sheetFormatPr baseColWidth="10" defaultColWidth="8.6640625" defaultRowHeight="15" x14ac:dyDescent="0.2"/>
  <cols>
    <col min="1" max="1" width="3" customWidth="1"/>
    <col min="2" max="2" width="26" customWidth="1"/>
    <col min="3" max="3" width="40" customWidth="1"/>
    <col min="4" max="4" width="26" customWidth="1"/>
    <col min="5" max="5" width="20" customWidth="1"/>
    <col min="6" max="6" width="52" customWidth="1"/>
  </cols>
  <sheetData>
    <row r="1" spans="1:8" ht="33.75" customHeight="1" x14ac:dyDescent="0.2">
      <c r="A1" s="14" t="s">
        <v>0</v>
      </c>
      <c r="B1" s="14"/>
      <c r="C1" s="14"/>
      <c r="D1" s="14"/>
      <c r="E1" s="14"/>
      <c r="F1" s="14"/>
      <c r="G1" s="14"/>
      <c r="H1" s="14"/>
    </row>
    <row r="2" spans="1:8" ht="25.5" customHeight="1" x14ac:dyDescent="0.2">
      <c r="A2" s="13" t="s">
        <v>1</v>
      </c>
      <c r="B2" s="13"/>
      <c r="C2" s="13"/>
      <c r="D2" s="13"/>
      <c r="E2" s="13"/>
      <c r="F2" s="13"/>
      <c r="G2" s="13"/>
      <c r="H2" s="13"/>
    </row>
    <row r="4" spans="1:8" ht="16.5" customHeight="1" x14ac:dyDescent="0.2">
      <c r="B4" s="15" t="s">
        <v>2</v>
      </c>
    </row>
    <row r="5" spans="1:8" ht="30" customHeight="1" x14ac:dyDescent="0.2">
      <c r="B5" s="12" t="s">
        <v>3</v>
      </c>
      <c r="C5" s="12"/>
      <c r="D5" s="12"/>
      <c r="E5" s="12"/>
      <c r="F5" s="12"/>
    </row>
    <row r="6" spans="1:8" ht="43.5" customHeight="1" x14ac:dyDescent="0.2">
      <c r="B6" s="12" t="s">
        <v>4</v>
      </c>
      <c r="C6" s="12"/>
      <c r="D6" s="12"/>
      <c r="E6" s="12"/>
      <c r="F6" s="12"/>
    </row>
    <row r="8" spans="1:8" ht="16.5" customHeight="1" x14ac:dyDescent="0.2">
      <c r="B8" s="15" t="s">
        <v>5</v>
      </c>
    </row>
    <row r="9" spans="1:8" ht="24" customHeight="1" x14ac:dyDescent="0.2">
      <c r="B9" s="11" t="s">
        <v>6</v>
      </c>
      <c r="C9" s="11"/>
      <c r="D9" s="11"/>
      <c r="E9" s="11"/>
      <c r="F9" s="11"/>
    </row>
    <row r="10" spans="1:8" ht="24" customHeight="1" x14ac:dyDescent="0.2">
      <c r="B10" s="16" t="s">
        <v>7</v>
      </c>
      <c r="C10" s="16" t="s">
        <v>8</v>
      </c>
      <c r="D10" s="16" t="s">
        <v>9</v>
      </c>
      <c r="E10" s="16" t="s">
        <v>10</v>
      </c>
      <c r="F10" s="16" t="s">
        <v>11</v>
      </c>
    </row>
    <row r="11" spans="1:8" ht="31.5" customHeight="1" x14ac:dyDescent="0.2">
      <c r="B11" s="17" t="s">
        <v>12</v>
      </c>
      <c r="C11" s="18" t="s">
        <v>13</v>
      </c>
      <c r="D11" s="18" t="s">
        <v>14</v>
      </c>
      <c r="E11" s="18" t="s">
        <v>15</v>
      </c>
      <c r="F11" s="18" t="s">
        <v>16</v>
      </c>
    </row>
    <row r="12" spans="1:8" ht="31.5" customHeight="1" x14ac:dyDescent="0.2">
      <c r="B12" s="19" t="s">
        <v>17</v>
      </c>
      <c r="C12" s="20" t="s">
        <v>18</v>
      </c>
      <c r="D12" s="20" t="s">
        <v>19</v>
      </c>
      <c r="E12" s="20" t="s">
        <v>20</v>
      </c>
      <c r="F12" s="20" t="s">
        <v>21</v>
      </c>
    </row>
    <row r="13" spans="1:8" ht="31.5" customHeight="1" x14ac:dyDescent="0.2">
      <c r="B13" s="17" t="s">
        <v>22</v>
      </c>
      <c r="C13" s="18" t="s">
        <v>23</v>
      </c>
      <c r="D13" s="18" t="s">
        <v>24</v>
      </c>
      <c r="E13" s="18" t="s">
        <v>25</v>
      </c>
      <c r="F13" s="18" t="s">
        <v>26</v>
      </c>
    </row>
    <row r="14" spans="1:8" ht="31.5" customHeight="1" x14ac:dyDescent="0.2">
      <c r="B14" s="19" t="s">
        <v>27</v>
      </c>
      <c r="C14" s="20" t="s">
        <v>28</v>
      </c>
      <c r="D14" s="20" t="s">
        <v>29</v>
      </c>
      <c r="E14" s="20" t="s">
        <v>30</v>
      </c>
      <c r="F14" s="20" t="s">
        <v>31</v>
      </c>
    </row>
    <row r="15" spans="1:8" ht="31.5" customHeight="1" x14ac:dyDescent="0.2">
      <c r="B15" s="17" t="s">
        <v>32</v>
      </c>
      <c r="C15" s="18" t="s">
        <v>33</v>
      </c>
      <c r="D15" s="18" t="s">
        <v>29</v>
      </c>
      <c r="E15" s="18" t="s">
        <v>30</v>
      </c>
      <c r="F15" s="18" t="s">
        <v>34</v>
      </c>
    </row>
    <row r="16" spans="1:8" ht="31.5" customHeight="1" x14ac:dyDescent="0.2">
      <c r="B16" s="19" t="s">
        <v>35</v>
      </c>
      <c r="C16" s="20" t="s">
        <v>36</v>
      </c>
      <c r="D16" s="20" t="s">
        <v>37</v>
      </c>
      <c r="E16" s="20" t="s">
        <v>30</v>
      </c>
      <c r="F16" s="20" t="s">
        <v>38</v>
      </c>
    </row>
    <row r="18" spans="2:6" ht="16.5" customHeight="1" x14ac:dyDescent="0.2">
      <c r="B18" s="15" t="s">
        <v>39</v>
      </c>
    </row>
    <row r="19" spans="2:6" ht="31.5" customHeight="1" x14ac:dyDescent="0.2">
      <c r="B19" s="12" t="s">
        <v>40</v>
      </c>
      <c r="C19" s="12"/>
      <c r="D19" s="12"/>
      <c r="E19" s="12"/>
      <c r="F19" s="12"/>
    </row>
    <row r="20" spans="2:6" ht="30" customHeight="1" x14ac:dyDescent="0.2">
      <c r="B20" s="21" t="s">
        <v>41</v>
      </c>
      <c r="C20" s="21" t="s">
        <v>42</v>
      </c>
      <c r="D20" s="21" t="s">
        <v>43</v>
      </c>
      <c r="E20" s="21" t="s">
        <v>44</v>
      </c>
    </row>
    <row r="21" spans="2:6" ht="45" customHeight="1" x14ac:dyDescent="0.2">
      <c r="B21" s="22" t="s">
        <v>45</v>
      </c>
      <c r="C21" s="23">
        <v>75</v>
      </c>
      <c r="D21" s="23">
        <v>72</v>
      </c>
      <c r="E21" s="22" t="s">
        <v>46</v>
      </c>
    </row>
    <row r="22" spans="2:6" ht="45" customHeight="1" x14ac:dyDescent="0.2">
      <c r="B22" s="24" t="s">
        <v>47</v>
      </c>
      <c r="C22" s="25">
        <v>7</v>
      </c>
      <c r="D22" s="25">
        <v>7</v>
      </c>
      <c r="E22" s="24" t="s">
        <v>48</v>
      </c>
    </row>
    <row r="23" spans="2:6" ht="30" customHeight="1" x14ac:dyDescent="0.2">
      <c r="B23" s="22" t="s">
        <v>49</v>
      </c>
      <c r="C23" s="23">
        <v>5</v>
      </c>
      <c r="D23" s="23">
        <v>5</v>
      </c>
      <c r="E23" s="22" t="s">
        <v>50</v>
      </c>
    </row>
    <row r="24" spans="2:6" ht="45" customHeight="1" x14ac:dyDescent="0.2">
      <c r="B24" s="24" t="s">
        <v>51</v>
      </c>
      <c r="C24" s="25">
        <v>3</v>
      </c>
      <c r="D24" s="25">
        <v>3</v>
      </c>
      <c r="E24" s="24" t="s">
        <v>52</v>
      </c>
    </row>
    <row r="25" spans="2:6" ht="42" customHeight="1" x14ac:dyDescent="0.2">
      <c r="B25" s="10" t="s">
        <v>53</v>
      </c>
      <c r="C25" s="10"/>
      <c r="D25" s="10"/>
      <c r="E25" s="10"/>
      <c r="F25" s="10"/>
    </row>
    <row r="26" spans="2:6" ht="21.75" customHeight="1" x14ac:dyDescent="0.2">
      <c r="B26" s="9" t="s">
        <v>54</v>
      </c>
      <c r="C26" s="9"/>
      <c r="D26" s="9"/>
      <c r="E26" s="9"/>
      <c r="F26" s="9"/>
    </row>
  </sheetData>
  <mergeCells count="8">
    <mergeCell ref="B19:F19"/>
    <mergeCell ref="B25:F25"/>
    <mergeCell ref="B26:F26"/>
    <mergeCell ref="A1:H1"/>
    <mergeCell ref="A2:H2"/>
    <mergeCell ref="B5:F5"/>
    <mergeCell ref="B6:F6"/>
    <mergeCell ref="B9:F9"/>
  </mergeCells>
  <printOptions horizontalCentered="1"/>
  <pageMargins left="0.75" right="0.75" top="1" bottom="1" header="0.511811023622047" footer="0.511811023622047"/>
  <pageSetup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R57"/>
  <sheetViews>
    <sheetView workbookViewId="0">
      <pane ySplit="2" topLeftCell="A23" activePane="bottomLeft" state="frozen"/>
      <selection pane="bottomLeft" activeCell="A39" sqref="A39:R39"/>
    </sheetView>
  </sheetViews>
  <sheetFormatPr baseColWidth="10" defaultColWidth="8.83203125" defaultRowHeight="15" x14ac:dyDescent="0.2"/>
  <cols>
    <col min="1" max="18" width="9.6640625" customWidth="1"/>
  </cols>
  <sheetData>
    <row r="1" spans="1:18" ht="30" customHeight="1" x14ac:dyDescent="0.2">
      <c r="A1" s="183" t="s">
        <v>1506</v>
      </c>
      <c r="B1" s="184"/>
      <c r="C1" s="184"/>
      <c r="D1" s="184"/>
      <c r="E1" s="184"/>
      <c r="F1" s="184"/>
      <c r="G1" s="184"/>
      <c r="H1" s="184"/>
      <c r="I1" s="184"/>
      <c r="J1" s="184"/>
      <c r="K1" s="184"/>
      <c r="L1" s="184"/>
      <c r="M1" s="184"/>
      <c r="N1" s="184"/>
      <c r="O1" s="184"/>
      <c r="P1" s="184"/>
      <c r="Q1" s="184"/>
      <c r="R1" s="184"/>
    </row>
    <row r="2" spans="1:18" ht="16" customHeight="1" x14ac:dyDescent="0.2">
      <c r="A2" s="170" t="s">
        <v>1507</v>
      </c>
      <c r="B2" s="171"/>
      <c r="C2" s="171"/>
      <c r="D2" s="171"/>
      <c r="E2" s="171"/>
      <c r="F2" s="171"/>
      <c r="G2" s="171"/>
      <c r="H2" s="171"/>
      <c r="I2" s="171"/>
      <c r="J2" s="171"/>
      <c r="K2" s="171"/>
      <c r="L2" s="171"/>
      <c r="M2" s="171"/>
      <c r="N2" s="171"/>
      <c r="O2" s="171"/>
      <c r="P2" s="171"/>
      <c r="Q2" s="171"/>
      <c r="R2" s="171"/>
    </row>
    <row r="4" spans="1:18" ht="13" customHeight="1" x14ac:dyDescent="0.2">
      <c r="A4" s="164" t="s">
        <v>1508</v>
      </c>
      <c r="B4" s="5"/>
      <c r="C4" s="5"/>
      <c r="D4" s="164" t="s">
        <v>1509</v>
      </c>
      <c r="E4" s="5"/>
      <c r="F4" s="5"/>
      <c r="G4" s="164" t="s">
        <v>1510</v>
      </c>
      <c r="H4" s="5"/>
      <c r="I4" s="5"/>
      <c r="J4" s="164" t="s">
        <v>1511</v>
      </c>
      <c r="K4" s="5"/>
      <c r="L4" s="5"/>
      <c r="M4" s="164" t="s">
        <v>1512</v>
      </c>
      <c r="N4" s="5"/>
      <c r="O4" s="5"/>
      <c r="P4" s="164" t="s">
        <v>1513</v>
      </c>
      <c r="Q4" s="5"/>
      <c r="R4" s="5"/>
    </row>
    <row r="5" spans="1:18" ht="25" customHeight="1" x14ac:dyDescent="0.2">
      <c r="A5" s="168">
        <f>COUNT('DATOS LIMPIOS'!$M$5:$M$493)</f>
        <v>489</v>
      </c>
      <c r="B5" s="5"/>
      <c r="C5" s="5"/>
      <c r="D5" s="174">
        <f>SUM('DATOS LIMPIOS'!$H$5:$H$493)/SUM('DATOS LIMPIOS'!$G$5:$G$493)*100</f>
        <v>28.944019276738931</v>
      </c>
      <c r="E5" s="5"/>
      <c r="F5" s="5"/>
      <c r="G5" s="169">
        <f>(SUMPRODUCT(('DATOS LIMPIOS'!$M$5:$M$493-AVERAGE('DATOS LIMPIOS'!$M$5:$M$493))^2)-SUMPRODUCT(('DATOS LIMPIOS'!$M$5:$M$493-'DATOS LIMPIOS'!$Q$5:$Q$493)^2))/SUMPRODUCT(('DATOS LIMPIOS'!$M$5:$M$493-AVERAGE('DATOS LIMPIOS'!$M$5:$M$493))^2)*100</f>
        <v>47.41037221266307</v>
      </c>
      <c r="H5" s="5"/>
      <c r="I5" s="5"/>
      <c r="J5" s="179">
        <f>(AVERAGEIF('DATOS LIMPIOS'!$AH$5:$AH$493,"No",'DATOS LIMPIOS'!$M$5:$M$493)-AVERAGEIF('DATOS LIMPIOS'!$AH$5:$AH$493,"Sí",'DATOS LIMPIOS'!$M$5:$M$493))</f>
        <v>13.255766078299835</v>
      </c>
      <c r="K5" s="5"/>
      <c r="L5" s="5"/>
      <c r="M5" s="179">
        <f>(AVERAGEIF('DATOS LIMPIOS'!$AH$5:$AH$493,"No",'DATOS LIMPIOS'!$N$5:$N$493)-AVERAGEIF('DATOS LIMPIOS'!$AH$5:$AH$493,"Sí",'DATOS LIMPIOS'!$N$5:$N$493))</f>
        <v>1.8958055808740255</v>
      </c>
      <c r="N5" s="5"/>
      <c r="O5" s="5"/>
      <c r="P5" s="175">
        <f>'PROYECCIÓN COP'!$D$8*(AVERAGEIF('DATOS LIMPIOS'!$AH$5:$AH$493,"No",'DATOS LIMPIOS'!$N$5:$N$493)-AVERAGEIF('DATOS LIMPIOS'!$AH$5:$AH$493,"Sí",'DATOS LIMPIOS'!$N$5:$N$493))/100*'PROYECCIÓN COP'!$D$15/100*'PROYECCIÓN COP'!$D$16/1000000</f>
        <v>16.016743782903497</v>
      </c>
      <c r="Q5" s="5"/>
      <c r="R5" s="5"/>
    </row>
    <row r="6" spans="1:18" ht="12" customHeight="1" x14ac:dyDescent="0.2">
      <c r="A6" s="6" t="s">
        <v>1514</v>
      </c>
      <c r="B6" s="5"/>
      <c r="C6" s="5"/>
      <c r="D6" s="6" t="s">
        <v>1515</v>
      </c>
      <c r="E6" s="5"/>
      <c r="F6" s="5"/>
      <c r="G6" s="6" t="s">
        <v>1516</v>
      </c>
      <c r="H6" s="5"/>
      <c r="I6" s="5"/>
      <c r="J6" s="6" t="s">
        <v>1517</v>
      </c>
      <c r="K6" s="5"/>
      <c r="L6" s="5"/>
      <c r="M6" s="6" t="s">
        <v>1518</v>
      </c>
      <c r="N6" s="5"/>
      <c r="O6" s="5"/>
      <c r="P6" s="6" t="s">
        <v>1519</v>
      </c>
      <c r="Q6" s="5"/>
      <c r="R6" s="5"/>
    </row>
    <row r="8" spans="1:18" ht="14" customHeight="1" x14ac:dyDescent="0.2">
      <c r="A8" s="2" t="s">
        <v>1520</v>
      </c>
      <c r="B8" s="3"/>
      <c r="C8" s="3"/>
      <c r="D8" s="3"/>
      <c r="E8" s="3"/>
      <c r="F8" s="3"/>
      <c r="G8" s="3"/>
      <c r="H8" s="3"/>
      <c r="I8" s="3"/>
      <c r="J8" s="3"/>
      <c r="K8" s="3"/>
      <c r="L8" s="3"/>
      <c r="M8" s="3"/>
      <c r="N8" s="3"/>
      <c r="O8" s="3"/>
      <c r="P8" s="3"/>
      <c r="Q8" s="3"/>
      <c r="R8" s="3"/>
    </row>
    <row r="24" spans="1:18" ht="14" customHeight="1" x14ac:dyDescent="0.2">
      <c r="A24" s="2" t="s">
        <v>1521</v>
      </c>
      <c r="B24" s="3"/>
      <c r="C24" s="3"/>
      <c r="D24" s="3"/>
      <c r="E24" s="3"/>
      <c r="F24" s="3"/>
      <c r="G24" s="3"/>
      <c r="H24" s="3"/>
      <c r="J24" s="2" t="s">
        <v>1522</v>
      </c>
      <c r="K24" s="3"/>
      <c r="L24" s="3"/>
      <c r="M24" s="3"/>
      <c r="N24" s="3"/>
      <c r="O24" s="3"/>
      <c r="P24" s="3"/>
      <c r="Q24" s="3"/>
      <c r="R24" s="3"/>
    </row>
    <row r="25" spans="1:18" x14ac:dyDescent="0.2">
      <c r="A25" s="177" t="s">
        <v>81</v>
      </c>
      <c r="B25" s="171"/>
      <c r="C25" s="171"/>
      <c r="D25" s="171"/>
      <c r="E25" s="182" t="s">
        <v>324</v>
      </c>
      <c r="F25" s="171"/>
      <c r="G25" s="182" t="s">
        <v>82</v>
      </c>
      <c r="H25" s="171"/>
    </row>
    <row r="26" spans="1:18" x14ac:dyDescent="0.2">
      <c r="A26" s="162" t="s">
        <v>326</v>
      </c>
      <c r="B26" s="7"/>
      <c r="C26" s="7"/>
      <c r="D26" s="7"/>
      <c r="E26" s="172">
        <f>(SUMPRODUCT(('DATOS LIMPIOS'!$M$5:$M$493-AVERAGE('DATOS LIMPIOS'!$M$5:$M$493))^2)-SUMPRODUCT(('DATOS LIMPIOS'!$M$5:$M$493-'DATOS LIMPIOS'!$R$5:$R$493)^2))/SUMPRODUCT(('DATOS LIMPIOS'!$M$5:$M$493-AVERAGE('DATOS LIMPIOS'!$M$5:$M$493))^2)*100</f>
        <v>1.3828802115824816</v>
      </c>
      <c r="F26" s="7"/>
      <c r="G26" s="163" t="s">
        <v>1523</v>
      </c>
      <c r="H26" s="7"/>
      <c r="J26" s="162" t="s">
        <v>1524</v>
      </c>
      <c r="K26" s="7"/>
      <c r="L26" s="7"/>
      <c r="M26" s="178">
        <f>'PROYECCIÓN COP'!$D$8*(AVERAGEIF('DATOS LIMPIOS'!$AH$5:$AH$493,"No",'DATOS LIMPIOS'!$M$5:$M$493)-AVERAGEIF('DATOS LIMPIOS'!$AH$5:$AH$493,"Sí",'DATOS LIMPIOS'!$M$5:$M$493))/100</f>
        <v>31108.764390214834</v>
      </c>
      <c r="N26" s="7"/>
      <c r="O26" s="8" t="s">
        <v>1525</v>
      </c>
      <c r="P26" s="7"/>
      <c r="Q26" s="7"/>
      <c r="R26" s="7"/>
    </row>
    <row r="27" spans="1:18" x14ac:dyDescent="0.2">
      <c r="A27" s="162" t="s">
        <v>1526</v>
      </c>
      <c r="B27" s="7"/>
      <c r="C27" s="7"/>
      <c r="D27" s="7"/>
      <c r="E27" s="172">
        <f>'H3 ASUNTO'!$B$12</f>
        <v>1.0467797552456561</v>
      </c>
      <c r="F27" s="7"/>
      <c r="G27" s="163" t="s">
        <v>95</v>
      </c>
      <c r="H27" s="7"/>
      <c r="J27" s="162" t="s">
        <v>1527</v>
      </c>
      <c r="K27" s="7"/>
      <c r="L27" s="7"/>
      <c r="M27" s="178">
        <f>'PROYECCIÓN COP'!$D$8*(AVERAGEIF('DATOS LIMPIOS'!$AH$5:$AH$493,"No",'DATOS LIMPIOS'!$N$5:$N$493)-AVERAGEIF('DATOS LIMPIOS'!$AH$5:$AH$493,"Sí",'DATOS LIMPIOS'!$N$5:$N$493))/100</f>
        <v>4449.0954952509719</v>
      </c>
      <c r="N27" s="7"/>
      <c r="O27" s="8" t="s">
        <v>1528</v>
      </c>
      <c r="P27" s="7"/>
      <c r="Q27" s="7"/>
      <c r="R27" s="7"/>
    </row>
    <row r="28" spans="1:18" x14ac:dyDescent="0.2">
      <c r="A28" s="162" t="s">
        <v>328</v>
      </c>
      <c r="B28" s="7"/>
      <c r="C28" s="7"/>
      <c r="D28" s="7"/>
      <c r="E28" s="172">
        <f>'H3 ASUNTO'!$B$13</f>
        <v>0.52913857855511603</v>
      </c>
      <c r="F28" s="7"/>
      <c r="G28" s="163" t="s">
        <v>92</v>
      </c>
      <c r="H28" s="7"/>
      <c r="J28" s="162" t="s">
        <v>1529</v>
      </c>
      <c r="K28" s="7"/>
      <c r="L28" s="7"/>
      <c r="M28" s="176">
        <f>'PROYECCIÓN COP'!$D$8*(AVERAGEIF('DATOS LIMPIOS'!$AH$5:$AH$493,"No",'DATOS LIMPIOS'!$N$5:$N$493)-AVERAGEIF('DATOS LIMPIOS'!$AH$5:$AH$493,"Sí",'DATOS LIMPIOS'!$N$5:$N$493))/100*'PROYECCIÓN COP'!$D$15/100*'PROYECCIÓN COP'!$D$16/1000000</f>
        <v>16.016743782903497</v>
      </c>
      <c r="N28" s="7"/>
      <c r="O28" s="8" t="s">
        <v>1530</v>
      </c>
      <c r="P28" s="7"/>
      <c r="Q28" s="7"/>
      <c r="R28" s="7"/>
    </row>
    <row r="29" spans="1:18" x14ac:dyDescent="0.2">
      <c r="A29" s="162" t="s">
        <v>329</v>
      </c>
      <c r="B29" s="7"/>
      <c r="C29" s="7"/>
      <c r="D29" s="7"/>
      <c r="E29" s="172">
        <f>'H3 ASUNTO'!$B$14</f>
        <v>9.4078929895030472E-2</v>
      </c>
      <c r="F29" s="7"/>
      <c r="G29" s="163" t="s">
        <v>88</v>
      </c>
      <c r="H29" s="7"/>
      <c r="J29" s="162" t="s">
        <v>1531</v>
      </c>
      <c r="K29" s="7"/>
      <c r="L29" s="7"/>
      <c r="M29" s="181">
        <f>'PROYECCIÓN COP'!$D$17*COUNTIF('DATOS LIMPIOS'!$AH$5:$AH$493,"Sí")/COUNT('DATOS LIMPIOS'!$M$5:$M$493)*'PROYECCIÓN COP'!$D$8*(AVERAGEIF('DATOS LIMPIOS'!$AH$5:$AH$493,"No",'DATOS LIMPIOS'!$N$5:$N$493)-AVERAGEIF('DATOS LIMPIOS'!$AH$5:$AH$493,"Sí",'DATOS LIMPIOS'!$N$5:$N$493))/100*'PROYECCIÓN COP'!$D$15/100*'PROYECCIÓN COP'!$D$16/1000000</f>
        <v>106.90930819508591</v>
      </c>
      <c r="N29" s="7"/>
      <c r="O29" s="8" t="s">
        <v>1532</v>
      </c>
      <c r="P29" s="7"/>
      <c r="Q29" s="7"/>
      <c r="R29" s="7"/>
    </row>
    <row r="30" spans="1:18" x14ac:dyDescent="0.2">
      <c r="A30" s="162" t="s">
        <v>1533</v>
      </c>
      <c r="B30" s="7"/>
      <c r="C30" s="7"/>
      <c r="D30" s="7"/>
      <c r="E30" s="172">
        <f>'H3 ASUNTO'!$B$15</f>
        <v>0.17975665331537036</v>
      </c>
      <c r="F30" s="7"/>
      <c r="G30" s="163" t="s">
        <v>1534</v>
      </c>
      <c r="H30" s="7"/>
    </row>
    <row r="31" spans="1:18" ht="34" customHeight="1" x14ac:dyDescent="0.2">
      <c r="A31" s="173" t="s">
        <v>1535</v>
      </c>
      <c r="B31" s="5"/>
      <c r="C31" s="5"/>
      <c r="D31" s="5"/>
      <c r="E31" s="5"/>
      <c r="F31" s="5"/>
      <c r="G31" s="5"/>
      <c r="H31" s="5"/>
      <c r="J31" s="173" t="s">
        <v>1536</v>
      </c>
      <c r="K31" s="5"/>
      <c r="L31" s="5"/>
      <c r="M31" s="5"/>
      <c r="N31" s="5"/>
      <c r="O31" s="5"/>
      <c r="P31" s="5"/>
      <c r="Q31" s="5"/>
      <c r="R31" s="5"/>
    </row>
    <row r="33" spans="1:18" ht="14" customHeight="1" x14ac:dyDescent="0.2">
      <c r="A33" s="2" t="s">
        <v>1537</v>
      </c>
      <c r="B33" s="3"/>
      <c r="C33" s="3"/>
      <c r="D33" s="3"/>
      <c r="E33" s="3"/>
      <c r="F33" s="3"/>
      <c r="G33" s="3"/>
      <c r="H33" s="3"/>
      <c r="I33" s="3"/>
      <c r="J33" s="3"/>
      <c r="K33" s="3"/>
      <c r="L33" s="3"/>
      <c r="M33" s="3"/>
      <c r="N33" s="3"/>
      <c r="O33" s="3"/>
      <c r="P33" s="3"/>
      <c r="Q33" s="3"/>
      <c r="R33" s="3"/>
    </row>
    <row r="34" spans="1:18" ht="18" x14ac:dyDescent="0.2">
      <c r="A34" s="4" t="s">
        <v>1538</v>
      </c>
      <c r="B34" s="3"/>
      <c r="C34" s="3"/>
      <c r="D34" s="3"/>
      <c r="E34" s="3"/>
      <c r="F34" s="114">
        <f>COUNTIF('BIBLIOTECA ASUNTOS'!$H$10:$H$31,"RETIRAR")</f>
        <v>10</v>
      </c>
      <c r="H34" s="4" t="s">
        <v>1539</v>
      </c>
      <c r="I34" s="3"/>
      <c r="J34" s="3"/>
      <c r="K34" s="1" t="s">
        <v>1540</v>
      </c>
      <c r="L34" s="3"/>
      <c r="M34" s="3"/>
      <c r="N34" s="3"/>
      <c r="O34" s="3"/>
      <c r="P34" s="3"/>
      <c r="Q34" s="3"/>
      <c r="R34" s="3"/>
    </row>
    <row r="35" spans="1:18" ht="18" x14ac:dyDescent="0.2">
      <c r="A35" s="4" t="s">
        <v>1541</v>
      </c>
      <c r="B35" s="3"/>
      <c r="C35" s="3"/>
      <c r="D35" s="3"/>
      <c r="E35" s="3"/>
      <c r="F35" s="115">
        <f>COUNTIF('BIBLIOTECA ASUNTOS'!$H$10:$H$31,"REPETIR")</f>
        <v>12</v>
      </c>
      <c r="H35" s="4" t="s">
        <v>1542</v>
      </c>
      <c r="I35" s="3"/>
      <c r="J35" s="3"/>
      <c r="K35" s="167" t="s">
        <v>1543</v>
      </c>
      <c r="L35" s="3"/>
      <c r="M35" s="3"/>
      <c r="N35" s="3"/>
      <c r="O35" s="3"/>
      <c r="P35" s="3"/>
      <c r="Q35" s="3"/>
      <c r="R35" s="3"/>
    </row>
    <row r="37" spans="1:18" ht="44" customHeight="1" x14ac:dyDescent="0.2">
      <c r="A37" s="165" t="s">
        <v>1544</v>
      </c>
      <c r="B37" s="166"/>
      <c r="C37" s="166"/>
      <c r="D37" s="166"/>
      <c r="E37" s="166"/>
      <c r="F37" s="166"/>
      <c r="G37" s="166"/>
      <c r="H37" s="166"/>
      <c r="I37" s="166"/>
      <c r="J37" s="166"/>
      <c r="K37" s="166"/>
      <c r="L37" s="166"/>
      <c r="M37" s="166"/>
      <c r="N37" s="166"/>
      <c r="O37" s="166"/>
      <c r="P37" s="166"/>
      <c r="Q37" s="166"/>
      <c r="R37" s="166"/>
    </row>
    <row r="39" spans="1:18" ht="24" customHeight="1" x14ac:dyDescent="0.2">
      <c r="A39" s="180" t="s">
        <v>1545</v>
      </c>
      <c r="B39" s="5"/>
      <c r="C39" s="5"/>
      <c r="D39" s="5"/>
      <c r="E39" s="5"/>
      <c r="F39" s="5"/>
      <c r="G39" s="5"/>
      <c r="H39" s="5"/>
      <c r="I39" s="5"/>
      <c r="J39" s="5"/>
      <c r="K39" s="5"/>
      <c r="L39" s="5"/>
      <c r="M39" s="5"/>
      <c r="N39" s="5"/>
      <c r="O39" s="5"/>
      <c r="P39" s="5"/>
      <c r="Q39" s="5"/>
      <c r="R39" s="5"/>
    </row>
    <row r="42" spans="1:18" x14ac:dyDescent="0.2">
      <c r="A42" s="116" t="s">
        <v>1546</v>
      </c>
    </row>
    <row r="43" spans="1:18" x14ac:dyDescent="0.2">
      <c r="A43" s="117" t="s">
        <v>1547</v>
      </c>
      <c r="B43" s="117" t="s">
        <v>87</v>
      </c>
    </row>
    <row r="44" spans="1:18" x14ac:dyDescent="0.2">
      <c r="A44" s="118" t="s">
        <v>1548</v>
      </c>
      <c r="B44" s="119">
        <f>AVERAGEIF('DATOS LIMPIOS'!$AH$5:$AH$493,"No",'DATOS LIMPIOS'!$M$5:$M$493)</f>
        <v>32.873288836884214</v>
      </c>
    </row>
    <row r="45" spans="1:18" x14ac:dyDescent="0.2">
      <c r="A45" s="118" t="s">
        <v>1549</v>
      </c>
      <c r="B45" s="119">
        <f>AVERAGEIF('DATOS LIMPIOS'!$AH$5:$AH$493,"Sí",'DATOS LIMPIOS'!$M$5:$M$493)</f>
        <v>19.617522758584379</v>
      </c>
    </row>
    <row r="47" spans="1:18" x14ac:dyDescent="0.2">
      <c r="A47" s="117" t="s">
        <v>188</v>
      </c>
      <c r="B47" s="117" t="s">
        <v>1548</v>
      </c>
      <c r="C47" s="117" t="s">
        <v>1549</v>
      </c>
    </row>
    <row r="48" spans="1:18" x14ac:dyDescent="0.2">
      <c r="A48" s="118" t="s">
        <v>193</v>
      </c>
      <c r="B48" s="119">
        <f>AVERAGEIFS('DATOS LIMPIOS'!$M$5:$M$493,'DATOS LIMPIOS'!$T$5:$T$493,"Agosto",'DATOS LIMPIOS'!$AH$5:$AH$493,"No")</f>
        <v>32.555381701825404</v>
      </c>
      <c r="C48" s="119">
        <f>AVERAGEIFS('DATOS LIMPIOS'!$M$5:$M$493,'DATOS LIMPIOS'!$T$5:$T$493,"Agosto",'DATOS LIMPIOS'!$AH$5:$AH$493,"Sí")</f>
        <v>22.687529323820609</v>
      </c>
    </row>
    <row r="49" spans="1:3" x14ac:dyDescent="0.2">
      <c r="A49" s="118" t="s">
        <v>194</v>
      </c>
      <c r="B49" s="119">
        <f>AVERAGEIFS('DATOS LIMPIOS'!$M$5:$M$493,'DATOS LIMPIOS'!$T$5:$T$493,"Septiembre",'DATOS LIMPIOS'!$AH$5:$AH$493,"No")</f>
        <v>32.878149610269382</v>
      </c>
      <c r="C49" s="119">
        <f>AVERAGEIFS('DATOS LIMPIOS'!$M$5:$M$493,'DATOS LIMPIOS'!$T$5:$T$493,"Septiembre",'DATOS LIMPIOS'!$AH$5:$AH$493,"Sí")</f>
        <v>16.127339318316405</v>
      </c>
    </row>
    <row r="50" spans="1:3" x14ac:dyDescent="0.2">
      <c r="A50" s="118" t="s">
        <v>195</v>
      </c>
      <c r="B50" s="119">
        <f>AVERAGEIFS('DATOS LIMPIOS'!$M$5:$M$493,'DATOS LIMPIOS'!$T$5:$T$493,"Octubre",'DATOS LIMPIOS'!$AH$5:$AH$493,"No")</f>
        <v>33.164493821488726</v>
      </c>
      <c r="C50" s="119">
        <f>AVERAGEIFS('DATOS LIMPIOS'!$M$5:$M$493,'DATOS LIMPIOS'!$T$5:$T$493,"Octubre",'DATOS LIMPIOS'!$AH$5:$AH$493,"Sí")</f>
        <v>19.532131265132833</v>
      </c>
    </row>
    <row r="52" spans="1:3" x14ac:dyDescent="0.2">
      <c r="A52" s="117" t="s">
        <v>323</v>
      </c>
      <c r="B52" s="117" t="s">
        <v>1550</v>
      </c>
    </row>
    <row r="53" spans="1:3" x14ac:dyDescent="0.2">
      <c r="A53" s="118" t="s">
        <v>325</v>
      </c>
      <c r="B53" s="119">
        <f>(SUMPRODUCT(('DATOS LIMPIOS'!$M$5:$M$493-AVERAGE('DATOS LIMPIOS'!$M$5:$M$493))^2)-SUMPRODUCT(('DATOS LIMPIOS'!$M$5:$M$493-'DATOS LIMPIOS'!$Q$5:$Q$493)^2))/SUMPRODUCT(('DATOS LIMPIOS'!$M$5:$M$493-AVERAGE('DATOS LIMPIOS'!$M$5:$M$493))^2)*100</f>
        <v>47.41037221266307</v>
      </c>
    </row>
    <row r="54" spans="1:3" x14ac:dyDescent="0.2">
      <c r="A54" s="118" t="s">
        <v>326</v>
      </c>
      <c r="B54" s="119">
        <f>(SUMPRODUCT(('DATOS LIMPIOS'!$M$5:$M$493-AVERAGE('DATOS LIMPIOS'!$M$5:$M$493))^2)-SUMPRODUCT(('DATOS LIMPIOS'!$M$5:$M$493-'DATOS LIMPIOS'!$R$5:$R$493)^2))/SUMPRODUCT(('DATOS LIMPIOS'!$M$5:$M$493-AVERAGE('DATOS LIMPIOS'!$M$5:$M$493))^2)*100</f>
        <v>1.3828802115824816</v>
      </c>
    </row>
    <row r="55" spans="1:3" x14ac:dyDescent="0.2">
      <c r="A55" s="118" t="s">
        <v>327</v>
      </c>
      <c r="B55" s="119">
        <f>'H3 ASUNTO'!$B$12</f>
        <v>1.0467797552456561</v>
      </c>
    </row>
    <row r="56" spans="1:3" x14ac:dyDescent="0.2">
      <c r="A56" s="118" t="s">
        <v>1551</v>
      </c>
      <c r="B56" s="119">
        <f>'H3 ASUNTO'!$B$13</f>
        <v>0.52913857855511603</v>
      </c>
    </row>
    <row r="57" spans="1:3" x14ac:dyDescent="0.2">
      <c r="A57" s="118" t="s">
        <v>329</v>
      </c>
      <c r="B57" s="119">
        <f>'H3 ASUNTO'!$B$14</f>
        <v>9.4078929895030472E-2</v>
      </c>
    </row>
  </sheetData>
  <mergeCells count="64">
    <mergeCell ref="A1:R1"/>
    <mergeCell ref="D6:F6"/>
    <mergeCell ref="A31:H31"/>
    <mergeCell ref="P6:R6"/>
    <mergeCell ref="A35:E35"/>
    <mergeCell ref="A27:D27"/>
    <mergeCell ref="A39:R39"/>
    <mergeCell ref="J28:L28"/>
    <mergeCell ref="M29:N29"/>
    <mergeCell ref="H34:J34"/>
    <mergeCell ref="P4:R4"/>
    <mergeCell ref="G26:H26"/>
    <mergeCell ref="M26:N26"/>
    <mergeCell ref="J29:L29"/>
    <mergeCell ref="G29:H29"/>
    <mergeCell ref="J5:L5"/>
    <mergeCell ref="O26:R26"/>
    <mergeCell ref="G25:H25"/>
    <mergeCell ref="M5:O5"/>
    <mergeCell ref="A2:R2"/>
    <mergeCell ref="E29:F29"/>
    <mergeCell ref="A33:R33"/>
    <mergeCell ref="D4:F4"/>
    <mergeCell ref="A30:D30"/>
    <mergeCell ref="J31:R31"/>
    <mergeCell ref="E28:F28"/>
    <mergeCell ref="G4:I4"/>
    <mergeCell ref="G28:H28"/>
    <mergeCell ref="O28:R28"/>
    <mergeCell ref="A4:C4"/>
    <mergeCell ref="A8:R8"/>
    <mergeCell ref="E30:F30"/>
    <mergeCell ref="D5:F5"/>
    <mergeCell ref="G30:H30"/>
    <mergeCell ref="P5:R5"/>
    <mergeCell ref="J4:L4"/>
    <mergeCell ref="A37:R37"/>
    <mergeCell ref="J26:L26"/>
    <mergeCell ref="M6:O6"/>
    <mergeCell ref="A28:D28"/>
    <mergeCell ref="K35:R35"/>
    <mergeCell ref="A5:C5"/>
    <mergeCell ref="G5:I5"/>
    <mergeCell ref="M4:O4"/>
    <mergeCell ref="M28:N28"/>
    <mergeCell ref="E27:F27"/>
    <mergeCell ref="O29:R29"/>
    <mergeCell ref="A25:D25"/>
    <mergeCell ref="M27:N27"/>
    <mergeCell ref="H35:J35"/>
    <mergeCell ref="E26:F26"/>
    <mergeCell ref="O27:R27"/>
    <mergeCell ref="J6:L6"/>
    <mergeCell ref="A34:E34"/>
    <mergeCell ref="J24:R24"/>
    <mergeCell ref="K34:R34"/>
    <mergeCell ref="G6:I6"/>
    <mergeCell ref="A24:H24"/>
    <mergeCell ref="J27:L27"/>
    <mergeCell ref="G27:H27"/>
    <mergeCell ref="A29:D29"/>
    <mergeCell ref="E25:F25"/>
    <mergeCell ref="A6:C6"/>
    <mergeCell ref="A26:D26"/>
  </mergeCells>
  <pageMargins left="0.75" right="0.75" top="1" bottom="1" header="0.5" footer="0.5"/>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48"/>
  <sheetViews>
    <sheetView workbookViewId="0">
      <pane ySplit="2" topLeftCell="A3" activePane="bottomLeft" state="frozen"/>
      <selection pane="bottomLeft" sqref="A1:I1"/>
    </sheetView>
  </sheetViews>
  <sheetFormatPr baseColWidth="10" defaultColWidth="8.83203125" defaultRowHeight="15" x14ac:dyDescent="0.2"/>
  <cols>
    <col min="1" max="1" width="46" customWidth="1"/>
    <col min="2" max="4" width="15" customWidth="1"/>
    <col min="5" max="9" width="13" customWidth="1"/>
  </cols>
  <sheetData>
    <row r="1" spans="1:9" ht="30" customHeight="1" x14ac:dyDescent="0.2">
      <c r="A1" s="183" t="s">
        <v>1552</v>
      </c>
      <c r="B1" s="184"/>
      <c r="C1" s="184"/>
      <c r="D1" s="184"/>
      <c r="E1" s="184"/>
      <c r="F1" s="184"/>
      <c r="G1" s="184"/>
      <c r="H1" s="184"/>
      <c r="I1" s="184"/>
    </row>
    <row r="2" spans="1:9" ht="16" customHeight="1" x14ac:dyDescent="0.2">
      <c r="A2" s="170" t="s">
        <v>1553</v>
      </c>
      <c r="B2" s="171"/>
      <c r="C2" s="171"/>
      <c r="D2" s="171"/>
      <c r="E2" s="171"/>
      <c r="F2" s="171"/>
      <c r="G2" s="171"/>
      <c r="H2" s="171"/>
      <c r="I2" s="171"/>
    </row>
    <row r="4" spans="1:9" ht="42" customHeight="1" x14ac:dyDescent="0.2">
      <c r="A4" s="185" t="s">
        <v>1554</v>
      </c>
      <c r="B4" s="5"/>
      <c r="C4" s="5"/>
      <c r="D4" s="5"/>
      <c r="E4" s="5"/>
      <c r="F4" s="5"/>
      <c r="G4" s="5"/>
      <c r="H4" s="5"/>
      <c r="I4" s="5"/>
    </row>
    <row r="6" spans="1:9" ht="14" customHeight="1" x14ac:dyDescent="0.2">
      <c r="A6" s="2" t="s">
        <v>1555</v>
      </c>
      <c r="B6" s="3"/>
      <c r="C6" s="3"/>
      <c r="D6" s="3"/>
      <c r="E6" s="3"/>
      <c r="F6" s="3"/>
      <c r="G6" s="3"/>
      <c r="H6" s="3"/>
      <c r="I6" s="3"/>
    </row>
    <row r="7" spans="1:9" ht="28" customHeight="1" x14ac:dyDescent="0.2">
      <c r="A7" s="120"/>
      <c r="B7" s="120" t="s">
        <v>1548</v>
      </c>
      <c r="C7" s="120" t="s">
        <v>1549</v>
      </c>
      <c r="D7" s="120" t="s">
        <v>1556</v>
      </c>
      <c r="E7" s="120" t="s">
        <v>1557</v>
      </c>
    </row>
    <row r="8" spans="1:9" x14ac:dyDescent="0.2">
      <c r="A8" s="113" t="s">
        <v>189</v>
      </c>
      <c r="B8" s="121">
        <f>COUNTIF('DATOS LIMPIOS'!$AH$5:$AH$493,"No")</f>
        <v>353</v>
      </c>
      <c r="C8" s="121">
        <f>COUNTIF('DATOS LIMPIOS'!$AH$5:$AH$493,"Sí")</f>
        <v>136</v>
      </c>
      <c r="D8" s="122">
        <f>B8+C8</f>
        <v>489</v>
      </c>
      <c r="E8" s="123" t="s">
        <v>1558</v>
      </c>
    </row>
    <row r="9" spans="1:9" x14ac:dyDescent="0.2">
      <c r="A9" s="113" t="s">
        <v>644</v>
      </c>
      <c r="B9" s="124">
        <f>SUMPRODUCT(('DATOS LIMPIOS'!$AH$5:$AH$493="No")/COUNTIF('DATOS LIMPIOS'!$E$5:$E$493,'DATOS LIMPIOS'!$E$5:$E$493))</f>
        <v>42.999999999999993</v>
      </c>
      <c r="C9" s="124">
        <f>SUMPRODUCT(('DATOS LIMPIOS'!$AH$5:$AH$493="Sí")/COUNTIF('DATOS LIMPIOS'!$E$5:$E$493,'DATOS LIMPIOS'!$E$5:$E$493))</f>
        <v>23.000000000000053</v>
      </c>
      <c r="D9" s="125">
        <f>B9+C9</f>
        <v>66.000000000000043</v>
      </c>
      <c r="E9" s="123" t="s">
        <v>1559</v>
      </c>
    </row>
    <row r="10" spans="1:9" x14ac:dyDescent="0.2">
      <c r="A10" s="126" t="s">
        <v>1560</v>
      </c>
      <c r="B10" s="127">
        <f>AVERAGEIF('DATOS LIMPIOS'!$AH$5:$AH$493,"No",'DATOS LIMPIOS'!$M$5:$M$493)</f>
        <v>32.873288836884214</v>
      </c>
      <c r="C10" s="127">
        <f>AVERAGEIF('DATOS LIMPIOS'!$AH$5:$AH$493,"Sí",'DATOS LIMPIOS'!$M$5:$M$493)</f>
        <v>19.617522758584379</v>
      </c>
      <c r="D10" s="128">
        <f>B10-C10</f>
        <v>13.255766078299835</v>
      </c>
      <c r="E10" s="123" t="s">
        <v>1561</v>
      </c>
    </row>
    <row r="11" spans="1:9" x14ac:dyDescent="0.2">
      <c r="A11" s="126" t="s">
        <v>1562</v>
      </c>
      <c r="B11" s="127">
        <f>AVERAGEIF('DATOS LIMPIOS'!$AH$5:$AH$493,"No",'DATOS LIMPIOS'!$N$5:$N$493)</f>
        <v>10.31443700267617</v>
      </c>
      <c r="C11" s="127">
        <f>AVERAGEIF('DATOS LIMPIOS'!$AH$5:$AH$493,"Sí",'DATOS LIMPIOS'!$N$5:$N$493)</f>
        <v>8.4186314218021447</v>
      </c>
      <c r="D11" s="128">
        <f>B11-C11</f>
        <v>1.8958055808740255</v>
      </c>
      <c r="E11" s="123" t="s">
        <v>1561</v>
      </c>
    </row>
    <row r="13" spans="1:9" ht="14" customHeight="1" x14ac:dyDescent="0.2">
      <c r="A13" s="2" t="s">
        <v>1563</v>
      </c>
      <c r="B13" s="3"/>
      <c r="C13" s="3"/>
      <c r="D13" s="3"/>
      <c r="E13" s="3"/>
      <c r="F13" s="3"/>
      <c r="G13" s="3"/>
      <c r="H13" s="3"/>
      <c r="I13" s="3"/>
    </row>
    <row r="14" spans="1:9" x14ac:dyDescent="0.2">
      <c r="A14" s="120" t="s">
        <v>1564</v>
      </c>
      <c r="B14" s="120" t="s">
        <v>87</v>
      </c>
      <c r="C14" s="120" t="s">
        <v>60</v>
      </c>
      <c r="D14" s="188"/>
      <c r="E14" s="171"/>
      <c r="F14" s="171"/>
      <c r="G14" s="171"/>
      <c r="H14" s="171"/>
      <c r="I14" s="171"/>
    </row>
    <row r="15" spans="1:9" x14ac:dyDescent="0.2">
      <c r="A15" s="113" t="s">
        <v>1565</v>
      </c>
      <c r="B15" s="129">
        <f>SUMPRODUCT(('DATOS LIMPIOS'!$AH$5:$AH$493="No")*('DATOS LIMPIOS'!$M$5:$M$493-$B$10)^2)/(COUNTIF('DATOS LIMPIOS'!$AH$5:$AH$493,"No")-1)</f>
        <v>128.23122242496513</v>
      </c>
      <c r="C15" s="129">
        <f>SUMPRODUCT(('DATOS LIMPIOS'!$AH$5:$AH$493="No")*('DATOS LIMPIOS'!$N$5:$N$493-$B$11)^2)/(COUNTIF('DATOS LIMPIOS'!$AH$5:$AH$493,"No")-1)</f>
        <v>29.38999577158285</v>
      </c>
      <c r="D15" s="186" t="s">
        <v>1566</v>
      </c>
      <c r="E15" s="7"/>
      <c r="F15" s="7"/>
      <c r="G15" s="7"/>
      <c r="H15" s="7"/>
      <c r="I15" s="7"/>
    </row>
    <row r="16" spans="1:9" x14ac:dyDescent="0.2">
      <c r="A16" s="113" t="s">
        <v>1567</v>
      </c>
      <c r="B16" s="129">
        <f>SUMPRODUCT(('DATOS LIMPIOS'!$AH$5:$AH$493="Sí")*('DATOS LIMPIOS'!$M$5:$M$493-$C$10)^2)/(COUNTIF('DATOS LIMPIOS'!$AH$5:$AH$493,"Sí")-1)</f>
        <v>88.540648973942723</v>
      </c>
      <c r="C16" s="129">
        <f>SUMPRODUCT(('DATOS LIMPIOS'!$AH$5:$AH$493="Sí")*('DATOS LIMPIOS'!$N$5:$N$493-$C$11)^2)/(COUNTIF('DATOS LIMPIOS'!$AH$5:$AH$493,"Sí")-1)</f>
        <v>26.158632218285074</v>
      </c>
      <c r="D16" s="186"/>
      <c r="E16" s="7"/>
      <c r="F16" s="7"/>
      <c r="G16" s="7"/>
      <c r="H16" s="7"/>
      <c r="I16" s="7"/>
    </row>
    <row r="17" spans="1:9" x14ac:dyDescent="0.2">
      <c r="A17" s="113" t="s">
        <v>1568</v>
      </c>
      <c r="B17" s="131">
        <f>SQRT(B15/$B$8+B16/$C$8)</f>
        <v>1.0071223545133157</v>
      </c>
      <c r="C17" s="131">
        <f>SQRT(C15/$B$8+C16/$C$8)</f>
        <v>0.52497682077186192</v>
      </c>
      <c r="D17" s="186" t="s">
        <v>1569</v>
      </c>
      <c r="E17" s="7"/>
      <c r="F17" s="7"/>
      <c r="G17" s="7"/>
      <c r="H17" s="7"/>
      <c r="I17" s="7"/>
    </row>
    <row r="18" spans="1:9" x14ac:dyDescent="0.2">
      <c r="A18" s="126" t="s">
        <v>1570</v>
      </c>
      <c r="B18" s="132">
        <f>$D$10/B17</f>
        <v>13.162021495099854</v>
      </c>
      <c r="C18" s="132">
        <f>$D$11/C17</f>
        <v>3.6112176878336535</v>
      </c>
      <c r="D18" s="186" t="s">
        <v>1571</v>
      </c>
      <c r="E18" s="7"/>
      <c r="F18" s="7"/>
      <c r="G18" s="7"/>
      <c r="H18" s="7"/>
      <c r="I18" s="7"/>
    </row>
    <row r="19" spans="1:9" x14ac:dyDescent="0.2">
      <c r="A19" s="126" t="s">
        <v>1572</v>
      </c>
      <c r="B19" s="133">
        <f>(B15/$B$8+B16/$C$8)^2/((B15/$B$8)^2/($B$8-1)+(B16/$C$8)^2/($C$8-1))</f>
        <v>292.73049960580704</v>
      </c>
      <c r="C19" s="133">
        <f>(C15/$B$8+C16/$C$8)^2/((C15/$B$8)^2/($B$8-1)+(C16/$C$8)^2/($C$8-1))</f>
        <v>258.58533147402147</v>
      </c>
      <c r="D19" s="186"/>
      <c r="E19" s="7"/>
      <c r="F19" s="7"/>
      <c r="G19" s="7"/>
      <c r="H19" s="7"/>
      <c r="I19" s="7"/>
    </row>
    <row r="20" spans="1:9" x14ac:dyDescent="0.2">
      <c r="A20" s="126" t="s">
        <v>1573</v>
      </c>
      <c r="B20" s="134">
        <f>TDIST(ABS(B18),B19,2)</f>
        <v>2.2189443937138338E-31</v>
      </c>
      <c r="C20" s="134">
        <f>TDIST(ABS(C18),C19,2)</f>
        <v>3.6614835205079624E-4</v>
      </c>
      <c r="D20" s="186" t="s">
        <v>1574</v>
      </c>
      <c r="E20" s="7"/>
      <c r="F20" s="7"/>
      <c r="G20" s="7"/>
      <c r="H20" s="7"/>
      <c r="I20" s="7"/>
    </row>
    <row r="22" spans="1:9" ht="28" customHeight="1" x14ac:dyDescent="0.2">
      <c r="A22" s="185" t="s">
        <v>1575</v>
      </c>
      <c r="B22" s="5"/>
      <c r="C22" s="5"/>
      <c r="D22" s="5"/>
      <c r="E22" s="5"/>
      <c r="F22" s="5"/>
      <c r="G22" s="5"/>
      <c r="H22" s="5"/>
      <c r="I22" s="5"/>
    </row>
    <row r="24" spans="1:9" ht="14" customHeight="1" x14ac:dyDescent="0.2">
      <c r="A24" s="2" t="s">
        <v>1576</v>
      </c>
      <c r="B24" s="3"/>
      <c r="C24" s="3"/>
      <c r="D24" s="3"/>
      <c r="E24" s="3"/>
      <c r="F24" s="3"/>
      <c r="G24" s="3"/>
      <c r="H24" s="3"/>
      <c r="I24" s="3"/>
    </row>
    <row r="25" spans="1:9" ht="28" customHeight="1" x14ac:dyDescent="0.2">
      <c r="A25" s="120" t="s">
        <v>188</v>
      </c>
      <c r="B25" s="120" t="s">
        <v>1548</v>
      </c>
      <c r="C25" s="120" t="s">
        <v>1549</v>
      </c>
      <c r="D25" s="120" t="s">
        <v>1577</v>
      </c>
      <c r="E25" s="120" t="s">
        <v>1578</v>
      </c>
    </row>
    <row r="26" spans="1:9" x14ac:dyDescent="0.2">
      <c r="A26" s="113" t="s">
        <v>193</v>
      </c>
      <c r="B26" s="127">
        <f>AVERAGEIFS('DATOS LIMPIOS'!$M$5:$M$493,'DATOS LIMPIOS'!$T$5:$T$493,"Agosto",'DATOS LIMPIOS'!$AH$5:$AH$493,"No")</f>
        <v>32.555381701825404</v>
      </c>
      <c r="C26" s="127">
        <f>AVERAGEIFS('DATOS LIMPIOS'!$M$5:$M$493,'DATOS LIMPIOS'!$T$5:$T$493,"Agosto",'DATOS LIMPIOS'!$AH$5:$AH$493,"Sí")</f>
        <v>22.687529323820609</v>
      </c>
      <c r="D26" s="128">
        <f>B26-C26</f>
        <v>9.8678523780047946</v>
      </c>
      <c r="E26" s="124">
        <f>COUNTIF('DATOS LIMPIOS'!$T$5:$T$493,"Agosto")</f>
        <v>159</v>
      </c>
    </row>
    <row r="27" spans="1:9" x14ac:dyDescent="0.2">
      <c r="A27" s="113" t="s">
        <v>194</v>
      </c>
      <c r="B27" s="127">
        <f>AVERAGEIFS('DATOS LIMPIOS'!$M$5:$M$493,'DATOS LIMPIOS'!$T$5:$T$493,"Septiembre",'DATOS LIMPIOS'!$AH$5:$AH$493,"No")</f>
        <v>32.878149610269382</v>
      </c>
      <c r="C27" s="127">
        <f>AVERAGEIFS('DATOS LIMPIOS'!$M$5:$M$493,'DATOS LIMPIOS'!$T$5:$T$493,"Septiembre",'DATOS LIMPIOS'!$AH$5:$AH$493,"Sí")</f>
        <v>16.127339318316405</v>
      </c>
      <c r="D27" s="128">
        <f>B27-C27</f>
        <v>16.750810291952977</v>
      </c>
      <c r="E27" s="124">
        <f>COUNTIF('DATOS LIMPIOS'!$T$5:$T$493,"Septiembre")</f>
        <v>167</v>
      </c>
    </row>
    <row r="28" spans="1:9" x14ac:dyDescent="0.2">
      <c r="A28" s="113" t="s">
        <v>195</v>
      </c>
      <c r="B28" s="127">
        <f>AVERAGEIFS('DATOS LIMPIOS'!$M$5:$M$493,'DATOS LIMPIOS'!$T$5:$T$493,"Octubre",'DATOS LIMPIOS'!$AH$5:$AH$493,"No")</f>
        <v>33.164493821488726</v>
      </c>
      <c r="C28" s="127">
        <f>AVERAGEIFS('DATOS LIMPIOS'!$M$5:$M$493,'DATOS LIMPIOS'!$T$5:$T$493,"Octubre",'DATOS LIMPIOS'!$AH$5:$AH$493,"Sí")</f>
        <v>19.532131265132833</v>
      </c>
      <c r="D28" s="128">
        <f>B28-C28</f>
        <v>13.632362556355893</v>
      </c>
      <c r="E28" s="124">
        <f>COUNTIF('DATOS LIMPIOS'!$T$5:$T$493,"Octubre")</f>
        <v>163</v>
      </c>
    </row>
    <row r="30" spans="1:9" ht="22" customHeight="1" x14ac:dyDescent="0.2">
      <c r="A30" s="185" t="s">
        <v>1579</v>
      </c>
      <c r="B30" s="5"/>
      <c r="C30" s="5"/>
      <c r="D30" s="5"/>
      <c r="E30" s="5"/>
      <c r="F30" s="5"/>
      <c r="G30" s="5"/>
      <c r="H30" s="5"/>
      <c r="I30" s="5"/>
    </row>
    <row r="32" spans="1:9" ht="14" customHeight="1" x14ac:dyDescent="0.2">
      <c r="A32" s="2" t="s">
        <v>1580</v>
      </c>
      <c r="B32" s="3"/>
      <c r="C32" s="3"/>
      <c r="D32" s="3"/>
      <c r="E32" s="3"/>
      <c r="F32" s="3"/>
      <c r="G32" s="3"/>
      <c r="H32" s="3"/>
      <c r="I32" s="3"/>
    </row>
    <row r="33" spans="1:9" ht="28" customHeight="1" x14ac:dyDescent="0.2">
      <c r="A33" s="120" t="s">
        <v>1581</v>
      </c>
      <c r="B33" s="120" t="s">
        <v>87</v>
      </c>
      <c r="C33" s="120" t="s">
        <v>60</v>
      </c>
      <c r="D33" s="188" t="s">
        <v>1582</v>
      </c>
      <c r="E33" s="171"/>
      <c r="F33" s="171"/>
      <c r="G33" s="171"/>
      <c r="H33" s="171"/>
      <c r="I33" s="171"/>
    </row>
    <row r="34" spans="1:9" ht="26" customHeight="1" x14ac:dyDescent="0.2">
      <c r="A34" s="135" t="s">
        <v>1583</v>
      </c>
      <c r="B34" s="136" t="s">
        <v>1584</v>
      </c>
      <c r="C34" s="136" t="s">
        <v>1585</v>
      </c>
      <c r="D34" s="187" t="s">
        <v>30</v>
      </c>
      <c r="E34" s="7"/>
      <c r="F34" s="7"/>
      <c r="G34" s="7"/>
      <c r="H34" s="7"/>
      <c r="I34" s="7"/>
    </row>
    <row r="35" spans="1:9" ht="26" customHeight="1" x14ac:dyDescent="0.2">
      <c r="A35" s="137" t="s">
        <v>1586</v>
      </c>
      <c r="B35" s="138" t="s">
        <v>1587</v>
      </c>
      <c r="C35" s="138" t="s">
        <v>1588</v>
      </c>
      <c r="D35" s="187" t="s">
        <v>1589</v>
      </c>
      <c r="E35" s="7"/>
      <c r="F35" s="7"/>
      <c r="G35" s="7"/>
      <c r="H35" s="7"/>
      <c r="I35" s="7"/>
    </row>
    <row r="36" spans="1:9" ht="26" customHeight="1" x14ac:dyDescent="0.2">
      <c r="A36" s="137" t="s">
        <v>1590</v>
      </c>
      <c r="B36" s="138" t="s">
        <v>1591</v>
      </c>
      <c r="C36" s="138" t="s">
        <v>1591</v>
      </c>
      <c r="D36" s="187" t="s">
        <v>1592</v>
      </c>
      <c r="E36" s="7"/>
      <c r="F36" s="7"/>
      <c r="G36" s="7"/>
      <c r="H36" s="7"/>
      <c r="I36" s="7"/>
    </row>
    <row r="37" spans="1:9" ht="26" customHeight="1" x14ac:dyDescent="0.2">
      <c r="A37" s="137" t="s">
        <v>1593</v>
      </c>
      <c r="B37" s="138" t="s">
        <v>1594</v>
      </c>
      <c r="C37" s="138" t="s">
        <v>1595</v>
      </c>
      <c r="D37" s="187" t="s">
        <v>1596</v>
      </c>
      <c r="E37" s="7"/>
      <c r="F37" s="7"/>
      <c r="G37" s="7"/>
      <c r="H37" s="7"/>
      <c r="I37" s="7"/>
    </row>
    <row r="38" spans="1:9" ht="26" customHeight="1" x14ac:dyDescent="0.2">
      <c r="A38" s="137" t="s">
        <v>1597</v>
      </c>
      <c r="B38" s="138" t="s">
        <v>1598</v>
      </c>
      <c r="C38" s="138" t="s">
        <v>1599</v>
      </c>
      <c r="D38" s="187" t="s">
        <v>1600</v>
      </c>
      <c r="E38" s="7"/>
      <c r="F38" s="7"/>
      <c r="G38" s="7"/>
      <c r="H38" s="7"/>
      <c r="I38" s="7"/>
    </row>
    <row r="39" spans="1:9" ht="26" customHeight="1" x14ac:dyDescent="0.2">
      <c r="A39" s="137" t="s">
        <v>1601</v>
      </c>
      <c r="B39" s="138" t="s">
        <v>1602</v>
      </c>
      <c r="C39" s="138" t="s">
        <v>30</v>
      </c>
      <c r="D39" s="187" t="s">
        <v>1603</v>
      </c>
      <c r="E39" s="7"/>
      <c r="F39" s="7"/>
      <c r="G39" s="7"/>
      <c r="H39" s="7"/>
      <c r="I39" s="7"/>
    </row>
    <row r="41" spans="1:9" ht="22" customHeight="1" x14ac:dyDescent="0.2">
      <c r="A41" s="6" t="s">
        <v>1604</v>
      </c>
      <c r="B41" s="5"/>
      <c r="C41" s="5"/>
      <c r="D41" s="5"/>
      <c r="E41" s="5"/>
      <c r="F41" s="5"/>
      <c r="G41" s="5"/>
      <c r="H41" s="5"/>
      <c r="I41" s="5"/>
    </row>
    <row r="43" spans="1:9" ht="14" customHeight="1" x14ac:dyDescent="0.2">
      <c r="A43" s="2" t="s">
        <v>1605</v>
      </c>
      <c r="B43" s="3"/>
      <c r="C43" s="3"/>
      <c r="D43" s="3"/>
      <c r="E43" s="3"/>
      <c r="F43" s="3"/>
      <c r="G43" s="3"/>
      <c r="H43" s="3"/>
      <c r="I43" s="3"/>
    </row>
    <row r="44" spans="1:9" ht="58" customHeight="1" x14ac:dyDescent="0.2">
      <c r="A44" s="189" t="s">
        <v>1606</v>
      </c>
      <c r="B44" s="166"/>
      <c r="C44" s="166"/>
      <c r="D44" s="166"/>
      <c r="E44" s="166"/>
      <c r="F44" s="166"/>
      <c r="G44" s="166"/>
      <c r="H44" s="166"/>
      <c r="I44" s="166"/>
    </row>
    <row r="46" spans="1:9" ht="22" customHeight="1" x14ac:dyDescent="0.2">
      <c r="A46" s="185" t="s">
        <v>1607</v>
      </c>
      <c r="B46" s="5"/>
      <c r="C46" s="5"/>
      <c r="D46" s="5"/>
      <c r="E46" s="5"/>
      <c r="F46" s="5"/>
      <c r="G46" s="5"/>
      <c r="H46" s="5"/>
      <c r="I46" s="5"/>
    </row>
    <row r="48" spans="1:9" ht="36" customHeight="1" x14ac:dyDescent="0.2">
      <c r="A48" s="189" t="s">
        <v>1608</v>
      </c>
      <c r="B48" s="166"/>
      <c r="C48" s="166"/>
      <c r="D48" s="166"/>
      <c r="E48" s="166"/>
      <c r="F48" s="166"/>
      <c r="G48" s="166"/>
      <c r="H48" s="166"/>
      <c r="I48" s="166"/>
    </row>
  </sheetData>
  <mergeCells count="28">
    <mergeCell ref="A1:I1"/>
    <mergeCell ref="D36:I36"/>
    <mergeCell ref="A6:I6"/>
    <mergeCell ref="A13:I13"/>
    <mergeCell ref="A44:I44"/>
    <mergeCell ref="D35:I35"/>
    <mergeCell ref="D20:I20"/>
    <mergeCell ref="A48:I48"/>
    <mergeCell ref="A30:I30"/>
    <mergeCell ref="A24:I24"/>
    <mergeCell ref="D19:I19"/>
    <mergeCell ref="D34:I34"/>
    <mergeCell ref="A41:I41"/>
    <mergeCell ref="A46:I46"/>
    <mergeCell ref="D17:I17"/>
    <mergeCell ref="D16:I16"/>
    <mergeCell ref="A2:I2"/>
    <mergeCell ref="A32:I32"/>
    <mergeCell ref="D37:I37"/>
    <mergeCell ref="D18:I18"/>
    <mergeCell ref="A22:I22"/>
    <mergeCell ref="A4:I4"/>
    <mergeCell ref="D39:I39"/>
    <mergeCell ref="D15:I15"/>
    <mergeCell ref="D33:I33"/>
    <mergeCell ref="A43:I43"/>
    <mergeCell ref="D38:I38"/>
    <mergeCell ref="D14:I14"/>
  </mergeCells>
  <pageMargins left="0.75" right="0.75" top="1" bottom="1" header="0.5" footer="0.5"/>
  <pageSetup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L58"/>
  <sheetViews>
    <sheetView showGridLines="0" topLeftCell="A23" zoomScaleNormal="100" workbookViewId="0">
      <selection activeCell="A3" sqref="A3"/>
    </sheetView>
  </sheetViews>
  <sheetFormatPr baseColWidth="10" defaultColWidth="8.6640625" defaultRowHeight="15" x14ac:dyDescent="0.2"/>
  <cols>
    <col min="1" max="12" width="13" customWidth="1"/>
  </cols>
  <sheetData>
    <row r="1" spans="1:12" ht="33.75" customHeight="1" x14ac:dyDescent="0.2">
      <c r="A1" s="14" t="s">
        <v>55</v>
      </c>
      <c r="B1" s="14"/>
      <c r="C1" s="14"/>
      <c r="D1" s="14"/>
      <c r="E1" s="14"/>
      <c r="F1" s="14"/>
      <c r="G1" s="14"/>
      <c r="H1" s="14"/>
      <c r="I1" s="14"/>
      <c r="J1" s="14"/>
      <c r="K1" s="14"/>
      <c r="L1" s="14"/>
    </row>
    <row r="2" spans="1:12" ht="25.5" customHeight="1" x14ac:dyDescent="0.2">
      <c r="A2" s="13" t="s">
        <v>56</v>
      </c>
      <c r="B2" s="13"/>
      <c r="C2" s="13"/>
      <c r="D2" s="13"/>
      <c r="E2" s="13"/>
      <c r="F2" s="13"/>
      <c r="G2" s="13"/>
      <c r="H2" s="13"/>
      <c r="I2" s="13"/>
      <c r="J2" s="13"/>
      <c r="K2" s="13"/>
      <c r="L2" s="13"/>
    </row>
    <row r="4" spans="1:12" x14ac:dyDescent="0.2">
      <c r="A4" s="190" t="s">
        <v>57</v>
      </c>
      <c r="B4" s="190"/>
      <c r="C4" s="190" t="s">
        <v>58</v>
      </c>
      <c r="D4" s="190"/>
      <c r="E4" s="190" t="s">
        <v>59</v>
      </c>
      <c r="F4" s="190"/>
      <c r="G4" s="190" t="s">
        <v>60</v>
      </c>
      <c r="H4" s="190"/>
      <c r="I4" s="190" t="s">
        <v>61</v>
      </c>
      <c r="J4" s="190"/>
      <c r="K4" s="190" t="s">
        <v>62</v>
      </c>
      <c r="L4" s="190"/>
    </row>
    <row r="5" spans="1:12" ht="33.75" customHeight="1" x14ac:dyDescent="0.2">
      <c r="A5" s="191">
        <v>489</v>
      </c>
      <c r="B5" s="191"/>
      <c r="C5" s="191">
        <v>120096662</v>
      </c>
      <c r="D5" s="191"/>
      <c r="E5" s="192">
        <v>28.944019276738899</v>
      </c>
      <c r="F5" s="192"/>
      <c r="G5" s="192">
        <v>9.7276675350060895</v>
      </c>
      <c r="H5" s="192"/>
      <c r="I5" s="192">
        <v>33.608558099682497</v>
      </c>
      <c r="J5" s="192"/>
      <c r="K5" s="193">
        <v>3.8810090517973999</v>
      </c>
      <c r="L5" s="193"/>
    </row>
    <row r="6" spans="1:12" ht="15" customHeight="1" x14ac:dyDescent="0.2">
      <c r="A6" s="194" t="s">
        <v>63</v>
      </c>
      <c r="B6" s="194"/>
      <c r="C6" s="194" t="s">
        <v>64</v>
      </c>
      <c r="D6" s="194"/>
      <c r="E6" s="194" t="s">
        <v>65</v>
      </c>
      <c r="F6" s="194"/>
      <c r="G6" s="194" t="s">
        <v>66</v>
      </c>
      <c r="H6" s="194"/>
      <c r="I6" s="194" t="s">
        <v>67</v>
      </c>
      <c r="J6" s="194"/>
      <c r="K6" s="194" t="s">
        <v>68</v>
      </c>
      <c r="L6" s="194"/>
    </row>
    <row r="54" spans="1:12" ht="15.75" customHeight="1" x14ac:dyDescent="0.2">
      <c r="A54" s="26" t="s">
        <v>69</v>
      </c>
    </row>
    <row r="55" spans="1:12" ht="30" customHeight="1" x14ac:dyDescent="0.2">
      <c r="A55" s="27" t="s">
        <v>70</v>
      </c>
      <c r="C55" s="195" t="s">
        <v>71</v>
      </c>
      <c r="D55" s="195"/>
      <c r="E55" s="195"/>
      <c r="F55" s="195"/>
      <c r="G55" s="195"/>
      <c r="H55" s="195"/>
      <c r="I55" s="195"/>
      <c r="J55" s="195"/>
      <c r="K55" s="195"/>
      <c r="L55" s="195"/>
    </row>
    <row r="56" spans="1:12" ht="30" customHeight="1" x14ac:dyDescent="0.2">
      <c r="A56" s="27" t="s">
        <v>72</v>
      </c>
      <c r="C56" s="195" t="s">
        <v>73</v>
      </c>
      <c r="D56" s="195"/>
      <c r="E56" s="195"/>
      <c r="F56" s="195"/>
      <c r="G56" s="195"/>
      <c r="H56" s="195"/>
      <c r="I56" s="195"/>
      <c r="J56" s="195"/>
      <c r="K56" s="195"/>
      <c r="L56" s="195"/>
    </row>
    <row r="57" spans="1:12" ht="30" customHeight="1" x14ac:dyDescent="0.2">
      <c r="A57" s="27" t="s">
        <v>74</v>
      </c>
      <c r="C57" s="195" t="s">
        <v>75</v>
      </c>
      <c r="D57" s="195"/>
      <c r="E57" s="195"/>
      <c r="F57" s="195"/>
      <c r="G57" s="195"/>
      <c r="H57" s="195"/>
      <c r="I57" s="195"/>
      <c r="J57" s="195"/>
      <c r="K57" s="195"/>
      <c r="L57" s="195"/>
    </row>
    <row r="58" spans="1:12" ht="30" customHeight="1" x14ac:dyDescent="0.2">
      <c r="A58" s="27" t="s">
        <v>76</v>
      </c>
      <c r="C58" s="195" t="s">
        <v>77</v>
      </c>
      <c r="D58" s="195"/>
      <c r="E58" s="195"/>
      <c r="F58" s="195"/>
      <c r="G58" s="195"/>
      <c r="H58" s="195"/>
      <c r="I58" s="195"/>
      <c r="J58" s="195"/>
      <c r="K58" s="195"/>
      <c r="L58" s="195"/>
    </row>
  </sheetData>
  <mergeCells count="24">
    <mergeCell ref="C55:L55"/>
    <mergeCell ref="C56:L56"/>
    <mergeCell ref="C57:L57"/>
    <mergeCell ref="C58:L58"/>
    <mergeCell ref="K5:L5"/>
    <mergeCell ref="A6:B6"/>
    <mergeCell ref="C6:D6"/>
    <mergeCell ref="E6:F6"/>
    <mergeCell ref="G6:H6"/>
    <mergeCell ref="I6:J6"/>
    <mergeCell ref="K6:L6"/>
    <mergeCell ref="A5:B5"/>
    <mergeCell ref="C5:D5"/>
    <mergeCell ref="E5:F5"/>
    <mergeCell ref="G5:H5"/>
    <mergeCell ref="I5:J5"/>
    <mergeCell ref="A1:L1"/>
    <mergeCell ref="A2:L2"/>
    <mergeCell ref="A4:B4"/>
    <mergeCell ref="C4:D4"/>
    <mergeCell ref="E4:F4"/>
    <mergeCell ref="G4:H4"/>
    <mergeCell ref="I4:J4"/>
    <mergeCell ref="K4:L4"/>
  </mergeCells>
  <printOptions horizontalCentered="1"/>
  <pageMargins left="0.75" right="0.75" top="1" bottom="1" header="0.511811023622047" footer="0.511811023622047"/>
  <pageSetup fitToHeight="0" orientation="landscape" horizontalDpi="300" verticalDpi="3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G37"/>
  <sheetViews>
    <sheetView showGridLines="0" topLeftCell="A16" zoomScaleNormal="100" workbookViewId="0">
      <selection activeCell="F29" sqref="F29"/>
    </sheetView>
  </sheetViews>
  <sheetFormatPr baseColWidth="10" defaultColWidth="8.6640625" defaultRowHeight="15" x14ac:dyDescent="0.2"/>
  <cols>
    <col min="1" max="1" width="7" customWidth="1"/>
    <col min="2" max="2" width="62" customWidth="1"/>
    <col min="3" max="3" width="14" customWidth="1"/>
    <col min="4" max="4" width="12" customWidth="1"/>
    <col min="5" max="5" width="16" customWidth="1"/>
    <col min="6" max="6" width="20" customWidth="1"/>
    <col min="7" max="7" width="12" customWidth="1"/>
  </cols>
  <sheetData>
    <row r="1" spans="1:7" ht="33.75" customHeight="1" x14ac:dyDescent="0.2">
      <c r="A1" s="14" t="s">
        <v>78</v>
      </c>
      <c r="B1" s="14"/>
      <c r="C1" s="14"/>
      <c r="D1" s="14"/>
      <c r="E1" s="14"/>
      <c r="F1" s="14"/>
      <c r="G1" s="14"/>
    </row>
    <row r="2" spans="1:7" ht="25.5" customHeight="1" x14ac:dyDescent="0.2">
      <c r="A2" s="13" t="s">
        <v>79</v>
      </c>
      <c r="B2" s="13"/>
      <c r="C2" s="13"/>
      <c r="D2" s="13"/>
      <c r="E2" s="13"/>
      <c r="F2" s="13"/>
      <c r="G2" s="13"/>
    </row>
    <row r="4" spans="1:7" ht="30" customHeight="1" x14ac:dyDescent="0.2">
      <c r="A4" s="16" t="s">
        <v>80</v>
      </c>
      <c r="B4" s="16" t="s">
        <v>81</v>
      </c>
      <c r="C4" s="16" t="s">
        <v>7</v>
      </c>
      <c r="D4" s="16" t="s">
        <v>82</v>
      </c>
      <c r="E4" s="16" t="s">
        <v>83</v>
      </c>
      <c r="F4" s="16" t="s">
        <v>84</v>
      </c>
      <c r="G4" s="28"/>
    </row>
    <row r="5" spans="1:7" ht="27.75" customHeight="1" x14ac:dyDescent="0.2">
      <c r="A5" s="17" t="s">
        <v>85</v>
      </c>
      <c r="B5" s="18" t="s">
        <v>86</v>
      </c>
      <c r="C5" s="29" t="s">
        <v>87</v>
      </c>
      <c r="D5" s="30" t="s">
        <v>88</v>
      </c>
      <c r="E5" s="31" t="s">
        <v>89</v>
      </c>
      <c r="F5" s="32" t="str">
        <f>HYPERLINK("#'H1 CALENDARIO'!A5","H1 CALENDARIO")</f>
        <v>H1 CALENDARIO</v>
      </c>
      <c r="G5" s="28"/>
    </row>
    <row r="6" spans="1:7" ht="27.75" customHeight="1" x14ac:dyDescent="0.2">
      <c r="A6" s="17" t="s">
        <v>90</v>
      </c>
      <c r="B6" s="18" t="s">
        <v>91</v>
      </c>
      <c r="C6" s="29" t="s">
        <v>87</v>
      </c>
      <c r="D6" s="30" t="s">
        <v>92</v>
      </c>
      <c r="E6" s="31" t="s">
        <v>89</v>
      </c>
      <c r="F6" s="32" t="str">
        <f>HYPERLINK("#'H1 CALENDARIO'!A29","H1 CALENDARIO")</f>
        <v>H1 CALENDARIO</v>
      </c>
      <c r="G6" s="28"/>
    </row>
    <row r="7" spans="1:7" ht="27.75" customHeight="1" x14ac:dyDescent="0.2">
      <c r="A7" s="17" t="s">
        <v>93</v>
      </c>
      <c r="B7" s="18" t="s">
        <v>94</v>
      </c>
      <c r="C7" s="29" t="s">
        <v>87</v>
      </c>
      <c r="D7" s="30" t="s">
        <v>95</v>
      </c>
      <c r="E7" s="31" t="s">
        <v>89</v>
      </c>
      <c r="F7" s="32" t="str">
        <f>HYPERLINK("#'H1 CALENDARIO'!A53","H1 CALENDARIO")</f>
        <v>H1 CALENDARIO</v>
      </c>
      <c r="G7" s="28"/>
    </row>
    <row r="8" spans="1:7" ht="27.75" customHeight="1" x14ac:dyDescent="0.2">
      <c r="A8" s="17" t="s">
        <v>96</v>
      </c>
      <c r="B8" s="18" t="s">
        <v>97</v>
      </c>
      <c r="C8" s="29" t="s">
        <v>87</v>
      </c>
      <c r="D8" s="30" t="s">
        <v>98</v>
      </c>
      <c r="E8" s="31" t="s">
        <v>89</v>
      </c>
      <c r="F8" s="32" t="str">
        <f>HYPERLINK("#'H1 CALENDARIO'!A77","H1 CALENDARIO")</f>
        <v>H1 CALENDARIO</v>
      </c>
      <c r="G8" s="28"/>
    </row>
    <row r="9" spans="1:7" ht="27.75" customHeight="1" x14ac:dyDescent="0.2">
      <c r="A9" s="17" t="s">
        <v>99</v>
      </c>
      <c r="B9" s="18" t="s">
        <v>100</v>
      </c>
      <c r="C9" s="29" t="s">
        <v>87</v>
      </c>
      <c r="D9" s="30" t="s">
        <v>30</v>
      </c>
      <c r="E9" s="31" t="s">
        <v>89</v>
      </c>
      <c r="F9" s="32" t="str">
        <f>HYPERLINK("#'H1 CALENDARIO'!A101","H1 CALENDARIO")</f>
        <v>H1 CALENDARIO</v>
      </c>
      <c r="G9" s="28"/>
    </row>
    <row r="10" spans="1:7" ht="27.75" customHeight="1" x14ac:dyDescent="0.2">
      <c r="A10" s="17" t="s">
        <v>101</v>
      </c>
      <c r="B10" s="18" t="s">
        <v>102</v>
      </c>
      <c r="C10" s="18" t="s">
        <v>87</v>
      </c>
      <c r="D10" s="18" t="s">
        <v>103</v>
      </c>
      <c r="E10" s="31" t="s">
        <v>89</v>
      </c>
      <c r="F10" s="32" t="str">
        <f>HYPERLINK("#'H1 CALENDARIO'!A125","H1 CALENDARIO")</f>
        <v>H1 CALENDARIO</v>
      </c>
      <c r="G10" s="28"/>
    </row>
    <row r="11" spans="1:7" ht="27.75" customHeight="1" x14ac:dyDescent="0.2">
      <c r="A11" s="17" t="s">
        <v>104</v>
      </c>
      <c r="B11" s="18" t="s">
        <v>105</v>
      </c>
      <c r="C11" s="18" t="s">
        <v>87</v>
      </c>
      <c r="D11" s="18" t="s">
        <v>30</v>
      </c>
      <c r="E11" s="31" t="s">
        <v>89</v>
      </c>
      <c r="F11" s="32" t="str">
        <f>HYPERLINK("#'H1 CALENDARIO'!A149","H1 CALENDARIO")</f>
        <v>H1 CALENDARIO</v>
      </c>
      <c r="G11" s="28"/>
    </row>
    <row r="12" spans="1:7" ht="27.75" customHeight="1" x14ac:dyDescent="0.2">
      <c r="A12" s="17" t="s">
        <v>106</v>
      </c>
      <c r="B12" s="18" t="s">
        <v>107</v>
      </c>
      <c r="C12" s="18" t="s">
        <v>87</v>
      </c>
      <c r="D12" s="18" t="s">
        <v>108</v>
      </c>
      <c r="E12" s="31" t="s">
        <v>89</v>
      </c>
      <c r="F12" s="32" t="str">
        <f>HYPERLINK("#'H2 CAMPAÑA'!A5","H2 CAMPAÑA")</f>
        <v>H2 CAMPAÑA</v>
      </c>
      <c r="G12" s="28"/>
    </row>
    <row r="13" spans="1:7" ht="27.75" customHeight="1" x14ac:dyDescent="0.2">
      <c r="A13" s="17" t="s">
        <v>109</v>
      </c>
      <c r="B13" s="18" t="s">
        <v>110</v>
      </c>
      <c r="C13" s="18" t="s">
        <v>87</v>
      </c>
      <c r="D13" s="18" t="s">
        <v>111</v>
      </c>
      <c r="E13" s="31" t="s">
        <v>89</v>
      </c>
      <c r="F13" s="32" t="str">
        <f>HYPERLINK("#'H2 CAMPAÑA'!A29","H2 CAMPAÑA")</f>
        <v>H2 CAMPAÑA</v>
      </c>
      <c r="G13" s="28"/>
    </row>
    <row r="14" spans="1:7" ht="27.75" customHeight="1" x14ac:dyDescent="0.2">
      <c r="A14" s="17" t="s">
        <v>112</v>
      </c>
      <c r="B14" s="18" t="s">
        <v>113</v>
      </c>
      <c r="C14" s="18" t="s">
        <v>87</v>
      </c>
      <c r="D14" s="18" t="s">
        <v>114</v>
      </c>
      <c r="E14" s="31" t="s">
        <v>89</v>
      </c>
      <c r="F14" s="32" t="str">
        <f>HYPERLINK("#'H2 CAMPAÑA'!A53","H2 CAMPAÑA")</f>
        <v>H2 CAMPAÑA</v>
      </c>
      <c r="G14" s="28"/>
    </row>
    <row r="15" spans="1:7" ht="27.75" customHeight="1" x14ac:dyDescent="0.2">
      <c r="A15" s="17" t="s">
        <v>115</v>
      </c>
      <c r="B15" s="18" t="s">
        <v>116</v>
      </c>
      <c r="C15" s="18" t="s">
        <v>87</v>
      </c>
      <c r="D15" s="18" t="s">
        <v>117</v>
      </c>
      <c r="E15" s="31" t="s">
        <v>89</v>
      </c>
      <c r="F15" s="32" t="str">
        <f>HYPERLINK("#'H2 CAMPAÑA'!A77","H2 CAMPAÑA")</f>
        <v>H2 CAMPAÑA</v>
      </c>
      <c r="G15" s="28"/>
    </row>
    <row r="16" spans="1:7" ht="27.75" customHeight="1" x14ac:dyDescent="0.2">
      <c r="A16" s="17" t="s">
        <v>118</v>
      </c>
      <c r="B16" s="33" t="s">
        <v>119</v>
      </c>
      <c r="C16" s="34" t="s">
        <v>120</v>
      </c>
      <c r="D16" s="18" t="s">
        <v>121</v>
      </c>
      <c r="E16" s="31" t="s">
        <v>89</v>
      </c>
      <c r="F16" s="32" t="str">
        <f>HYPERLINK("#'H2 CAMPAÑA'!A101","H2 CAMPAÑA")</f>
        <v>H2 CAMPAÑA</v>
      </c>
      <c r="G16" s="28"/>
    </row>
    <row r="17" spans="1:7" ht="27.75" customHeight="1" x14ac:dyDescent="0.2">
      <c r="A17" s="17" t="s">
        <v>122</v>
      </c>
      <c r="B17" s="33" t="s">
        <v>123</v>
      </c>
      <c r="C17" s="34" t="s">
        <v>87</v>
      </c>
      <c r="D17" s="18" t="s">
        <v>124</v>
      </c>
      <c r="E17" s="35" t="s">
        <v>125</v>
      </c>
      <c r="F17" s="32" t="str">
        <f>HYPERLINK("#'H3 ASUNTO'!A5","H3 ASUNTO")</f>
        <v>H3 ASUNTO</v>
      </c>
      <c r="G17" s="28"/>
    </row>
    <row r="18" spans="1:7" ht="27.75" customHeight="1" x14ac:dyDescent="0.2">
      <c r="A18" s="17" t="s">
        <v>126</v>
      </c>
      <c r="B18" s="33" t="s">
        <v>127</v>
      </c>
      <c r="C18" s="34" t="s">
        <v>87</v>
      </c>
      <c r="D18" s="18" t="s">
        <v>30</v>
      </c>
      <c r="E18" s="35" t="s">
        <v>125</v>
      </c>
      <c r="F18" s="32" t="str">
        <f>HYPERLINK("#'H3 ASUNTO'!A29","H3 ASUNTO")</f>
        <v>H3 ASUNTO</v>
      </c>
      <c r="G18" s="28"/>
    </row>
    <row r="19" spans="1:7" ht="27.75" customHeight="1" x14ac:dyDescent="0.2">
      <c r="A19" s="17" t="s">
        <v>128</v>
      </c>
      <c r="B19" s="33" t="s">
        <v>129</v>
      </c>
      <c r="C19" s="34" t="s">
        <v>87</v>
      </c>
      <c r="D19" s="18" t="s">
        <v>124</v>
      </c>
      <c r="E19" s="35" t="s">
        <v>125</v>
      </c>
      <c r="F19" s="32" t="str">
        <f>HYPERLINK("#'H3 ASUNTO'!A53","H3 ASUNTO")</f>
        <v>H3 ASUNTO</v>
      </c>
      <c r="G19" s="28"/>
    </row>
    <row r="20" spans="1:7" ht="27.75" customHeight="1" x14ac:dyDescent="0.2">
      <c r="A20" s="17" t="s">
        <v>130</v>
      </c>
      <c r="B20" s="33" t="s">
        <v>131</v>
      </c>
      <c r="C20" s="34" t="s">
        <v>87</v>
      </c>
      <c r="D20" s="18" t="s">
        <v>124</v>
      </c>
      <c r="E20" s="35" t="s">
        <v>125</v>
      </c>
      <c r="F20" s="32" t="str">
        <f>HYPERLINK("#'H3 ASUNTO'!A77","H3 ASUNTO")</f>
        <v>H3 ASUNTO</v>
      </c>
      <c r="G20" s="28"/>
    </row>
    <row r="21" spans="1:7" ht="27.75" customHeight="1" x14ac:dyDescent="0.2">
      <c r="A21" s="17" t="s">
        <v>132</v>
      </c>
      <c r="B21" s="18" t="s">
        <v>133</v>
      </c>
      <c r="C21" s="18" t="s">
        <v>87</v>
      </c>
      <c r="D21" s="18" t="s">
        <v>124</v>
      </c>
      <c r="E21" s="35" t="s">
        <v>125</v>
      </c>
      <c r="F21" s="32" t="str">
        <f>HYPERLINK("#'H3 ASUNTO'!A101","H3 ASUNTO")</f>
        <v>H3 ASUNTO</v>
      </c>
      <c r="G21" s="28"/>
    </row>
    <row r="22" spans="1:7" ht="27.75" customHeight="1" x14ac:dyDescent="0.2">
      <c r="A22" s="17" t="s">
        <v>134</v>
      </c>
      <c r="B22" s="18" t="s">
        <v>135</v>
      </c>
      <c r="C22" s="18" t="s">
        <v>87</v>
      </c>
      <c r="D22" s="18" t="s">
        <v>30</v>
      </c>
      <c r="E22" s="35" t="s">
        <v>125</v>
      </c>
      <c r="F22" s="32" t="str">
        <f>HYPERLINK("#'H3 ASUNTO'!A125","H3 ASUNTO")</f>
        <v>H3 ASUNTO</v>
      </c>
    </row>
    <row r="23" spans="1:7" ht="27.75" customHeight="1" x14ac:dyDescent="0.2">
      <c r="A23" s="17" t="s">
        <v>136</v>
      </c>
      <c r="B23" s="18" t="s">
        <v>137</v>
      </c>
      <c r="C23" s="18" t="s">
        <v>60</v>
      </c>
      <c r="D23" s="18" t="s">
        <v>124</v>
      </c>
      <c r="E23" s="35" t="s">
        <v>125</v>
      </c>
      <c r="F23" s="32" t="str">
        <f>HYPERLINK("#'H3 ASUNTO'!A149","H3 ASUNTO")</f>
        <v>H3 ASUNTO</v>
      </c>
    </row>
    <row r="24" spans="1:7" ht="27.75" customHeight="1" x14ac:dyDescent="0.2">
      <c r="A24" s="17" t="s">
        <v>138</v>
      </c>
      <c r="B24" s="18" t="s">
        <v>139</v>
      </c>
      <c r="C24" s="18" t="s">
        <v>87</v>
      </c>
      <c r="D24" s="18" t="s">
        <v>140</v>
      </c>
      <c r="E24" s="31" t="s">
        <v>89</v>
      </c>
      <c r="F24" s="32" t="str">
        <f>HYPERLINK("#'H3 ASUNTO'!A173","H3 ASUNTO")</f>
        <v>H3 ASUNTO</v>
      </c>
    </row>
    <row r="25" spans="1:7" ht="27.75" customHeight="1" x14ac:dyDescent="0.2">
      <c r="A25" s="17" t="s">
        <v>141</v>
      </c>
      <c r="B25" s="18" t="s">
        <v>142</v>
      </c>
      <c r="C25" s="18" t="s">
        <v>87</v>
      </c>
      <c r="D25" s="18" t="s">
        <v>143</v>
      </c>
      <c r="E25" s="35" t="s">
        <v>125</v>
      </c>
      <c r="F25" s="32" t="str">
        <f>HYPERLINK("#'H4 TEMÁTICA HOT SALE'!A8","H4 TEMÁTICA HOT SALE")</f>
        <v>H4 TEMÁTICA HOT SALE</v>
      </c>
    </row>
    <row r="26" spans="1:7" ht="27.75" customHeight="1" x14ac:dyDescent="0.2">
      <c r="A26" s="17" t="s">
        <v>144</v>
      </c>
      <c r="B26" s="18" t="s">
        <v>145</v>
      </c>
      <c r="C26" s="18" t="s">
        <v>87</v>
      </c>
      <c r="D26" s="18" t="s">
        <v>124</v>
      </c>
      <c r="E26" s="35" t="s">
        <v>125</v>
      </c>
      <c r="F26" s="32" t="str">
        <f>HYPERLINK("#'H4 TEMÁTICA HOT SALE'!A32","H4 TEMÁTICA HOT SALE")</f>
        <v>H4 TEMÁTICA HOT SALE</v>
      </c>
    </row>
    <row r="27" spans="1:7" ht="27.75" customHeight="1" x14ac:dyDescent="0.2">
      <c r="A27" s="17" t="s">
        <v>146</v>
      </c>
      <c r="B27" s="18" t="s">
        <v>147</v>
      </c>
      <c r="C27" s="18" t="s">
        <v>87</v>
      </c>
      <c r="D27" s="18" t="s">
        <v>148</v>
      </c>
      <c r="E27" s="31" t="s">
        <v>89</v>
      </c>
      <c r="F27" s="32" t="str">
        <f>HYPERLINK("#'H4 TEMÁTICA HOT SALE'!A56","H4 TEMÁTICA HOT SALE")</f>
        <v>H4 TEMÁTICA HOT SALE</v>
      </c>
    </row>
    <row r="28" spans="1:7" ht="27.75" customHeight="1" x14ac:dyDescent="0.2">
      <c r="A28" s="17" t="s">
        <v>149</v>
      </c>
      <c r="B28" s="18" t="s">
        <v>150</v>
      </c>
      <c r="C28" s="18" t="s">
        <v>87</v>
      </c>
      <c r="D28" s="18" t="s">
        <v>151</v>
      </c>
      <c r="E28" s="31" t="s">
        <v>89</v>
      </c>
      <c r="F28" s="32" t="str">
        <f>HYPERLINK("#'H4 TEMÁTICA HOT SALE'!A80","H4 TEMÁTICA HOT SALE")</f>
        <v>H4 TEMÁTICA HOT SALE</v>
      </c>
    </row>
    <row r="29" spans="1:7" ht="27.75" customHeight="1" x14ac:dyDescent="0.2">
      <c r="A29" s="17" t="s">
        <v>152</v>
      </c>
      <c r="B29" s="18" t="s">
        <v>153</v>
      </c>
      <c r="C29" s="18" t="s">
        <v>87</v>
      </c>
      <c r="D29" s="18" t="s">
        <v>154</v>
      </c>
      <c r="E29" s="31" t="s">
        <v>89</v>
      </c>
      <c r="F29" s="32" t="str">
        <f>HYPERLINK("#'H4 TEMÁTICA HOT SALE'!A104","H4 TEMÁTICA HOT SALE")</f>
        <v>H4 TEMÁTICA HOT SALE</v>
      </c>
    </row>
    <row r="30" spans="1:7" ht="27.75" customHeight="1" x14ac:dyDescent="0.2">
      <c r="A30" s="17" t="s">
        <v>155</v>
      </c>
      <c r="B30" s="18" t="s">
        <v>156</v>
      </c>
      <c r="C30" s="18" t="s">
        <v>87</v>
      </c>
      <c r="D30" s="18" t="s">
        <v>157</v>
      </c>
      <c r="E30" s="35" t="s">
        <v>125</v>
      </c>
      <c r="F30" s="32" t="str">
        <f>HYPERLINK("#'H4 TEMÁTICA HOT SALE'!A128","H4 TEMÁTICA HOT SALE")</f>
        <v>H4 TEMÁTICA HOT SALE</v>
      </c>
    </row>
    <row r="31" spans="1:7" ht="27.75" customHeight="1" x14ac:dyDescent="0.2">
      <c r="A31" s="17" t="s">
        <v>158</v>
      </c>
      <c r="B31" s="18" t="s">
        <v>159</v>
      </c>
      <c r="C31" s="18" t="s">
        <v>87</v>
      </c>
      <c r="D31" s="18" t="s">
        <v>30</v>
      </c>
      <c r="E31" s="36" t="s">
        <v>160</v>
      </c>
      <c r="F31" s="32" t="str">
        <f>HYPERLINK("#'H4 TEMÁTICA HOT SALE'!A152","H4 TEMÁTICA HOT SALE")</f>
        <v>H4 TEMÁTICA HOT SALE</v>
      </c>
    </row>
    <row r="32" spans="1:7" ht="27.75" customHeight="1" x14ac:dyDescent="0.2">
      <c r="A32" s="17" t="s">
        <v>161</v>
      </c>
      <c r="B32" s="18" t="s">
        <v>162</v>
      </c>
      <c r="C32" s="18" t="s">
        <v>87</v>
      </c>
      <c r="D32" s="18" t="s">
        <v>124</v>
      </c>
      <c r="E32" s="35" t="s">
        <v>125</v>
      </c>
      <c r="F32" s="32" t="str">
        <f>HYPERLINK("#'H4 TEMÁTICA HOT SALE'!A176","H4 TEMÁTICA HOT SALE")</f>
        <v>H4 TEMÁTICA HOT SALE</v>
      </c>
    </row>
    <row r="33" spans="1:6" ht="27.75" customHeight="1" x14ac:dyDescent="0.2">
      <c r="A33" s="17" t="s">
        <v>163</v>
      </c>
      <c r="B33" s="18" t="s">
        <v>164</v>
      </c>
      <c r="C33" s="18" t="s">
        <v>87</v>
      </c>
      <c r="D33" s="18" t="s">
        <v>165</v>
      </c>
      <c r="E33" s="35" t="s">
        <v>125</v>
      </c>
      <c r="F33" s="32" t="str">
        <f>HYPERLINK("#'H4 TEMÁTICA HOT SALE'!A210","H4 TEMÁTICA HOT SALE")</f>
        <v>H4 TEMÁTICA HOT SALE</v>
      </c>
    </row>
    <row r="34" spans="1:6" ht="27.75" customHeight="1" x14ac:dyDescent="0.2">
      <c r="A34" s="17" t="s">
        <v>166</v>
      </c>
      <c r="B34" s="18" t="s">
        <v>167</v>
      </c>
      <c r="C34" s="18" t="s">
        <v>87</v>
      </c>
      <c r="D34" s="18" t="s">
        <v>30</v>
      </c>
      <c r="E34" s="36" t="s">
        <v>160</v>
      </c>
      <c r="F34" s="32" t="str">
        <f>HYPERLINK("#'H4 TEMÁTICA HOT SALE'!A234","H4 TEMÁTICA HOT SALE")</f>
        <v>H4 TEMÁTICA HOT SALE</v>
      </c>
    </row>
    <row r="36" spans="1:6" ht="15" customHeight="1" x14ac:dyDescent="0.2">
      <c r="A36" s="196" t="s">
        <v>168</v>
      </c>
      <c r="B36" s="196"/>
      <c r="C36" s="196"/>
      <c r="D36" s="196"/>
      <c r="E36" s="196"/>
      <c r="F36" s="196"/>
    </row>
    <row r="37" spans="1:6" x14ac:dyDescent="0.2">
      <c r="A37" s="196"/>
      <c r="B37" s="196"/>
      <c r="C37" s="196"/>
      <c r="D37" s="196"/>
      <c r="E37" s="196"/>
      <c r="F37" s="196"/>
    </row>
  </sheetData>
  <mergeCells count="3">
    <mergeCell ref="A1:G1"/>
    <mergeCell ref="A2:G2"/>
    <mergeCell ref="A36:F37"/>
  </mergeCells>
  <printOptions horizontalCentered="1"/>
  <pageMargins left="0.75" right="0.75" top="1" bottom="1" header="0.511811023622047" footer="0.511811023622047"/>
  <pageSetup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8C8C8C"/>
  </sheetPr>
  <dimension ref="A1:O27"/>
  <sheetViews>
    <sheetView showGridLines="0" zoomScaleNormal="100" workbookViewId="0"/>
  </sheetViews>
  <sheetFormatPr baseColWidth="10" defaultColWidth="8.6640625" defaultRowHeight="15" x14ac:dyDescent="0.2"/>
  <cols>
    <col min="1" max="1" width="30" customWidth="1"/>
    <col min="2" max="6" width="13" customWidth="1"/>
    <col min="7" max="7" width="3" customWidth="1"/>
    <col min="8" max="15" width="11" customWidth="1"/>
  </cols>
  <sheetData>
    <row r="1" spans="1:15" ht="30" customHeight="1" x14ac:dyDescent="0.3">
      <c r="A1" s="37" t="s">
        <v>169</v>
      </c>
      <c r="B1" s="38"/>
      <c r="C1" s="38"/>
      <c r="D1" s="38"/>
      <c r="E1" s="38"/>
      <c r="F1" s="38"/>
      <c r="G1" s="38"/>
      <c r="H1" s="38"/>
      <c r="I1" s="38"/>
      <c r="J1" s="38"/>
      <c r="K1" s="38"/>
      <c r="L1" s="38"/>
      <c r="M1" s="38"/>
      <c r="N1" s="38"/>
      <c r="O1" s="38"/>
    </row>
    <row r="2" spans="1:15" ht="27.75" customHeight="1" x14ac:dyDescent="0.2">
      <c r="A2" s="39" t="s">
        <v>170</v>
      </c>
      <c r="B2" s="40"/>
      <c r="C2" s="40"/>
      <c r="D2" s="40"/>
      <c r="E2" s="40"/>
      <c r="F2" s="40"/>
      <c r="G2" s="40"/>
      <c r="H2" s="40"/>
      <c r="I2" s="40"/>
      <c r="J2" s="40"/>
      <c r="K2" s="40"/>
      <c r="L2" s="40"/>
      <c r="M2" s="40"/>
      <c r="N2" s="40"/>
      <c r="O2" s="40"/>
    </row>
    <row r="4" spans="1:15" ht="17.25" customHeight="1" x14ac:dyDescent="0.2">
      <c r="A4" s="197" t="s">
        <v>171</v>
      </c>
      <c r="B4" s="197"/>
      <c r="C4" s="197"/>
      <c r="D4" s="197"/>
      <c r="E4" s="197"/>
      <c r="F4" s="197"/>
    </row>
    <row r="5" spans="1:15" ht="30" customHeight="1" x14ac:dyDescent="0.2">
      <c r="A5" s="16" t="s">
        <v>172</v>
      </c>
      <c r="B5" s="16" t="s">
        <v>172</v>
      </c>
      <c r="C5" s="16" t="s">
        <v>173</v>
      </c>
    </row>
    <row r="6" spans="1:15" x14ac:dyDescent="0.2">
      <c r="A6" s="41" t="s">
        <v>174</v>
      </c>
      <c r="B6" s="42">
        <f>COUNT('DATOS LIMPIOS'!$G$5:$G$493)</f>
        <v>489</v>
      </c>
      <c r="C6" s="43">
        <f>B6/B8*100</f>
        <v>84.895833333333343</v>
      </c>
    </row>
    <row r="7" spans="1:15" x14ac:dyDescent="0.2">
      <c r="A7" s="41" t="s">
        <v>175</v>
      </c>
      <c r="B7" s="42">
        <f>COUNTA('FILAS EXCLUIDAS'!$C$5:$C$200)</f>
        <v>87</v>
      </c>
      <c r="C7" s="43">
        <f>B7/B8*100</f>
        <v>15.104166666666666</v>
      </c>
    </row>
    <row r="8" spans="1:15" x14ac:dyDescent="0.2">
      <c r="A8" s="41" t="s">
        <v>176</v>
      </c>
      <c r="B8" s="42">
        <f>B6+B7</f>
        <v>576</v>
      </c>
      <c r="C8" s="43">
        <f>B8/B8*100</f>
        <v>100</v>
      </c>
    </row>
    <row r="18" spans="1:6" ht="17.25" customHeight="1" x14ac:dyDescent="0.2">
      <c r="A18" s="197" t="s">
        <v>177</v>
      </c>
      <c r="B18" s="197"/>
      <c r="C18" s="197"/>
      <c r="D18" s="197"/>
      <c r="E18" s="197"/>
      <c r="F18" s="197"/>
    </row>
    <row r="19" spans="1:6" ht="30" customHeight="1" x14ac:dyDescent="0.2">
      <c r="A19" s="16" t="s">
        <v>41</v>
      </c>
      <c r="B19" s="16" t="s">
        <v>172</v>
      </c>
      <c r="C19" s="16" t="s">
        <v>178</v>
      </c>
    </row>
    <row r="20" spans="1:6" ht="42" customHeight="1" x14ac:dyDescent="0.2">
      <c r="A20" s="41" t="s">
        <v>45</v>
      </c>
      <c r="B20" s="42">
        <f>COUNTIF('FILAS EXCLUIDAS'!$C$5:$C$200,A20)</f>
        <v>72</v>
      </c>
      <c r="C20" s="198" t="s">
        <v>179</v>
      </c>
      <c r="D20" s="198"/>
      <c r="E20" s="198"/>
      <c r="F20" s="198"/>
    </row>
    <row r="21" spans="1:6" ht="42" customHeight="1" x14ac:dyDescent="0.2">
      <c r="A21" s="41" t="s">
        <v>47</v>
      </c>
      <c r="B21" s="42">
        <f>COUNTIF('FILAS EXCLUIDAS'!$C$5:$C$200,A21)</f>
        <v>7</v>
      </c>
      <c r="C21" s="198" t="s">
        <v>180</v>
      </c>
      <c r="D21" s="198"/>
      <c r="E21" s="198"/>
      <c r="F21" s="198"/>
    </row>
    <row r="22" spans="1:6" ht="42" customHeight="1" x14ac:dyDescent="0.2">
      <c r="A22" s="41" t="s">
        <v>49</v>
      </c>
      <c r="B22" s="42">
        <f>COUNTIF('FILAS EXCLUIDAS'!$C$5:$C$200,A22)</f>
        <v>5</v>
      </c>
      <c r="C22" s="198" t="s">
        <v>50</v>
      </c>
      <c r="D22" s="198"/>
      <c r="E22" s="198"/>
      <c r="F22" s="198"/>
    </row>
    <row r="23" spans="1:6" ht="42" customHeight="1" x14ac:dyDescent="0.2">
      <c r="A23" s="41" t="s">
        <v>51</v>
      </c>
      <c r="B23" s="42">
        <f>COUNTIF('FILAS EXCLUIDAS'!$C$5:$C$200,A23)</f>
        <v>3</v>
      </c>
      <c r="C23" s="198" t="s">
        <v>181</v>
      </c>
      <c r="D23" s="198"/>
      <c r="E23" s="198"/>
      <c r="F23" s="198"/>
    </row>
    <row r="25" spans="1:6" ht="15" customHeight="1" x14ac:dyDescent="0.2">
      <c r="A25" s="196" t="s">
        <v>182</v>
      </c>
      <c r="B25" s="196"/>
      <c r="C25" s="196"/>
      <c r="D25" s="196"/>
      <c r="E25" s="196"/>
      <c r="F25" s="196"/>
    </row>
    <row r="26" spans="1:6" x14ac:dyDescent="0.2">
      <c r="A26" s="196"/>
      <c r="B26" s="196"/>
      <c r="C26" s="196"/>
      <c r="D26" s="196"/>
      <c r="E26" s="196"/>
      <c r="F26" s="196"/>
    </row>
    <row r="27" spans="1:6" x14ac:dyDescent="0.2">
      <c r="A27" s="196"/>
      <c r="B27" s="196"/>
      <c r="C27" s="196"/>
      <c r="D27" s="196"/>
      <c r="E27" s="196"/>
      <c r="F27" s="196"/>
    </row>
  </sheetData>
  <mergeCells count="7">
    <mergeCell ref="C23:F23"/>
    <mergeCell ref="A25:F27"/>
    <mergeCell ref="A4:F4"/>
    <mergeCell ref="A18:F18"/>
    <mergeCell ref="C20:F20"/>
    <mergeCell ref="C21:F21"/>
    <mergeCell ref="C22:F22"/>
  </mergeCells>
  <pageMargins left="0.75" right="0.75" top="1" bottom="1" header="0.511811023622047" footer="0.511811023622047"/>
  <pageSetup paperSize="9" orientation="portrait" horizontalDpi="300" verticalDpi="30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01C1A"/>
  </sheetPr>
  <dimension ref="A1:O172"/>
  <sheetViews>
    <sheetView showGridLines="0" zoomScaleNormal="100" workbookViewId="0">
      <selection activeCell="E9" sqref="E9"/>
    </sheetView>
  </sheetViews>
  <sheetFormatPr baseColWidth="10" defaultColWidth="8.6640625" defaultRowHeight="15" x14ac:dyDescent="0.2"/>
  <cols>
    <col min="1" max="1" width="30" customWidth="1"/>
    <col min="2" max="4" width="13" customWidth="1"/>
    <col min="5" max="5" width="15.6640625" customWidth="1"/>
    <col min="6" max="6" width="13" customWidth="1"/>
    <col min="7" max="7" width="3" customWidth="1"/>
    <col min="8" max="15" width="11" customWidth="1"/>
  </cols>
  <sheetData>
    <row r="1" spans="1:15" ht="30" customHeight="1" x14ac:dyDescent="0.3">
      <c r="A1" s="37" t="s">
        <v>183</v>
      </c>
      <c r="B1" s="38"/>
      <c r="C1" s="38"/>
      <c r="D1" s="38"/>
      <c r="E1" s="38"/>
      <c r="F1" s="38"/>
      <c r="G1" s="38"/>
      <c r="H1" s="38"/>
      <c r="I1" s="38"/>
      <c r="J1" s="38"/>
      <c r="K1" s="38"/>
      <c r="L1" s="38"/>
      <c r="M1" s="38"/>
      <c r="N1" s="38"/>
      <c r="O1" s="38"/>
    </row>
    <row r="2" spans="1:15" ht="27.75" customHeight="1" x14ac:dyDescent="0.2">
      <c r="A2" s="39" t="s">
        <v>184</v>
      </c>
      <c r="B2" s="40"/>
      <c r="C2" s="40"/>
      <c r="D2" s="40"/>
      <c r="E2" s="40"/>
      <c r="F2" s="40"/>
      <c r="G2" s="40"/>
      <c r="H2" s="40"/>
      <c r="I2" s="40"/>
      <c r="J2" s="40"/>
      <c r="K2" s="40"/>
      <c r="L2" s="40"/>
      <c r="M2" s="40"/>
      <c r="N2" s="40"/>
      <c r="O2" s="40"/>
    </row>
    <row r="4" spans="1:15" ht="17.25" customHeight="1" x14ac:dyDescent="0.2">
      <c r="A4" s="197" t="s">
        <v>185</v>
      </c>
      <c r="B4" s="197"/>
      <c r="C4" s="197"/>
      <c r="D4" s="197"/>
      <c r="E4" s="197"/>
      <c r="F4" s="197"/>
      <c r="G4" s="197"/>
      <c r="H4" s="197"/>
      <c r="I4" s="197"/>
      <c r="J4" s="197"/>
      <c r="K4" s="197"/>
      <c r="L4" s="197"/>
      <c r="M4" s="197"/>
      <c r="N4" s="197"/>
    </row>
    <row r="5" spans="1:15" ht="15" customHeight="1" x14ac:dyDescent="0.2">
      <c r="A5" s="199" t="s">
        <v>186</v>
      </c>
      <c r="B5" s="199"/>
      <c r="C5" s="199"/>
      <c r="D5" s="199"/>
      <c r="E5" s="199"/>
      <c r="F5" s="199"/>
    </row>
    <row r="6" spans="1:15" x14ac:dyDescent="0.2">
      <c r="A6" s="199"/>
      <c r="B6" s="199"/>
      <c r="C6" s="199"/>
      <c r="D6" s="199"/>
      <c r="E6" s="199"/>
      <c r="F6" s="199"/>
    </row>
    <row r="7" spans="1:15" x14ac:dyDescent="0.2">
      <c r="A7" s="199"/>
      <c r="B7" s="199"/>
      <c r="C7" s="199"/>
      <c r="D7" s="199"/>
      <c r="E7" s="199"/>
      <c r="F7" s="199"/>
    </row>
    <row r="8" spans="1:15" x14ac:dyDescent="0.2">
      <c r="A8" s="200" t="s">
        <v>187</v>
      </c>
      <c r="B8" s="200"/>
      <c r="C8" s="200"/>
      <c r="D8" s="200"/>
      <c r="E8" s="200"/>
      <c r="F8" s="200"/>
    </row>
    <row r="9" spans="1:15" ht="30" customHeight="1" x14ac:dyDescent="0.2">
      <c r="A9" s="16" t="s">
        <v>188</v>
      </c>
      <c r="B9" s="16" t="s">
        <v>189</v>
      </c>
      <c r="C9" s="16" t="s">
        <v>190</v>
      </c>
      <c r="D9" s="16" t="s">
        <v>191</v>
      </c>
      <c r="E9" s="16" t="s">
        <v>192</v>
      </c>
    </row>
    <row r="10" spans="1:15" x14ac:dyDescent="0.2">
      <c r="A10" s="41" t="s">
        <v>193</v>
      </c>
      <c r="B10" s="42">
        <f>COUNTIFS('DATOS LIMPIOS'!$T$5:$T$493,"Agosto")</f>
        <v>159</v>
      </c>
      <c r="C10" s="43">
        <f>AVERAGEIFS('DATOS LIMPIOS'!$M$5:$M$493,'DATOS LIMPIOS'!$T$5:$T$493,"Agosto")</f>
        <v>29.514345434389966</v>
      </c>
      <c r="D10" s="43">
        <f>AVERAGEIFS('DATOS LIMPIOS'!$N$5:$N$493,'DATOS LIMPIOS'!$T$5:$T$493,"Agosto")</f>
        <v>10.016982892069185</v>
      </c>
      <c r="E10" s="43">
        <f>AVERAGE('DATOS LIMPIOS'!$M$5:$M$493)</f>
        <v>29.186613608563622</v>
      </c>
    </row>
    <row r="11" spans="1:15" x14ac:dyDescent="0.2">
      <c r="A11" s="41" t="s">
        <v>194</v>
      </c>
      <c r="B11" s="42">
        <f>COUNTIFS('DATOS LIMPIOS'!$T$5:$T$493,"Septiembre")</f>
        <v>167</v>
      </c>
      <c r="C11" s="43">
        <f>AVERAGEIFS('DATOS LIMPIOS'!$M$5:$M$493,'DATOS LIMPIOS'!$T$5:$T$493,"Septiembre")</f>
        <v>28.665370973969832</v>
      </c>
      <c r="D11" s="43">
        <f>AVERAGEIFS('DATOS LIMPIOS'!$N$5:$N$493,'DATOS LIMPIOS'!$T$5:$T$493,"Septiembre")</f>
        <v>9.6054365084753339</v>
      </c>
      <c r="E11" s="43">
        <f>AVERAGE('DATOS LIMPIOS'!$M$5:$M$493)</f>
        <v>29.186613608563622</v>
      </c>
    </row>
    <row r="12" spans="1:15" x14ac:dyDescent="0.2">
      <c r="A12" s="41" t="s">
        <v>195</v>
      </c>
      <c r="B12" s="42">
        <f>COUNTIFS('DATOS LIMPIOS'!$T$5:$T$493,"Octubre")</f>
        <v>163</v>
      </c>
      <c r="C12" s="43">
        <f>AVERAGEIFS('DATOS LIMPIOS'!$M$5:$M$493,'DATOS LIMPIOS'!$T$5:$T$493,"Octubre")</f>
        <v>29.400958146421146</v>
      </c>
      <c r="D12" s="43">
        <f>AVERAGEIFS('DATOS LIMPIOS'!$N$5:$N$493,'DATOS LIMPIOS'!$T$5:$T$493,"Octubre")</f>
        <v>9.7492144696650147</v>
      </c>
      <c r="E12" s="43">
        <f>AVERAGE('DATOS LIMPIOS'!$M$5:$M$493)</f>
        <v>29.186613608563622</v>
      </c>
    </row>
    <row r="14" spans="1:15" ht="15" customHeight="1" x14ac:dyDescent="0.2">
      <c r="A14" s="201" t="s">
        <v>196</v>
      </c>
      <c r="B14" s="201"/>
      <c r="C14" s="201"/>
      <c r="D14" s="202" t="s">
        <v>197</v>
      </c>
      <c r="E14" s="202"/>
      <c r="F14" s="202"/>
    </row>
    <row r="28" spans="1:14" ht="17.25" customHeight="1" x14ac:dyDescent="0.2">
      <c r="A28" s="197" t="s">
        <v>198</v>
      </c>
      <c r="B28" s="197"/>
      <c r="C28" s="197"/>
      <c r="D28" s="197"/>
      <c r="E28" s="197"/>
      <c r="F28" s="197"/>
      <c r="G28" s="197"/>
      <c r="H28" s="197"/>
      <c r="I28" s="197"/>
      <c r="J28" s="197"/>
      <c r="K28" s="197"/>
      <c r="L28" s="197"/>
      <c r="M28" s="197"/>
      <c r="N28" s="197"/>
    </row>
    <row r="29" spans="1:14" ht="15" customHeight="1" x14ac:dyDescent="0.2">
      <c r="A29" s="199" t="s">
        <v>199</v>
      </c>
      <c r="B29" s="199"/>
      <c r="C29" s="199"/>
      <c r="D29" s="199"/>
      <c r="E29" s="199"/>
      <c r="F29" s="199"/>
    </row>
    <row r="30" spans="1:14" x14ac:dyDescent="0.2">
      <c r="A30" s="199"/>
      <c r="B30" s="199"/>
      <c r="C30" s="199"/>
      <c r="D30" s="199"/>
      <c r="E30" s="199"/>
      <c r="F30" s="199"/>
    </row>
    <row r="31" spans="1:14" x14ac:dyDescent="0.2">
      <c r="A31" s="199"/>
      <c r="B31" s="199"/>
      <c r="C31" s="199"/>
      <c r="D31" s="199"/>
      <c r="E31" s="199"/>
      <c r="F31" s="199"/>
    </row>
    <row r="32" spans="1:14" x14ac:dyDescent="0.2">
      <c r="A32" s="200" t="s">
        <v>200</v>
      </c>
      <c r="B32" s="200"/>
      <c r="C32" s="200"/>
      <c r="D32" s="200"/>
      <c r="E32" s="200"/>
      <c r="F32" s="200"/>
    </row>
    <row r="33" spans="1:6" ht="30" customHeight="1" x14ac:dyDescent="0.2">
      <c r="A33" s="16" t="s">
        <v>201</v>
      </c>
      <c r="B33" s="16" t="s">
        <v>189</v>
      </c>
      <c r="C33" s="16" t="s">
        <v>190</v>
      </c>
      <c r="D33" s="16" t="s">
        <v>191</v>
      </c>
      <c r="E33" s="16" t="s">
        <v>192</v>
      </c>
    </row>
    <row r="34" spans="1:6" x14ac:dyDescent="0.2">
      <c r="A34" s="41" t="s">
        <v>202</v>
      </c>
      <c r="B34" s="42">
        <f>COUNTIFS('DATOS LIMPIOS'!$U$5:$U$493,"Lunes")</f>
        <v>115</v>
      </c>
      <c r="C34" s="43">
        <f>AVERAGEIFS('DATOS LIMPIOS'!$M$5:$M$493,'DATOS LIMPIOS'!$U$5:$U$493,"Lunes")</f>
        <v>29.509193639307458</v>
      </c>
      <c r="D34" s="43">
        <f>AVERAGEIFS('DATOS LIMPIOS'!$N$5:$N$493,'DATOS LIMPIOS'!$U$5:$U$493,"Lunes")</f>
        <v>9.9843772506205841</v>
      </c>
      <c r="E34" s="43">
        <f>AVERAGE('DATOS LIMPIOS'!$M$5:$M$493)</f>
        <v>29.186613608563622</v>
      </c>
    </row>
    <row r="35" spans="1:6" x14ac:dyDescent="0.2">
      <c r="A35" s="41" t="s">
        <v>203</v>
      </c>
      <c r="B35" s="42">
        <f>COUNTIFS('DATOS LIMPIOS'!$U$5:$U$493,"Martes")</f>
        <v>93</v>
      </c>
      <c r="C35" s="43">
        <f>AVERAGEIFS('DATOS LIMPIOS'!$M$5:$M$493,'DATOS LIMPIOS'!$U$5:$U$493,"Martes")</f>
        <v>28.853981619322983</v>
      </c>
      <c r="D35" s="43">
        <f>AVERAGEIFS('DATOS LIMPIOS'!$N$5:$N$493,'DATOS LIMPIOS'!$U$5:$U$493,"Martes")</f>
        <v>10.172968088261818</v>
      </c>
      <c r="E35" s="43">
        <f>AVERAGE('DATOS LIMPIOS'!$M$5:$M$493)</f>
        <v>29.186613608563622</v>
      </c>
    </row>
    <row r="36" spans="1:6" x14ac:dyDescent="0.2">
      <c r="A36" s="41" t="s">
        <v>204</v>
      </c>
      <c r="B36" s="42">
        <f>COUNTIFS('DATOS LIMPIOS'!$U$5:$U$493,"Miércoles")</f>
        <v>98</v>
      </c>
      <c r="C36" s="43">
        <f>AVERAGEIFS('DATOS LIMPIOS'!$M$5:$M$493,'DATOS LIMPIOS'!$U$5:$U$493,"Miércoles")</f>
        <v>29.805531443423028</v>
      </c>
      <c r="D36" s="43">
        <f>AVERAGEIFS('DATOS LIMPIOS'!$N$5:$N$493,'DATOS LIMPIOS'!$U$5:$U$493,"Miércoles")</f>
        <v>9.9605132325499905</v>
      </c>
      <c r="E36" s="43">
        <f>AVERAGE('DATOS LIMPIOS'!$M$5:$M$493)</f>
        <v>29.186613608563622</v>
      </c>
    </row>
    <row r="37" spans="1:6" x14ac:dyDescent="0.2">
      <c r="A37" s="41" t="s">
        <v>205</v>
      </c>
      <c r="B37" s="42">
        <f>COUNTIFS('DATOS LIMPIOS'!$U$5:$U$493,"Jueves")</f>
        <v>62</v>
      </c>
      <c r="C37" s="43">
        <f>AVERAGEIFS('DATOS LIMPIOS'!$M$5:$M$493,'DATOS LIMPIOS'!$U$5:$U$493,"Jueves")</f>
        <v>28.922959140675676</v>
      </c>
      <c r="D37" s="43">
        <f>AVERAGEIFS('DATOS LIMPIOS'!$N$5:$N$493,'DATOS LIMPIOS'!$U$5:$U$493,"Jueves")</f>
        <v>8.6545725389573551</v>
      </c>
      <c r="E37" s="43">
        <f>AVERAGE('DATOS LIMPIOS'!$M$5:$M$493)</f>
        <v>29.186613608563622</v>
      </c>
    </row>
    <row r="38" spans="1:6" x14ac:dyDescent="0.2">
      <c r="A38" s="41" t="s">
        <v>206</v>
      </c>
      <c r="B38" s="42">
        <f>COUNTIFS('DATOS LIMPIOS'!$U$5:$U$493,"Viernes")</f>
        <v>46</v>
      </c>
      <c r="C38" s="43">
        <f>AVERAGEIFS('DATOS LIMPIOS'!$M$5:$M$493,'DATOS LIMPIOS'!$U$5:$U$493,"Viernes")</f>
        <v>27.798718419662102</v>
      </c>
      <c r="D38" s="43">
        <f>AVERAGEIFS('DATOS LIMPIOS'!$N$5:$N$493,'DATOS LIMPIOS'!$U$5:$U$493,"Viernes")</f>
        <v>9.4066366145817373</v>
      </c>
      <c r="E38" s="43">
        <f>AVERAGE('DATOS LIMPIOS'!$M$5:$M$493)</f>
        <v>29.186613608563622</v>
      </c>
    </row>
    <row r="39" spans="1:6" x14ac:dyDescent="0.2">
      <c r="A39" s="41" t="s">
        <v>207</v>
      </c>
      <c r="B39" s="42">
        <f>COUNTIFS('DATOS LIMPIOS'!$U$5:$U$493,"Sábado")</f>
        <v>64</v>
      </c>
      <c r="C39" s="43">
        <f>AVERAGEIFS('DATOS LIMPIOS'!$M$5:$M$493,'DATOS LIMPIOS'!$U$5:$U$493,"Sábado")</f>
        <v>28.625989470481755</v>
      </c>
      <c r="D39" s="43">
        <f>AVERAGEIFS('DATOS LIMPIOS'!$N$5:$N$493,'DATOS LIMPIOS'!$U$5:$U$493,"Sábado")</f>
        <v>9.6393947367012842</v>
      </c>
      <c r="E39" s="43">
        <f>AVERAGE('DATOS LIMPIOS'!$M$5:$M$493)</f>
        <v>29.186613608563622</v>
      </c>
    </row>
    <row r="40" spans="1:6" x14ac:dyDescent="0.2">
      <c r="A40" s="41" t="s">
        <v>208</v>
      </c>
      <c r="B40" s="42">
        <f>COUNTIFS('DATOS LIMPIOS'!$U$5:$U$493,"Domingo")</f>
        <v>11</v>
      </c>
      <c r="C40" s="43">
        <f>AVERAGEIFS('DATOS LIMPIOS'!$M$5:$M$493,'DATOS LIMPIOS'!$U$5:$U$493,"Domingo")</f>
        <v>33.664233988870663</v>
      </c>
      <c r="D40" s="43">
        <f>AVERAGEIFS('DATOS LIMPIOS'!$N$5:$N$493,'DATOS LIMPIOS'!$U$5:$U$493,"Domingo")</f>
        <v>11.754579786833203</v>
      </c>
      <c r="E40" s="43">
        <f>AVERAGE('DATOS LIMPIOS'!$M$5:$M$493)</f>
        <v>29.186613608563622</v>
      </c>
    </row>
    <row r="42" spans="1:6" ht="15" customHeight="1" x14ac:dyDescent="0.2">
      <c r="A42" s="201" t="s">
        <v>196</v>
      </c>
      <c r="B42" s="201"/>
      <c r="C42" s="201"/>
      <c r="D42" s="202" t="s">
        <v>209</v>
      </c>
      <c r="E42" s="202"/>
      <c r="F42" s="202"/>
    </row>
    <row r="52" spans="1:14" ht="17.25" customHeight="1" x14ac:dyDescent="0.2">
      <c r="A52" s="197" t="s">
        <v>210</v>
      </c>
      <c r="B52" s="197"/>
      <c r="C52" s="197"/>
      <c r="D52" s="197"/>
      <c r="E52" s="197"/>
      <c r="F52" s="197"/>
      <c r="G52" s="197"/>
      <c r="H52" s="197"/>
      <c r="I52" s="197"/>
      <c r="J52" s="197"/>
      <c r="K52" s="197"/>
      <c r="L52" s="197"/>
      <c r="M52" s="197"/>
      <c r="N52" s="197"/>
    </row>
    <row r="53" spans="1:14" ht="15" customHeight="1" x14ac:dyDescent="0.2">
      <c r="A53" s="199" t="s">
        <v>211</v>
      </c>
      <c r="B53" s="199"/>
      <c r="C53" s="199"/>
      <c r="D53" s="199"/>
      <c r="E53" s="199"/>
      <c r="F53" s="199"/>
    </row>
    <row r="54" spans="1:14" x14ac:dyDescent="0.2">
      <c r="A54" s="199"/>
      <c r="B54" s="199"/>
      <c r="C54" s="199"/>
      <c r="D54" s="199"/>
      <c r="E54" s="199"/>
      <c r="F54" s="199"/>
    </row>
    <row r="55" spans="1:14" x14ac:dyDescent="0.2">
      <c r="A55" s="199"/>
      <c r="B55" s="199"/>
      <c r="C55" s="199"/>
      <c r="D55" s="199"/>
      <c r="E55" s="199"/>
      <c r="F55" s="199"/>
    </row>
    <row r="56" spans="1:14" x14ac:dyDescent="0.2">
      <c r="A56" s="200" t="s">
        <v>212</v>
      </c>
      <c r="B56" s="200"/>
      <c r="C56" s="200"/>
      <c r="D56" s="200"/>
      <c r="E56" s="200"/>
      <c r="F56" s="200"/>
    </row>
    <row r="57" spans="1:14" ht="30" customHeight="1" x14ac:dyDescent="0.2">
      <c r="A57" s="16" t="s">
        <v>213</v>
      </c>
      <c r="B57" s="16" t="s">
        <v>189</v>
      </c>
      <c r="C57" s="16" t="s">
        <v>190</v>
      </c>
      <c r="D57" s="16" t="s">
        <v>191</v>
      </c>
      <c r="E57" s="16" t="s">
        <v>192</v>
      </c>
    </row>
    <row r="58" spans="1:14" x14ac:dyDescent="0.2">
      <c r="A58" s="41">
        <v>8</v>
      </c>
      <c r="B58" s="42">
        <f>COUNTIFS('DATOS LIMPIOS'!$V$5:$V$493,8)</f>
        <v>31</v>
      </c>
      <c r="C58" s="43">
        <f>AVERAGEIFS('DATOS LIMPIOS'!$M$5:$M$493,'DATOS LIMPIOS'!$V$5:$V$493,8)</f>
        <v>28.287787257210606</v>
      </c>
      <c r="D58" s="43">
        <f>AVERAGEIFS('DATOS LIMPIOS'!$N$5:$N$493,'DATOS LIMPIOS'!$V$5:$V$493,8)</f>
        <v>8.2129061344679322</v>
      </c>
      <c r="E58" s="43">
        <f>AVERAGE('DATOS LIMPIOS'!$M$5:$M$493)</f>
        <v>29.186613608563622</v>
      </c>
    </row>
    <row r="59" spans="1:14" x14ac:dyDescent="0.2">
      <c r="A59" s="41">
        <v>9</v>
      </c>
      <c r="B59" s="42">
        <f>COUNTIFS('DATOS LIMPIOS'!$V$5:$V$493,9)</f>
        <v>36</v>
      </c>
      <c r="C59" s="43">
        <f>AVERAGEIFS('DATOS LIMPIOS'!$M$5:$M$493,'DATOS LIMPIOS'!$V$5:$V$493,9)</f>
        <v>28.997432113190655</v>
      </c>
      <c r="D59" s="43">
        <f>AVERAGEIFS('DATOS LIMPIOS'!$N$5:$N$493,'DATOS LIMPIOS'!$V$5:$V$493,9)</f>
        <v>9.6156746998194151</v>
      </c>
      <c r="E59" s="43">
        <f>AVERAGE('DATOS LIMPIOS'!$M$5:$M$493)</f>
        <v>29.186613608563622</v>
      </c>
    </row>
    <row r="60" spans="1:14" x14ac:dyDescent="0.2">
      <c r="A60" s="41">
        <v>10</v>
      </c>
      <c r="B60" s="42">
        <f>COUNTIFS('DATOS LIMPIOS'!$V$5:$V$493,10)</f>
        <v>97</v>
      </c>
      <c r="C60" s="43">
        <f>AVERAGEIFS('DATOS LIMPIOS'!$M$5:$M$493,'DATOS LIMPIOS'!$V$5:$V$493,10)</f>
        <v>28.945981656198231</v>
      </c>
      <c r="D60" s="43">
        <f>AVERAGEIFS('DATOS LIMPIOS'!$N$5:$N$493,'DATOS LIMPIOS'!$V$5:$V$493,10)</f>
        <v>10.274592144357811</v>
      </c>
      <c r="E60" s="43">
        <f>AVERAGE('DATOS LIMPIOS'!$M$5:$M$493)</f>
        <v>29.186613608563622</v>
      </c>
    </row>
    <row r="61" spans="1:14" x14ac:dyDescent="0.2">
      <c r="A61" s="41">
        <v>11</v>
      </c>
      <c r="B61" s="42">
        <f>COUNTIFS('DATOS LIMPIOS'!$V$5:$V$493,11)</f>
        <v>89</v>
      </c>
      <c r="C61" s="43">
        <f>AVERAGEIFS('DATOS LIMPIOS'!$M$5:$M$493,'DATOS LIMPIOS'!$V$5:$V$493,11)</f>
        <v>28.113087630345291</v>
      </c>
      <c r="D61" s="43">
        <f>AVERAGEIFS('DATOS LIMPIOS'!$N$5:$N$493,'DATOS LIMPIOS'!$V$5:$V$493,11)</f>
        <v>9.5593714853337008</v>
      </c>
      <c r="E61" s="43">
        <f>AVERAGE('DATOS LIMPIOS'!$M$5:$M$493)</f>
        <v>29.186613608563622</v>
      </c>
    </row>
    <row r="62" spans="1:14" x14ac:dyDescent="0.2">
      <c r="A62" s="41">
        <v>12</v>
      </c>
      <c r="B62" s="42">
        <f>COUNTIFS('DATOS LIMPIOS'!$V$5:$V$493,12)</f>
        <v>30</v>
      </c>
      <c r="C62" s="43">
        <f>AVERAGEIFS('DATOS LIMPIOS'!$M$5:$M$493,'DATOS LIMPIOS'!$V$5:$V$493,12)</f>
        <v>32.530274728799249</v>
      </c>
      <c r="D62" s="43">
        <f>AVERAGEIFS('DATOS LIMPIOS'!$N$5:$N$493,'DATOS LIMPIOS'!$V$5:$V$493,12)</f>
        <v>9.7455376015849495</v>
      </c>
      <c r="E62" s="43">
        <f>AVERAGE('DATOS LIMPIOS'!$M$5:$M$493)</f>
        <v>29.186613608563622</v>
      </c>
    </row>
    <row r="63" spans="1:14" x14ac:dyDescent="0.2">
      <c r="A63" s="41">
        <v>13</v>
      </c>
      <c r="B63" s="42">
        <f>COUNTIFS('DATOS LIMPIOS'!$V$5:$V$493,13)</f>
        <v>69</v>
      </c>
      <c r="C63" s="43">
        <f>AVERAGEIFS('DATOS LIMPIOS'!$M$5:$M$493,'DATOS LIMPIOS'!$V$5:$V$493,13)</f>
        <v>28.707112934574802</v>
      </c>
      <c r="D63" s="43">
        <f>AVERAGEIFS('DATOS LIMPIOS'!$N$5:$N$493,'DATOS LIMPIOS'!$V$5:$V$493,13)</f>
        <v>9.5853681119457566</v>
      </c>
      <c r="E63" s="43">
        <f>AVERAGE('DATOS LIMPIOS'!$M$5:$M$493)</f>
        <v>29.186613608563622</v>
      </c>
    </row>
    <row r="64" spans="1:14" x14ac:dyDescent="0.2">
      <c r="A64" s="41">
        <v>14</v>
      </c>
      <c r="B64" s="42">
        <f>COUNTIFS('DATOS LIMPIOS'!$V$5:$V$493,14)</f>
        <v>37</v>
      </c>
      <c r="C64" s="43">
        <f>AVERAGEIFS('DATOS LIMPIOS'!$M$5:$M$493,'DATOS LIMPIOS'!$V$5:$V$493,14)</f>
        <v>27.847081084824378</v>
      </c>
      <c r="D64" s="43">
        <f>AVERAGEIFS('DATOS LIMPIOS'!$N$5:$N$493,'DATOS LIMPIOS'!$V$5:$V$493,14)</f>
        <v>9.8104709634504932</v>
      </c>
      <c r="E64" s="43">
        <f>AVERAGE('DATOS LIMPIOS'!$M$5:$M$493)</f>
        <v>29.186613608563622</v>
      </c>
    </row>
    <row r="65" spans="1:14" x14ac:dyDescent="0.2">
      <c r="A65" s="41">
        <v>15</v>
      </c>
      <c r="B65" s="42">
        <f>COUNTIFS('DATOS LIMPIOS'!$V$5:$V$493,15)</f>
        <v>65</v>
      </c>
      <c r="C65" s="43">
        <f>AVERAGEIFS('DATOS LIMPIOS'!$M$5:$M$493,'DATOS LIMPIOS'!$V$5:$V$493,15)</f>
        <v>31.017354751915796</v>
      </c>
      <c r="D65" s="43">
        <f>AVERAGEIFS('DATOS LIMPIOS'!$N$5:$N$493,'DATOS LIMPIOS'!$V$5:$V$493,15)</f>
        <v>10.467229229996466</v>
      </c>
      <c r="E65" s="43">
        <f>AVERAGE('DATOS LIMPIOS'!$M$5:$M$493)</f>
        <v>29.186613608563622</v>
      </c>
    </row>
    <row r="66" spans="1:14" x14ac:dyDescent="0.2">
      <c r="A66" s="41">
        <v>16</v>
      </c>
      <c r="B66" s="42">
        <f>COUNTIFS('DATOS LIMPIOS'!$V$5:$V$493,16)</f>
        <v>35</v>
      </c>
      <c r="C66" s="43">
        <f>AVERAGEIFS('DATOS LIMPIOS'!$M$5:$M$493,'DATOS LIMPIOS'!$V$5:$V$493,16)</f>
        <v>29.669456583559718</v>
      </c>
      <c r="D66" s="43">
        <f>AVERAGEIFS('DATOS LIMPIOS'!$N$5:$N$493,'DATOS LIMPIOS'!$V$5:$V$493,16)</f>
        <v>9.7323543537463326</v>
      </c>
      <c r="E66" s="43">
        <f>AVERAGE('DATOS LIMPIOS'!$M$5:$M$493)</f>
        <v>29.186613608563622</v>
      </c>
    </row>
    <row r="68" spans="1:14" ht="15" customHeight="1" x14ac:dyDescent="0.2">
      <c r="A68" s="201" t="s">
        <v>196</v>
      </c>
      <c r="B68" s="201"/>
      <c r="C68" s="201"/>
      <c r="D68" s="202" t="s">
        <v>214</v>
      </c>
      <c r="E68" s="202"/>
      <c r="F68" s="202"/>
    </row>
    <row r="76" spans="1:14" ht="17.25" customHeight="1" x14ac:dyDescent="0.2">
      <c r="A76" s="197" t="s">
        <v>215</v>
      </c>
      <c r="B76" s="197"/>
      <c r="C76" s="197"/>
      <c r="D76" s="197"/>
      <c r="E76" s="197"/>
      <c r="F76" s="197"/>
      <c r="G76" s="197"/>
      <c r="H76" s="197"/>
      <c r="I76" s="197"/>
      <c r="J76" s="197"/>
      <c r="K76" s="197"/>
      <c r="L76" s="197"/>
      <c r="M76" s="197"/>
      <c r="N76" s="197"/>
    </row>
    <row r="77" spans="1:14" ht="15" customHeight="1" x14ac:dyDescent="0.2">
      <c r="A77" s="199" t="s">
        <v>216</v>
      </c>
      <c r="B77" s="199"/>
      <c r="C77" s="199"/>
      <c r="D77" s="199"/>
      <c r="E77" s="199"/>
      <c r="F77" s="199"/>
    </row>
    <row r="78" spans="1:14" x14ac:dyDescent="0.2">
      <c r="A78" s="199"/>
      <c r="B78" s="199"/>
      <c r="C78" s="199"/>
      <c r="D78" s="199"/>
      <c r="E78" s="199"/>
      <c r="F78" s="199"/>
    </row>
    <row r="79" spans="1:14" x14ac:dyDescent="0.2">
      <c r="A79" s="199"/>
      <c r="B79" s="199"/>
      <c r="C79" s="199"/>
      <c r="D79" s="199"/>
      <c r="E79" s="199"/>
      <c r="F79" s="199"/>
    </row>
    <row r="80" spans="1:14" x14ac:dyDescent="0.2">
      <c r="A80" s="200" t="s">
        <v>217</v>
      </c>
      <c r="B80" s="200"/>
      <c r="C80" s="200"/>
      <c r="D80" s="200"/>
      <c r="E80" s="200"/>
      <c r="F80" s="200"/>
    </row>
    <row r="81" spans="1:6" ht="30" customHeight="1" x14ac:dyDescent="0.2">
      <c r="A81" s="16" t="s">
        <v>218</v>
      </c>
      <c r="B81" s="16" t="s">
        <v>189</v>
      </c>
      <c r="C81" s="16" t="s">
        <v>190</v>
      </c>
      <c r="D81" s="16" t="s">
        <v>191</v>
      </c>
      <c r="E81" s="16" t="s">
        <v>192</v>
      </c>
    </row>
    <row r="82" spans="1:6" x14ac:dyDescent="0.2">
      <c r="A82" s="41" t="s">
        <v>219</v>
      </c>
      <c r="B82" s="42">
        <f>COUNTIFS('DATOS LIMPIOS'!$W$5:$W$493,"Quincena")</f>
        <v>92</v>
      </c>
      <c r="C82" s="43">
        <f>AVERAGEIFS('DATOS LIMPIOS'!$M$5:$M$493,'DATOS LIMPIOS'!$W$5:$W$493,"Quincena")</f>
        <v>28.402280491792748</v>
      </c>
      <c r="D82" s="43">
        <f>AVERAGEIFS('DATOS LIMPIOS'!$N$5:$N$493,'DATOS LIMPIOS'!$W$5:$W$493,"Quincena")</f>
        <v>8.6600006185416252</v>
      </c>
      <c r="E82" s="43">
        <f>AVERAGE('DATOS LIMPIOS'!$M$5:$M$493)</f>
        <v>29.186613608563622</v>
      </c>
    </row>
    <row r="83" spans="1:6" x14ac:dyDescent="0.2">
      <c r="A83" s="41" t="s">
        <v>220</v>
      </c>
      <c r="B83" s="42">
        <f>COUNTIFS('DATOS LIMPIOS'!$W$5:$W$493,"Días después del pago")</f>
        <v>131</v>
      </c>
      <c r="C83" s="43">
        <f>AVERAGEIFS('DATOS LIMPIOS'!$M$5:$M$493,'DATOS LIMPIOS'!$W$5:$W$493,"Días después del pago")</f>
        <v>29.94015982080068</v>
      </c>
      <c r="D83" s="43">
        <f>AVERAGEIFS('DATOS LIMPIOS'!$N$5:$N$493,'DATOS LIMPIOS'!$W$5:$W$493,"Días después del pago")</f>
        <v>9.8591374856300753</v>
      </c>
      <c r="E83" s="43">
        <f>AVERAGE('DATOS LIMPIOS'!$M$5:$M$493)</f>
        <v>29.186613608563622</v>
      </c>
    </row>
    <row r="84" spans="1:6" x14ac:dyDescent="0.2">
      <c r="A84" s="41" t="s">
        <v>221</v>
      </c>
      <c r="B84" s="42">
        <f>COUNTIFS('DATOS LIMPIOS'!$W$5:$W$493,"Resto del mes")</f>
        <v>266</v>
      </c>
      <c r="C84" s="43">
        <f>AVERAGEIFS('DATOS LIMPIOS'!$M$5:$M$493,'DATOS LIMPIOS'!$W$5:$W$493,"Resto del mes")</f>
        <v>29.086779371495449</v>
      </c>
      <c r="D84" s="43">
        <f>AVERAGEIFS('DATOS LIMPIOS'!$N$5:$N$493,'DATOS LIMPIOS'!$W$5:$W$493,"Resto del mes")</f>
        <v>10.141590480400033</v>
      </c>
      <c r="E84" s="43">
        <f>AVERAGE('DATOS LIMPIOS'!$M$5:$M$493)</f>
        <v>29.186613608563622</v>
      </c>
    </row>
    <row r="86" spans="1:6" ht="15" customHeight="1" x14ac:dyDescent="0.2">
      <c r="A86" s="201" t="s">
        <v>196</v>
      </c>
      <c r="B86" s="201"/>
      <c r="C86" s="201"/>
      <c r="D86" s="202" t="s">
        <v>222</v>
      </c>
      <c r="E86" s="202"/>
      <c r="F86" s="202"/>
    </row>
    <row r="100" spans="1:14" ht="17.25" customHeight="1" x14ac:dyDescent="0.2">
      <c r="A100" s="197" t="s">
        <v>223</v>
      </c>
      <c r="B100" s="197"/>
      <c r="C100" s="197"/>
      <c r="D100" s="197"/>
      <c r="E100" s="197"/>
      <c r="F100" s="197"/>
      <c r="G100" s="197"/>
      <c r="H100" s="197"/>
      <c r="I100" s="197"/>
      <c r="J100" s="197"/>
      <c r="K100" s="197"/>
      <c r="L100" s="197"/>
      <c r="M100" s="197"/>
      <c r="N100" s="197"/>
    </row>
    <row r="101" spans="1:14" ht="15" customHeight="1" x14ac:dyDescent="0.2">
      <c r="A101" s="199" t="s">
        <v>224</v>
      </c>
      <c r="B101" s="199"/>
      <c r="C101" s="199"/>
      <c r="D101" s="199"/>
      <c r="E101" s="199"/>
      <c r="F101" s="199"/>
    </row>
    <row r="102" spans="1:14" x14ac:dyDescent="0.2">
      <c r="A102" s="199"/>
      <c r="B102" s="199"/>
      <c r="C102" s="199"/>
      <c r="D102" s="199"/>
      <c r="E102" s="199"/>
      <c r="F102" s="199"/>
    </row>
    <row r="103" spans="1:14" x14ac:dyDescent="0.2">
      <c r="A103" s="199"/>
      <c r="B103" s="199"/>
      <c r="C103" s="199"/>
      <c r="D103" s="199"/>
      <c r="E103" s="199"/>
      <c r="F103" s="199"/>
    </row>
    <row r="104" spans="1:14" x14ac:dyDescent="0.2">
      <c r="A104" s="200" t="s">
        <v>225</v>
      </c>
      <c r="B104" s="200"/>
      <c r="C104" s="200"/>
      <c r="D104" s="200"/>
      <c r="E104" s="200"/>
      <c r="F104" s="200"/>
    </row>
    <row r="105" spans="1:14" ht="30" customHeight="1" x14ac:dyDescent="0.2">
      <c r="A105" s="16" t="s">
        <v>226</v>
      </c>
      <c r="B105" s="16" t="s">
        <v>227</v>
      </c>
      <c r="C105" s="16" t="s">
        <v>228</v>
      </c>
    </row>
    <row r="106" spans="1:14" x14ac:dyDescent="0.2">
      <c r="A106" s="41" t="s">
        <v>229</v>
      </c>
      <c r="B106" s="42">
        <f>COUNTIFS('DATOS LIMPIOS'!$S$5:$S$493,"&gt;="&amp;(DATE(2025,8,7)-3),'DATOS LIMPIOS'!$S$5:$S$493,"&lt;="&amp;(DATE(2025,8,7)+1))</f>
        <v>57</v>
      </c>
      <c r="C106" s="44">
        <f>AVERAGEIFS('DATOS LIMPIOS'!$AE$5:$AE$493,'DATOS LIMPIOS'!$S$5:$S$493,"&gt;="&amp;(DATE(2025,8,7)-3),'DATOS LIMPIOS'!$S$5:$S$493,"&lt;="&amp;(DATE(2025,8,7)+1))</f>
        <v>1.760637198645618</v>
      </c>
    </row>
    <row r="107" spans="1:14" x14ac:dyDescent="0.2">
      <c r="A107" s="41" t="s">
        <v>230</v>
      </c>
      <c r="B107" s="42">
        <f>COUNTIFS('DATOS LIMPIOS'!$S$5:$S$493,"&gt;="&amp;(DATE(2025,8,18)-3),'DATOS LIMPIOS'!$S$5:$S$493,"&lt;="&amp;(DATE(2025,8,18)+1))</f>
        <v>34</v>
      </c>
      <c r="C107" s="44">
        <f>AVERAGEIFS('DATOS LIMPIOS'!$AE$5:$AE$493,'DATOS LIMPIOS'!$S$5:$S$493,"&gt;="&amp;(DATE(2025,8,18)-3),'DATOS LIMPIOS'!$S$5:$S$493,"&lt;="&amp;(DATE(2025,8,18)+1))</f>
        <v>0.47432595204954131</v>
      </c>
    </row>
    <row r="108" spans="1:14" x14ac:dyDescent="0.2">
      <c r="A108" s="41" t="s">
        <v>231</v>
      </c>
      <c r="B108" s="42">
        <f>COUNTIFS('DATOS LIMPIOS'!$S$5:$S$493,"&gt;="&amp;(DATE(2025,9,20)-3),'DATOS LIMPIOS'!$S$5:$S$493,"&lt;="&amp;(DATE(2025,9,20)+1))</f>
        <v>28</v>
      </c>
      <c r="C108" s="44">
        <f>AVERAGEIFS('DATOS LIMPIOS'!$AE$5:$AE$493,'DATOS LIMPIOS'!$S$5:$S$493,"&gt;="&amp;(DATE(2025,9,20)-3),'DATOS LIMPIOS'!$S$5:$S$493,"&lt;="&amp;(DATE(2025,9,20)+1))</f>
        <v>-1.9271646320176228</v>
      </c>
    </row>
    <row r="109" spans="1:14" x14ac:dyDescent="0.2">
      <c r="A109" s="41" t="s">
        <v>232</v>
      </c>
      <c r="B109" s="42">
        <f>COUNTIFS('DATOS LIMPIOS'!$S$5:$S$493,"&gt;="&amp;(DATE(2025,10,13)-3),'DATOS LIMPIOS'!$S$5:$S$493,"&lt;="&amp;(DATE(2025,10,13)+1))</f>
        <v>27</v>
      </c>
      <c r="C109" s="44">
        <f>AVERAGEIFS('DATOS LIMPIOS'!$AE$5:$AE$493,'DATOS LIMPIOS'!$S$5:$S$493,"&gt;="&amp;(DATE(2025,10,13)-3),'DATOS LIMPIOS'!$S$5:$S$493,"&lt;="&amp;(DATE(2025,10,13)+1))</f>
        <v>2.381748985522365</v>
      </c>
    </row>
    <row r="110" spans="1:14" x14ac:dyDescent="0.2">
      <c r="A110" s="41" t="s">
        <v>233</v>
      </c>
      <c r="B110" s="42">
        <f>COUNTIFS('DATOS LIMPIOS'!$S$5:$S$493,"&gt;="&amp;(DATE(2025,10,31)-3),'DATOS LIMPIOS'!$S$5:$S$493,"&lt;="&amp;(DATE(2025,10,31)+1))</f>
        <v>30</v>
      </c>
      <c r="C110" s="44">
        <f>AVERAGEIFS('DATOS LIMPIOS'!$AE$5:$AE$493,'DATOS LIMPIOS'!$S$5:$S$493,"&gt;="&amp;(DATE(2025,10,31)-3),'DATOS LIMPIOS'!$S$5:$S$493,"&lt;="&amp;(DATE(2025,10,31)+1))</f>
        <v>0.75495911193695708</v>
      </c>
    </row>
    <row r="112" spans="1:14" ht="15" customHeight="1" x14ac:dyDescent="0.2">
      <c r="A112" s="201" t="s">
        <v>196</v>
      </c>
      <c r="B112" s="201"/>
      <c r="C112" s="201"/>
    </row>
    <row r="113" spans="1:14" ht="15" customHeight="1" x14ac:dyDescent="0.2">
      <c r="A113" s="202" t="s">
        <v>234</v>
      </c>
      <c r="B113" s="202"/>
      <c r="C113" s="202"/>
      <c r="D113" s="202"/>
      <c r="E113" s="202"/>
      <c r="F113" s="202"/>
    </row>
    <row r="114" spans="1:14" x14ac:dyDescent="0.2">
      <c r="A114" s="202"/>
      <c r="B114" s="202"/>
      <c r="C114" s="202"/>
      <c r="D114" s="202"/>
      <c r="E114" s="202"/>
      <c r="F114" s="202"/>
    </row>
    <row r="115" spans="1:14" x14ac:dyDescent="0.2">
      <c r="A115" s="202"/>
      <c r="B115" s="202"/>
      <c r="C115" s="202"/>
      <c r="D115" s="202"/>
      <c r="E115" s="202"/>
      <c r="F115" s="202"/>
    </row>
    <row r="124" spans="1:14" ht="17.25" customHeight="1" x14ac:dyDescent="0.2">
      <c r="A124" s="197" t="s">
        <v>235</v>
      </c>
      <c r="B124" s="197"/>
      <c r="C124" s="197"/>
      <c r="D124" s="197"/>
      <c r="E124" s="197"/>
      <c r="F124" s="197"/>
      <c r="G124" s="197"/>
      <c r="H124" s="197"/>
      <c r="I124" s="197"/>
      <c r="J124" s="197"/>
      <c r="K124" s="197"/>
      <c r="L124" s="197"/>
      <c r="M124" s="197"/>
      <c r="N124" s="197"/>
    </row>
    <row r="125" spans="1:14" ht="15" customHeight="1" x14ac:dyDescent="0.2">
      <c r="A125" s="199" t="s">
        <v>236</v>
      </c>
      <c r="B125" s="199"/>
      <c r="C125" s="199"/>
      <c r="D125" s="199"/>
      <c r="E125" s="199"/>
      <c r="F125" s="199"/>
    </row>
    <row r="126" spans="1:14" x14ac:dyDescent="0.2">
      <c r="A126" s="199"/>
      <c r="B126" s="199"/>
      <c r="C126" s="199"/>
      <c r="D126" s="199"/>
      <c r="E126" s="199"/>
      <c r="F126" s="199"/>
    </row>
    <row r="127" spans="1:14" x14ac:dyDescent="0.2">
      <c r="A127" s="199"/>
      <c r="B127" s="199"/>
      <c r="C127" s="199"/>
      <c r="D127" s="199"/>
      <c r="E127" s="199"/>
      <c r="F127" s="199"/>
    </row>
    <row r="128" spans="1:14" x14ac:dyDescent="0.2">
      <c r="A128" s="200" t="s">
        <v>237</v>
      </c>
      <c r="B128" s="200"/>
      <c r="C128" s="200"/>
      <c r="D128" s="200"/>
      <c r="E128" s="200"/>
      <c r="F128" s="200"/>
    </row>
    <row r="129" spans="1:6" ht="30" customHeight="1" x14ac:dyDescent="0.2">
      <c r="A129" s="16" t="s">
        <v>238</v>
      </c>
      <c r="B129" s="16" t="s">
        <v>189</v>
      </c>
      <c r="C129" s="16" t="s">
        <v>190</v>
      </c>
      <c r="D129" s="16" t="s">
        <v>191</v>
      </c>
      <c r="E129" s="16" t="s">
        <v>192</v>
      </c>
    </row>
    <row r="130" spans="1:6" x14ac:dyDescent="0.2">
      <c r="A130" s="41" t="s">
        <v>239</v>
      </c>
      <c r="B130" s="42">
        <f>COUNTIFS('DATOS LIMPIOS'!$Y$5:$Y$493,"Sí")</f>
        <v>400</v>
      </c>
      <c r="C130" s="43">
        <f>AVERAGEIFS('DATOS LIMPIOS'!$M$5:$M$493,'DATOS LIMPIOS'!$Y$5:$Y$493,"Sí")</f>
        <v>28.956084290878433</v>
      </c>
      <c r="D130" s="43">
        <f>AVERAGEIFS('DATOS LIMPIOS'!$N$5:$N$493,'DATOS LIMPIOS'!$Y$5:$Y$493,"Sí")</f>
        <v>9.6653748900308649</v>
      </c>
      <c r="E130" s="43">
        <f>AVERAGE('DATOS LIMPIOS'!$M$5:$M$493)</f>
        <v>29.186613608563622</v>
      </c>
    </row>
    <row r="131" spans="1:6" x14ac:dyDescent="0.2">
      <c r="A131" s="41" t="s">
        <v>240</v>
      </c>
      <c r="B131" s="42">
        <f>COUNTIFS('DATOS LIMPIOS'!$Y$5:$Y$493,"No")</f>
        <v>89</v>
      </c>
      <c r="C131" s="43">
        <f>AVERAGEIFS('DATOS LIMPIOS'!$M$5:$M$493,'DATOS LIMPIOS'!$Y$5:$Y$493,"No")</f>
        <v>30.222700429620566</v>
      </c>
      <c r="D131" s="43">
        <f>AVERAGEIFS('DATOS LIMPIOS'!$N$5:$N$493,'DATOS LIMPIOS'!$Y$5:$Y$493,"No")</f>
        <v>10.334608756150963</v>
      </c>
      <c r="E131" s="43">
        <f>AVERAGE('DATOS LIMPIOS'!$M$5:$M$493)</f>
        <v>29.186613608563622</v>
      </c>
    </row>
    <row r="133" spans="1:6" ht="15" customHeight="1" x14ac:dyDescent="0.2">
      <c r="A133" s="201" t="s">
        <v>196</v>
      </c>
      <c r="B133" s="201"/>
      <c r="C133" s="201"/>
      <c r="D133" s="202" t="s">
        <v>241</v>
      </c>
      <c r="E133" s="202"/>
      <c r="F133" s="202"/>
    </row>
    <row r="148" spans="1:14" ht="17.25" customHeight="1" x14ac:dyDescent="0.2">
      <c r="A148" s="197" t="s">
        <v>242</v>
      </c>
      <c r="B148" s="197"/>
      <c r="C148" s="197"/>
      <c r="D148" s="197"/>
      <c r="E148" s="197"/>
      <c r="F148" s="197"/>
      <c r="G148" s="197"/>
      <c r="H148" s="197"/>
      <c r="I148" s="197"/>
      <c r="J148" s="197"/>
      <c r="K148" s="197"/>
      <c r="L148" s="197"/>
      <c r="M148" s="197"/>
      <c r="N148" s="197"/>
    </row>
    <row r="149" spans="1:14" ht="15" customHeight="1" x14ac:dyDescent="0.2">
      <c r="A149" s="199" t="s">
        <v>243</v>
      </c>
      <c r="B149" s="199"/>
      <c r="C149" s="199"/>
      <c r="D149" s="199"/>
      <c r="E149" s="199"/>
      <c r="F149" s="199"/>
    </row>
    <row r="150" spans="1:14" x14ac:dyDescent="0.2">
      <c r="A150" s="199"/>
      <c r="B150" s="199"/>
      <c r="C150" s="199"/>
      <c r="D150" s="199"/>
      <c r="E150" s="199"/>
      <c r="F150" s="199"/>
    </row>
    <row r="151" spans="1:14" x14ac:dyDescent="0.2">
      <c r="A151" s="199"/>
      <c r="B151" s="199"/>
      <c r="C151" s="199"/>
      <c r="D151" s="199"/>
      <c r="E151" s="199"/>
      <c r="F151" s="199"/>
    </row>
    <row r="152" spans="1:14" x14ac:dyDescent="0.2">
      <c r="A152" s="200" t="s">
        <v>244</v>
      </c>
      <c r="B152" s="200"/>
      <c r="C152" s="200"/>
      <c r="D152" s="200"/>
      <c r="E152" s="200"/>
      <c r="F152" s="200"/>
    </row>
    <row r="153" spans="1:14" ht="30" customHeight="1" x14ac:dyDescent="0.2">
      <c r="A153" s="16" t="s">
        <v>245</v>
      </c>
      <c r="B153" s="16" t="s">
        <v>246</v>
      </c>
      <c r="C153" s="16" t="s">
        <v>247</v>
      </c>
      <c r="D153" s="16" t="s">
        <v>248</v>
      </c>
      <c r="E153" s="16" t="s">
        <v>249</v>
      </c>
      <c r="F153" s="16" t="s">
        <v>250</v>
      </c>
      <c r="G153" s="16" t="s">
        <v>251</v>
      </c>
      <c r="H153" s="16" t="s">
        <v>252</v>
      </c>
    </row>
    <row r="154" spans="1:14" x14ac:dyDescent="0.2">
      <c r="A154" s="41" t="s">
        <v>253</v>
      </c>
      <c r="B154" s="42"/>
      <c r="C154" s="42"/>
      <c r="D154" s="42"/>
      <c r="E154" s="42"/>
      <c r="F154" s="42">
        <f>IFERROR(AVERAGEIF('DATOS LIMPIOS'!$S$5:$S$493,DATE(2025,8,1),'DATOS LIMPIOS'!$M$5:$M$493),"")</f>
        <v>38.43907032944005</v>
      </c>
      <c r="G154" s="42">
        <f>IFERROR(AVERAGEIF('DATOS LIMPIOS'!$S$5:$S$493,DATE(2025,8,2),'DATOS LIMPIOS'!$M$5:$M$493),"")</f>
        <v>25.911019297626847</v>
      </c>
      <c r="H154" s="42">
        <f>IFERROR(AVERAGEIF('DATOS LIMPIOS'!$S$5:$S$493,DATE(2025,8,3),'DATOS LIMPIOS'!$M$5:$M$493),"")</f>
        <v>17.337090524832689</v>
      </c>
    </row>
    <row r="155" spans="1:14" x14ac:dyDescent="0.2">
      <c r="A155" s="41" t="s">
        <v>254</v>
      </c>
      <c r="B155" s="42">
        <f>IFERROR(AVERAGEIF('DATOS LIMPIOS'!$S$5:$S$493,DATE(2025,8,4),'DATOS LIMPIOS'!$M$5:$M$493),"")</f>
        <v>30.002154273713256</v>
      </c>
      <c r="C155" s="42">
        <f>IFERROR(AVERAGEIF('DATOS LIMPIOS'!$S$5:$S$493,DATE(2025,8,5),'DATOS LIMPIOS'!$M$5:$M$493),"")</f>
        <v>39.372365625108856</v>
      </c>
      <c r="D155" s="42">
        <f>IFERROR(AVERAGEIF('DATOS LIMPIOS'!$S$5:$S$493,DATE(2025,8,6),'DATOS LIMPIOS'!$M$5:$M$493),"")</f>
        <v>32.222586420976725</v>
      </c>
      <c r="E155" s="42">
        <f>IFERROR(AVERAGEIF('DATOS LIMPIOS'!$S$5:$S$493,DATE(2025,8,7),'DATOS LIMPIOS'!$M$5:$M$493),"")</f>
        <v>30.58572304608024</v>
      </c>
      <c r="F155" s="42">
        <f>IFERROR(AVERAGEIF('DATOS LIMPIOS'!$S$5:$S$493,DATE(2025,8,8),'DATOS LIMPIOS'!$M$5:$M$493),"")</f>
        <v>21.477303998574452</v>
      </c>
      <c r="G155" s="42">
        <f>IFERROR(AVERAGEIF('DATOS LIMPIOS'!$S$5:$S$493,DATE(2025,8,9),'DATOS LIMPIOS'!$M$5:$M$493),"")</f>
        <v>38.55095513795699</v>
      </c>
      <c r="H155" s="42">
        <f>IFERROR(AVERAGEIF('DATOS LIMPIOS'!$S$5:$S$493,DATE(2025,8,10),'DATOS LIMPIOS'!$M$5:$M$493),"")</f>
        <v>37.196595091331936</v>
      </c>
    </row>
    <row r="156" spans="1:14" x14ac:dyDescent="0.2">
      <c r="A156" s="41" t="s">
        <v>255</v>
      </c>
      <c r="B156" s="42" t="str">
        <f>IFERROR(AVERAGEIF('DATOS LIMPIOS'!$S$5:$S$493,DATE(2025,8,11),'DATOS LIMPIOS'!$M$5:$M$493),"")</f>
        <v/>
      </c>
      <c r="C156" s="42">
        <f>IFERROR(AVERAGEIF('DATOS LIMPIOS'!$S$5:$S$493,DATE(2025,8,12),'DATOS LIMPIOS'!$M$5:$M$493),"")</f>
        <v>12.293601518805481</v>
      </c>
      <c r="D156" s="42">
        <f>IFERROR(AVERAGEIF('DATOS LIMPIOS'!$S$5:$S$493,DATE(2025,8,13),'DATOS LIMPIOS'!$M$5:$M$493),"")</f>
        <v>36.635296669186019</v>
      </c>
      <c r="E156" s="42">
        <f>IFERROR(AVERAGEIF('DATOS LIMPIOS'!$S$5:$S$493,DATE(2025,8,14),'DATOS LIMPIOS'!$M$5:$M$493),"")</f>
        <v>25.951159284526295</v>
      </c>
      <c r="F156" s="42">
        <f>IFERROR(AVERAGEIF('DATOS LIMPIOS'!$S$5:$S$493,DATE(2025,8,15),'DATOS LIMPIOS'!$M$5:$M$493),"")</f>
        <v>26.986770339501856</v>
      </c>
      <c r="G156" s="42">
        <f>IFERROR(AVERAGEIF('DATOS LIMPIOS'!$S$5:$S$493,DATE(2025,8,16),'DATOS LIMPIOS'!$M$5:$M$493),"")</f>
        <v>26.3966592760233</v>
      </c>
      <c r="H156" s="42">
        <f>IFERROR(AVERAGEIF('DATOS LIMPIOS'!$S$5:$S$493,DATE(2025,8,17),'DATOS LIMPIOS'!$M$5:$M$493),"")</f>
        <v>29.812564569292078</v>
      </c>
    </row>
    <row r="157" spans="1:14" x14ac:dyDescent="0.2">
      <c r="A157" s="41" t="s">
        <v>256</v>
      </c>
      <c r="B157" s="42">
        <f>IFERROR(AVERAGEIF('DATOS LIMPIOS'!$S$5:$S$493,DATE(2025,8,18),'DATOS LIMPIOS'!$M$5:$M$493),"")</f>
        <v>48.806168131321506</v>
      </c>
      <c r="C157" s="42">
        <f>IFERROR(AVERAGEIF('DATOS LIMPIOS'!$S$5:$S$493,DATE(2025,8,19),'DATOS LIMPIOS'!$M$5:$M$493),"")</f>
        <v>31.709759171780519</v>
      </c>
      <c r="D157" s="42">
        <f>IFERROR(AVERAGEIF('DATOS LIMPIOS'!$S$5:$S$493,DATE(2025,8,20),'DATOS LIMPIOS'!$M$5:$M$493),"")</f>
        <v>19.789608946154644</v>
      </c>
      <c r="E157" s="42">
        <f>IFERROR(AVERAGEIF('DATOS LIMPIOS'!$S$5:$S$493,DATE(2025,8,21),'DATOS LIMPIOS'!$M$5:$M$493),"")</f>
        <v>23.078179936700817</v>
      </c>
      <c r="F157" s="42">
        <f>IFERROR(AVERAGEIF('DATOS LIMPIOS'!$S$5:$S$493,DATE(2025,8,22),'DATOS LIMPIOS'!$M$5:$M$493),"")</f>
        <v>32.308633976657966</v>
      </c>
      <c r="G157" s="42">
        <f>IFERROR(AVERAGEIF('DATOS LIMPIOS'!$S$5:$S$493,DATE(2025,8,23),'DATOS LIMPIOS'!$M$5:$M$493),"")</f>
        <v>26.247206949037974</v>
      </c>
      <c r="H157" s="42" t="str">
        <f>IFERROR(AVERAGEIF('DATOS LIMPIOS'!$S$5:$S$493,DATE(2025,8,24),'DATOS LIMPIOS'!$M$5:$M$493),"")</f>
        <v/>
      </c>
    </row>
    <row r="158" spans="1:14" x14ac:dyDescent="0.2">
      <c r="A158" s="41" t="s">
        <v>257</v>
      </c>
      <c r="B158" s="42">
        <f>IFERROR(AVERAGEIF('DATOS LIMPIOS'!$S$5:$S$493,DATE(2025,8,25),'DATOS LIMPIOS'!$M$5:$M$493),"")</f>
        <v>18.799678382724558</v>
      </c>
      <c r="C158" s="42">
        <f>IFERROR(AVERAGEIF('DATOS LIMPIOS'!$S$5:$S$493,DATE(2025,8,26),'DATOS LIMPIOS'!$M$5:$M$493),"")</f>
        <v>42.065658919890794</v>
      </c>
      <c r="D158" s="42">
        <f>IFERROR(AVERAGEIF('DATOS LIMPIOS'!$S$5:$S$493,DATE(2025,8,27),'DATOS LIMPIOS'!$M$5:$M$493),"")</f>
        <v>20.877679851178677</v>
      </c>
      <c r="E158" s="42" t="str">
        <f>IFERROR(AVERAGEIF('DATOS LIMPIOS'!$S$5:$S$493,DATE(2025,8,28),'DATOS LIMPIOS'!$M$5:$M$493),"")</f>
        <v/>
      </c>
      <c r="F158" s="42">
        <f>IFERROR(AVERAGEIF('DATOS LIMPIOS'!$S$5:$S$493,DATE(2025,8,29),'DATOS LIMPIOS'!$M$5:$M$493),"")</f>
        <v>21.589774983795131</v>
      </c>
      <c r="G158" s="42">
        <f>IFERROR(AVERAGEIF('DATOS LIMPIOS'!$S$5:$S$493,DATE(2025,8,30),'DATOS LIMPIOS'!$M$5:$M$493),"")</f>
        <v>44.773187464111942</v>
      </c>
      <c r="H158" s="42" t="str">
        <f>IFERROR(AVERAGEIF('DATOS LIMPIOS'!$S$5:$S$493,DATE(2025,8,31),'DATOS LIMPIOS'!$M$5:$M$493),"")</f>
        <v/>
      </c>
    </row>
    <row r="159" spans="1:14" x14ac:dyDescent="0.2">
      <c r="A159" s="41" t="s">
        <v>258</v>
      </c>
      <c r="B159" s="42">
        <f>IFERROR(AVERAGEIF('DATOS LIMPIOS'!$S$5:$S$493,DATE(2025,9,1),'DATOS LIMPIOS'!$M$5:$M$493),"")</f>
        <v>30.008080542248663</v>
      </c>
      <c r="C159" s="42">
        <f>IFERROR(AVERAGEIF('DATOS LIMPIOS'!$S$5:$S$493,DATE(2025,9,2),'DATOS LIMPIOS'!$M$5:$M$493),"")</f>
        <v>6.0113877883025895</v>
      </c>
      <c r="D159" s="42">
        <f>IFERROR(AVERAGEIF('DATOS LIMPIOS'!$S$5:$S$493,DATE(2025,9,3),'DATOS LIMPIOS'!$M$5:$M$493),"")</f>
        <v>34.180303825108602</v>
      </c>
      <c r="E159" s="42">
        <f>IFERROR(AVERAGEIF('DATOS LIMPIOS'!$S$5:$S$493,DATE(2025,9,4),'DATOS LIMPIOS'!$M$5:$M$493),"")</f>
        <v>43.357049382912138</v>
      </c>
      <c r="F159" s="42">
        <f>IFERROR(AVERAGEIF('DATOS LIMPIOS'!$S$5:$S$493,DATE(2025,9,5),'DATOS LIMPIOS'!$M$5:$M$493),"")</f>
        <v>16.388551787566527</v>
      </c>
      <c r="G159" s="42">
        <f>IFERROR(AVERAGEIF('DATOS LIMPIOS'!$S$5:$S$493,DATE(2025,9,6),'DATOS LIMPIOS'!$M$5:$M$493),"")</f>
        <v>32.076377280672467</v>
      </c>
      <c r="H159" s="42">
        <f>IFERROR(AVERAGEIF('DATOS LIMPIOS'!$S$5:$S$493,DATE(2025,9,7),'DATOS LIMPIOS'!$M$5:$M$493),"")</f>
        <v>38.204191511752839</v>
      </c>
    </row>
    <row r="160" spans="1:14" x14ac:dyDescent="0.2">
      <c r="A160" s="41" t="s">
        <v>259</v>
      </c>
      <c r="B160" s="42">
        <f>IFERROR(AVERAGEIF('DATOS LIMPIOS'!$S$5:$S$493,DATE(2025,9,8),'DATOS LIMPIOS'!$M$5:$M$493),"")</f>
        <v>26.715829601119481</v>
      </c>
      <c r="C160" s="42">
        <f>IFERROR(AVERAGEIF('DATOS LIMPIOS'!$S$5:$S$493,DATE(2025,9,9),'DATOS LIMPIOS'!$M$5:$M$493),"")</f>
        <v>27.030000219988075</v>
      </c>
      <c r="D160" s="42">
        <f>IFERROR(AVERAGEIF('DATOS LIMPIOS'!$S$5:$S$493,DATE(2025,9,10),'DATOS LIMPIOS'!$M$5:$M$493),"")</f>
        <v>37.537982700185566</v>
      </c>
      <c r="E160" s="42">
        <f>IFERROR(AVERAGEIF('DATOS LIMPIOS'!$S$5:$S$493,DATE(2025,9,11),'DATOS LIMPIOS'!$M$5:$M$493),"")</f>
        <v>27.746592765857976</v>
      </c>
      <c r="F160" s="42">
        <f>IFERROR(AVERAGEIF('DATOS LIMPIOS'!$S$5:$S$493,DATE(2025,9,12),'DATOS LIMPIOS'!$M$5:$M$493),"")</f>
        <v>38.629986941941709</v>
      </c>
      <c r="G160" s="42">
        <f>IFERROR(AVERAGEIF('DATOS LIMPIOS'!$S$5:$S$493,DATE(2025,9,13),'DATOS LIMPIOS'!$M$5:$M$493),"")</f>
        <v>24.663578204279727</v>
      </c>
      <c r="H160" s="42" t="str">
        <f>IFERROR(AVERAGEIF('DATOS LIMPIOS'!$S$5:$S$493,DATE(2025,9,14),'DATOS LIMPIOS'!$M$5:$M$493),"")</f>
        <v/>
      </c>
    </row>
    <row r="161" spans="1:8" x14ac:dyDescent="0.2">
      <c r="A161" s="41" t="s">
        <v>260</v>
      </c>
      <c r="B161" s="42" t="str">
        <f>IFERROR(AVERAGEIF('DATOS LIMPIOS'!$S$5:$S$493,DATE(2025,9,15),'DATOS LIMPIOS'!$M$5:$M$493),"")</f>
        <v/>
      </c>
      <c r="C161" s="42">
        <f>IFERROR(AVERAGEIF('DATOS LIMPIOS'!$S$5:$S$493,DATE(2025,9,16),'DATOS LIMPIOS'!$M$5:$M$493),"")</f>
        <v>28.442443444260267</v>
      </c>
      <c r="D161" s="42">
        <f>IFERROR(AVERAGEIF('DATOS LIMPIOS'!$S$5:$S$493,DATE(2025,9,17),'DATOS LIMPIOS'!$M$5:$M$493),"")</f>
        <v>28.680103860257454</v>
      </c>
      <c r="E161" s="42">
        <f>IFERROR(AVERAGEIF('DATOS LIMPIOS'!$S$5:$S$493,DATE(2025,9,18),'DATOS LIMPIOS'!$M$5:$M$493),"")</f>
        <v>33.766980948578571</v>
      </c>
      <c r="F161" s="42">
        <f>IFERROR(AVERAGEIF('DATOS LIMPIOS'!$S$5:$S$493,DATE(2025,9,19),'DATOS LIMPIOS'!$M$5:$M$493),"")</f>
        <v>30.955185535277153</v>
      </c>
      <c r="G161" s="42" t="str">
        <f>IFERROR(AVERAGEIF('DATOS LIMPIOS'!$S$5:$S$493,DATE(2025,9,20),'DATOS LIMPIOS'!$M$5:$M$493),"")</f>
        <v/>
      </c>
      <c r="H161" s="42" t="str">
        <f>IFERROR(AVERAGEIF('DATOS LIMPIOS'!$S$5:$S$493,DATE(2025,9,21),'DATOS LIMPIOS'!$M$5:$M$493),"")</f>
        <v/>
      </c>
    </row>
    <row r="162" spans="1:8" x14ac:dyDescent="0.2">
      <c r="A162" s="41" t="s">
        <v>261</v>
      </c>
      <c r="B162" s="42">
        <f>IFERROR(AVERAGEIF('DATOS LIMPIOS'!$S$5:$S$493,DATE(2025,9,22),'DATOS LIMPIOS'!$M$5:$M$493),"")</f>
        <v>30.342199903908707</v>
      </c>
      <c r="C162" s="42">
        <f>IFERROR(AVERAGEIF('DATOS LIMPIOS'!$S$5:$S$493,DATE(2025,9,23),'DATOS LIMPIOS'!$M$5:$M$493),"")</f>
        <v>41.064859264047456</v>
      </c>
      <c r="D162" s="42">
        <f>IFERROR(AVERAGEIF('DATOS LIMPIOS'!$S$5:$S$493,DATE(2025,9,24),'DATOS LIMPIOS'!$M$5:$M$493),"")</f>
        <v>40.777102546070942</v>
      </c>
      <c r="E162" s="42">
        <f>IFERROR(AVERAGEIF('DATOS LIMPIOS'!$S$5:$S$493,DATE(2025,9,25),'DATOS LIMPIOS'!$M$5:$M$493),"")</f>
        <v>48.880377136122569</v>
      </c>
      <c r="F162" s="42">
        <f>IFERROR(AVERAGEIF('DATOS LIMPIOS'!$S$5:$S$493,DATE(2025,9,26),'DATOS LIMPIOS'!$M$5:$M$493),"")</f>
        <v>19.669684165187622</v>
      </c>
      <c r="G162" s="42">
        <f>IFERROR(AVERAGEIF('DATOS LIMPIOS'!$S$5:$S$493,DATE(2025,9,27),'DATOS LIMPIOS'!$M$5:$M$493),"")</f>
        <v>11.07795000160457</v>
      </c>
      <c r="H162" s="42">
        <f>IFERROR(AVERAGEIF('DATOS LIMPIOS'!$S$5:$S$493,DATE(2025,9,28),'DATOS LIMPIOS'!$M$5:$M$493),"")</f>
        <v>24.873415437904409</v>
      </c>
    </row>
    <row r="163" spans="1:8" x14ac:dyDescent="0.2">
      <c r="A163" s="41" t="s">
        <v>262</v>
      </c>
      <c r="B163" s="42">
        <f>IFERROR(AVERAGEIF('DATOS LIMPIOS'!$S$5:$S$493,DATE(2025,9,29),'DATOS LIMPIOS'!$M$5:$M$493),"")</f>
        <v>17.556599743699273</v>
      </c>
      <c r="C163" s="42" t="str">
        <f>IFERROR(AVERAGEIF('DATOS LIMPIOS'!$S$5:$S$493,DATE(2025,9,30),'DATOS LIMPIOS'!$M$5:$M$493),"")</f>
        <v/>
      </c>
      <c r="D163" s="42">
        <f>IFERROR(AVERAGEIF('DATOS LIMPIOS'!$S$5:$S$493,DATE(2025,10,1),'DATOS LIMPIOS'!$M$5:$M$493),"")</f>
        <v>27.153846153846157</v>
      </c>
      <c r="E163" s="42">
        <f>IFERROR(AVERAGEIF('DATOS LIMPIOS'!$S$5:$S$493,DATE(2025,10,2),'DATOS LIMPIOS'!$M$5:$M$493),"")</f>
        <v>19.573079688104851</v>
      </c>
      <c r="F163" s="42">
        <f>IFERROR(AVERAGEIF('DATOS LIMPIOS'!$S$5:$S$493,DATE(2025,10,3),'DATOS LIMPIOS'!$M$5:$M$493),"")</f>
        <v>43.952852004911769</v>
      </c>
      <c r="G163" s="42">
        <f>IFERROR(AVERAGEIF('DATOS LIMPIOS'!$S$5:$S$493,DATE(2025,10,4),'DATOS LIMPIOS'!$M$5:$M$493),"")</f>
        <v>20.609853458343505</v>
      </c>
      <c r="H163" s="42">
        <f>IFERROR(AVERAGEIF('DATOS LIMPIOS'!$S$5:$S$493,DATE(2025,10,5),'DATOS LIMPIOS'!$M$5:$M$493),"")</f>
        <v>36.434353624889127</v>
      </c>
    </row>
    <row r="164" spans="1:8" x14ac:dyDescent="0.2">
      <c r="A164" s="41" t="s">
        <v>263</v>
      </c>
      <c r="B164" s="42">
        <f>IFERROR(AVERAGEIF('DATOS LIMPIOS'!$S$5:$S$493,DATE(2025,10,6),'DATOS LIMPIOS'!$M$5:$M$493),"")</f>
        <v>32.601080597783231</v>
      </c>
      <c r="C164" s="42">
        <f>IFERROR(AVERAGEIF('DATOS LIMPIOS'!$S$5:$S$493,DATE(2025,10,7),'DATOS LIMPIOS'!$M$5:$M$493),"")</f>
        <v>15.952103392196653</v>
      </c>
      <c r="D164" s="42">
        <f>IFERROR(AVERAGEIF('DATOS LIMPIOS'!$S$5:$S$493,DATE(2025,10,8),'DATOS LIMPIOS'!$M$5:$M$493),"")</f>
        <v>28.999873378796376</v>
      </c>
      <c r="E164" s="42">
        <f>IFERROR(AVERAGEIF('DATOS LIMPIOS'!$S$5:$S$493,DATE(2025,10,9),'DATOS LIMPIOS'!$M$5:$M$493),"")</f>
        <v>28.700714051077505</v>
      </c>
      <c r="F164" s="42">
        <f>IFERROR(AVERAGEIF('DATOS LIMPIOS'!$S$5:$S$493,DATE(2025,10,10),'DATOS LIMPIOS'!$M$5:$M$493),"")</f>
        <v>23.971154785846917</v>
      </c>
      <c r="G164" s="42">
        <f>IFERROR(AVERAGEIF('DATOS LIMPIOS'!$S$5:$S$493,DATE(2025,10,11),'DATOS LIMPIOS'!$M$5:$M$493),"")</f>
        <v>41.835409248929111</v>
      </c>
      <c r="H164" s="42">
        <f>IFERROR(AVERAGEIF('DATOS LIMPIOS'!$S$5:$S$493,DATE(2025,10,12),'DATOS LIMPIOS'!$M$5:$M$493),"")</f>
        <v>30.422900371966588</v>
      </c>
    </row>
    <row r="165" spans="1:8" x14ac:dyDescent="0.2">
      <c r="A165" s="41" t="s">
        <v>264</v>
      </c>
      <c r="B165" s="42">
        <f>IFERROR(AVERAGEIF('DATOS LIMPIOS'!$S$5:$S$493,DATE(2025,10,13),'DATOS LIMPIOS'!$M$5:$M$493),"")</f>
        <v>31.836181820126452</v>
      </c>
      <c r="C165" s="42">
        <f>IFERROR(AVERAGEIF('DATOS LIMPIOS'!$S$5:$S$493,DATE(2025,10,14),'DATOS LIMPIOS'!$M$5:$M$493),"")</f>
        <v>14.962143577040635</v>
      </c>
      <c r="D165" s="42">
        <f>IFERROR(AVERAGEIF('DATOS LIMPIOS'!$S$5:$S$493,DATE(2025,10,15),'DATOS LIMPIOS'!$M$5:$M$493),"")</f>
        <v>11.754269864248949</v>
      </c>
      <c r="E165" s="42">
        <f>IFERROR(AVERAGEIF('DATOS LIMPIOS'!$S$5:$S$493,DATE(2025,10,16),'DATOS LIMPIOS'!$M$5:$M$493),"")</f>
        <v>44.964956102485623</v>
      </c>
      <c r="F165" s="42">
        <f>IFERROR(AVERAGEIF('DATOS LIMPIOS'!$S$5:$S$493,DATE(2025,10,17),'DATOS LIMPIOS'!$M$5:$M$493),"")</f>
        <v>28.812920737075608</v>
      </c>
      <c r="G165" s="42">
        <f>IFERROR(AVERAGEIF('DATOS LIMPIOS'!$S$5:$S$493,DATE(2025,10,18),'DATOS LIMPIOS'!$M$5:$M$493),"")</f>
        <v>29.376162536497347</v>
      </c>
      <c r="H165" s="42">
        <f>IFERROR(AVERAGEIF('DATOS LIMPIOS'!$S$5:$S$493,DATE(2025,10,19),'DATOS LIMPIOS'!$M$5:$M$493),"")</f>
        <v>45.547169571920087</v>
      </c>
    </row>
    <row r="166" spans="1:8" x14ac:dyDescent="0.2">
      <c r="A166" s="41" t="s">
        <v>265</v>
      </c>
      <c r="B166" s="42">
        <f>IFERROR(AVERAGEIF('DATOS LIMPIOS'!$S$5:$S$493,DATE(2025,10,20),'DATOS LIMPIOS'!$M$5:$M$493),"")</f>
        <v>26.45937805402874</v>
      </c>
      <c r="C166" s="42" t="str">
        <f>IFERROR(AVERAGEIF('DATOS LIMPIOS'!$S$5:$S$493,DATE(2025,10,21),'DATOS LIMPIOS'!$M$5:$M$493),"")</f>
        <v/>
      </c>
      <c r="D166" s="42">
        <f>IFERROR(AVERAGEIF('DATOS LIMPIOS'!$S$5:$S$493,DATE(2025,10,22),'DATOS LIMPIOS'!$M$5:$M$493),"")</f>
        <v>18.074806582384397</v>
      </c>
      <c r="E166" s="42" t="str">
        <f>IFERROR(AVERAGEIF('DATOS LIMPIOS'!$S$5:$S$493,DATE(2025,10,23),'DATOS LIMPIOS'!$M$5:$M$493),"")</f>
        <v/>
      </c>
      <c r="F166" s="42">
        <f>IFERROR(AVERAGEIF('DATOS LIMPIOS'!$S$5:$S$493,DATE(2025,10,24),'DATOS LIMPIOS'!$M$5:$M$493),"")</f>
        <v>27.584787147825477</v>
      </c>
      <c r="G166" s="42">
        <f>IFERROR(AVERAGEIF('DATOS LIMPIOS'!$S$5:$S$493,DATE(2025,10,25),'DATOS LIMPIOS'!$M$5:$M$493),"")</f>
        <v>46.204442111276663</v>
      </c>
      <c r="H166" s="42">
        <f>IFERROR(AVERAGEIF('DATOS LIMPIOS'!$S$5:$S$493,DATE(2025,10,26),'DATOS LIMPIOS'!$M$5:$M$493),"")</f>
        <v>35.839748037045602</v>
      </c>
    </row>
    <row r="167" spans="1:8" x14ac:dyDescent="0.2">
      <c r="A167" s="41" t="s">
        <v>266</v>
      </c>
      <c r="B167" s="42">
        <f>IFERROR(AVERAGEIF('DATOS LIMPIOS'!$S$5:$S$493,DATE(2025,10,27),'DATOS LIMPIOS'!$M$5:$M$493),"")</f>
        <v>29.514028081293947</v>
      </c>
      <c r="C167" s="42">
        <f>IFERROR(AVERAGEIF('DATOS LIMPIOS'!$S$5:$S$493,DATE(2025,10,28),'DATOS LIMPIOS'!$M$5:$M$493),"")</f>
        <v>33.66458768765898</v>
      </c>
      <c r="D167" s="42">
        <f>IFERROR(AVERAGEIF('DATOS LIMPIOS'!$S$5:$S$493,DATE(2025,10,29),'DATOS LIMPIOS'!$M$5:$M$493),"")</f>
        <v>29.573956283367252</v>
      </c>
      <c r="E167" s="42">
        <f>IFERROR(AVERAGEIF('DATOS LIMPIOS'!$S$5:$S$493,DATE(2025,10,30),'DATOS LIMPIOS'!$M$5:$M$493),"")</f>
        <v>47.785219597001735</v>
      </c>
      <c r="F167" s="42" t="str">
        <f>IFERROR(AVERAGEIF('DATOS LIMPIOS'!$S$5:$S$493,DATE(2025,10,31),'DATOS LIMPIOS'!$M$5:$M$493),"")</f>
        <v/>
      </c>
      <c r="G167" s="42"/>
      <c r="H167" s="42"/>
    </row>
    <row r="169" spans="1:8" ht="15" customHeight="1" x14ac:dyDescent="0.2">
      <c r="A169" s="201" t="s">
        <v>196</v>
      </c>
      <c r="B169" s="201"/>
      <c r="C169" s="201"/>
    </row>
    <row r="170" spans="1:8" ht="15" customHeight="1" x14ac:dyDescent="0.2">
      <c r="A170" s="202" t="s">
        <v>267</v>
      </c>
      <c r="B170" s="202"/>
      <c r="C170" s="202"/>
      <c r="D170" s="202"/>
      <c r="E170" s="202"/>
      <c r="F170" s="202"/>
    </row>
    <row r="171" spans="1:8" x14ac:dyDescent="0.2">
      <c r="A171" s="202"/>
      <c r="B171" s="202"/>
      <c r="C171" s="202"/>
      <c r="D171" s="202"/>
      <c r="E171" s="202"/>
      <c r="F171" s="202"/>
    </row>
    <row r="172" spans="1:8" x14ac:dyDescent="0.2">
      <c r="A172" s="202"/>
      <c r="B172" s="202"/>
      <c r="C172" s="202"/>
      <c r="D172" s="202"/>
      <c r="E172" s="202"/>
      <c r="F172" s="202"/>
    </row>
  </sheetData>
  <mergeCells count="35">
    <mergeCell ref="A148:N148"/>
    <mergeCell ref="A149:F151"/>
    <mergeCell ref="A152:F152"/>
    <mergeCell ref="A169:C169"/>
    <mergeCell ref="A170:F172"/>
    <mergeCell ref="A124:N124"/>
    <mergeCell ref="A125:F127"/>
    <mergeCell ref="A128:F128"/>
    <mergeCell ref="A133:C133"/>
    <mergeCell ref="D133:F133"/>
    <mergeCell ref="A100:N100"/>
    <mergeCell ref="A101:F103"/>
    <mergeCell ref="A104:F104"/>
    <mergeCell ref="A112:C112"/>
    <mergeCell ref="A113:F115"/>
    <mergeCell ref="A76:N76"/>
    <mergeCell ref="A77:F79"/>
    <mergeCell ref="A80:F80"/>
    <mergeCell ref="A86:C86"/>
    <mergeCell ref="D86:F86"/>
    <mergeCell ref="A52:N52"/>
    <mergeCell ref="A53:F55"/>
    <mergeCell ref="A56:F56"/>
    <mergeCell ref="A68:C68"/>
    <mergeCell ref="D68:F68"/>
    <mergeCell ref="A28:N28"/>
    <mergeCell ref="A29:F31"/>
    <mergeCell ref="A32:F32"/>
    <mergeCell ref="A42:C42"/>
    <mergeCell ref="D42:F42"/>
    <mergeCell ref="A4:N4"/>
    <mergeCell ref="A5:F7"/>
    <mergeCell ref="A8:F8"/>
    <mergeCell ref="A14:C14"/>
    <mergeCell ref="D14:F14"/>
  </mergeCells>
  <conditionalFormatting sqref="B154:H167">
    <cfRule type="colorScale" priority="2">
      <colorScale>
        <cfvo type="num" val="10"/>
        <cfvo type="num" val="29"/>
        <cfvo type="num" val="48"/>
        <color rgb="FFFFFFFF"/>
        <color rgb="FFFBF3EF"/>
        <color rgb="FF901C1A"/>
      </colorScale>
    </cfRule>
  </conditionalFormatting>
  <pageMargins left="0.75" right="0.75" top="1" bottom="1" header="0.511811023622047" footer="0.511811023622047"/>
  <pageSetup paperSize="9" orientation="portrait" horizontalDpi="300" verticalDpi="30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901C1A"/>
  </sheetPr>
  <dimension ref="A1:O111"/>
  <sheetViews>
    <sheetView showGridLines="0" zoomScaleNormal="100" workbookViewId="0"/>
  </sheetViews>
  <sheetFormatPr baseColWidth="10" defaultColWidth="8.6640625" defaultRowHeight="15" x14ac:dyDescent="0.2"/>
  <cols>
    <col min="1" max="1" width="30" customWidth="1"/>
    <col min="2" max="6" width="13" customWidth="1"/>
    <col min="7" max="7" width="3" customWidth="1"/>
    <col min="8" max="15" width="11" customWidth="1"/>
  </cols>
  <sheetData>
    <row r="1" spans="1:15" ht="30" customHeight="1" x14ac:dyDescent="0.3">
      <c r="A1" s="37" t="s">
        <v>268</v>
      </c>
      <c r="B1" s="38"/>
      <c r="C1" s="38"/>
      <c r="D1" s="38"/>
      <c r="E1" s="38"/>
      <c r="F1" s="38"/>
      <c r="G1" s="38"/>
      <c r="H1" s="38"/>
      <c r="I1" s="38"/>
      <c r="J1" s="38"/>
      <c r="K1" s="38"/>
      <c r="L1" s="38"/>
      <c r="M1" s="38"/>
      <c r="N1" s="38"/>
      <c r="O1" s="38"/>
    </row>
    <row r="2" spans="1:15" ht="27.75" customHeight="1" x14ac:dyDescent="0.2">
      <c r="A2" s="39" t="s">
        <v>269</v>
      </c>
      <c r="B2" s="40"/>
      <c r="C2" s="40"/>
      <c r="D2" s="40"/>
      <c r="E2" s="40"/>
      <c r="F2" s="40"/>
      <c r="G2" s="40"/>
      <c r="H2" s="40"/>
      <c r="I2" s="40"/>
      <c r="J2" s="40"/>
      <c r="K2" s="40"/>
      <c r="L2" s="40"/>
      <c r="M2" s="40"/>
      <c r="N2" s="40"/>
      <c r="O2" s="40"/>
    </row>
    <row r="4" spans="1:15" ht="17.25" customHeight="1" x14ac:dyDescent="0.2">
      <c r="A4" s="197" t="s">
        <v>270</v>
      </c>
      <c r="B4" s="197"/>
      <c r="C4" s="197"/>
      <c r="D4" s="197"/>
      <c r="E4" s="197"/>
      <c r="F4" s="197"/>
      <c r="G4" s="197"/>
      <c r="H4" s="197"/>
      <c r="I4" s="197"/>
      <c r="J4" s="197"/>
      <c r="K4" s="197"/>
      <c r="L4" s="197"/>
      <c r="M4" s="197"/>
      <c r="N4" s="197"/>
    </row>
    <row r="5" spans="1:15" ht="15" customHeight="1" x14ac:dyDescent="0.2">
      <c r="A5" s="199" t="s">
        <v>271</v>
      </c>
      <c r="B5" s="199"/>
      <c r="C5" s="199"/>
      <c r="D5" s="199"/>
      <c r="E5" s="199"/>
      <c r="F5" s="199"/>
    </row>
    <row r="6" spans="1:15" x14ac:dyDescent="0.2">
      <c r="A6" s="199"/>
      <c r="B6" s="199"/>
      <c r="C6" s="199"/>
      <c r="D6" s="199"/>
      <c r="E6" s="199"/>
      <c r="F6" s="199"/>
    </row>
    <row r="7" spans="1:15" x14ac:dyDescent="0.2">
      <c r="A7" s="199"/>
      <c r="B7" s="199"/>
      <c r="C7" s="199"/>
      <c r="D7" s="199"/>
      <c r="E7" s="199"/>
      <c r="F7" s="199"/>
    </row>
    <row r="8" spans="1:15" x14ac:dyDescent="0.2">
      <c r="A8" s="200" t="s">
        <v>272</v>
      </c>
      <c r="B8" s="200"/>
      <c r="C8" s="200"/>
      <c r="D8" s="200"/>
      <c r="E8" s="200"/>
      <c r="F8" s="200"/>
    </row>
    <row r="9" spans="1:15" ht="30" customHeight="1" x14ac:dyDescent="0.2">
      <c r="A9" s="16" t="s">
        <v>273</v>
      </c>
      <c r="B9" s="16" t="s">
        <v>189</v>
      </c>
      <c r="C9" s="16" t="s">
        <v>190</v>
      </c>
      <c r="D9" s="16" t="s">
        <v>191</v>
      </c>
      <c r="E9" s="16" t="s">
        <v>192</v>
      </c>
    </row>
    <row r="10" spans="1:15" x14ac:dyDescent="0.2">
      <c r="A10" s="41" t="s">
        <v>274</v>
      </c>
      <c r="B10" s="42">
        <f>COUNTIF('DATOS LIMPIOS'!$B$5:$B$493,"Customer Appreciation")</f>
        <v>73</v>
      </c>
      <c r="C10" s="43">
        <f>AVERAGEIF('DATOS LIMPIOS'!$B$5:$B$493,"Customer Appreciation",'DATOS LIMPIOS'!$M$5:$M$493)</f>
        <v>31.113650744455075</v>
      </c>
      <c r="D10" s="43">
        <f>AVERAGEIF('DATOS LIMPIOS'!$B$5:$B$493,"Customer Appreciation",'DATOS LIMPIOS'!$N$5:$N$493)</f>
        <v>9.9969927775747376</v>
      </c>
      <c r="E10" s="43">
        <f>AVERAGE('DATOS LIMPIOS'!$M$5:$M$493)</f>
        <v>29.186613608563622</v>
      </c>
    </row>
    <row r="11" spans="1:15" x14ac:dyDescent="0.2">
      <c r="A11" s="41" t="s">
        <v>275</v>
      </c>
      <c r="B11" s="42">
        <f>COUNTIF('DATOS LIMPIOS'!$B$5:$B$493,"Exclusive Offers")</f>
        <v>79</v>
      </c>
      <c r="C11" s="43">
        <f>AVERAGEIF('DATOS LIMPIOS'!$B$5:$B$493,"Exclusive Offers",'DATOS LIMPIOS'!$M$5:$M$493)</f>
        <v>27.021447627328243</v>
      </c>
      <c r="D11" s="43">
        <f>AVERAGEIF('DATOS LIMPIOS'!$B$5:$B$493,"Exclusive Offers",'DATOS LIMPIOS'!$N$5:$N$493)</f>
        <v>9.2971825130085737</v>
      </c>
      <c r="E11" s="43">
        <f>AVERAGE('DATOS LIMPIOS'!$M$5:$M$493)</f>
        <v>29.186613608563622</v>
      </c>
    </row>
    <row r="12" spans="1:15" x14ac:dyDescent="0.2">
      <c r="A12" s="41" t="s">
        <v>276</v>
      </c>
      <c r="B12" s="42">
        <f>COUNTIF('DATOS LIMPIOS'!$B$5:$B$493,"Flash Sale")</f>
        <v>81</v>
      </c>
      <c r="C12" s="43">
        <f>AVERAGEIF('DATOS LIMPIOS'!$B$5:$B$493,"Flash Sale",'DATOS LIMPIOS'!$M$5:$M$493)</f>
        <v>29.440902453236173</v>
      </c>
      <c r="D12" s="43">
        <f>AVERAGEIF('DATOS LIMPIOS'!$B$5:$B$493,"Flash Sale",'DATOS LIMPIOS'!$N$5:$N$493)</f>
        <v>9.2051660264854309</v>
      </c>
      <c r="E12" s="43">
        <f>AVERAGE('DATOS LIMPIOS'!$M$5:$M$493)</f>
        <v>29.186613608563622</v>
      </c>
    </row>
    <row r="13" spans="1:15" x14ac:dyDescent="0.2">
      <c r="A13" s="41" t="s">
        <v>277</v>
      </c>
      <c r="B13" s="42">
        <f>COUNTIF('DATOS LIMPIOS'!$B$5:$B$493,"Holiday Discounts")</f>
        <v>79</v>
      </c>
      <c r="C13" s="43">
        <f>AVERAGEIF('DATOS LIMPIOS'!$B$5:$B$493,"Holiday Discounts",'DATOS LIMPIOS'!$M$5:$M$493)</f>
        <v>30.71114383300629</v>
      </c>
      <c r="D13" s="43">
        <f>AVERAGEIF('DATOS LIMPIOS'!$B$5:$B$493,"Holiday Discounts",'DATOS LIMPIOS'!$N$5:$N$493)</f>
        <v>9.0557740211665223</v>
      </c>
      <c r="E13" s="43">
        <f>AVERAGE('DATOS LIMPIOS'!$M$5:$M$493)</f>
        <v>29.186613608563622</v>
      </c>
    </row>
    <row r="14" spans="1:15" x14ac:dyDescent="0.2">
      <c r="A14" s="41" t="s">
        <v>278</v>
      </c>
      <c r="B14" s="42">
        <f>COUNTIF('DATOS LIMPIOS'!$B$5:$B$493,"New Product Launch")</f>
        <v>84</v>
      </c>
      <c r="C14" s="43">
        <f>AVERAGEIF('DATOS LIMPIOS'!$B$5:$B$493,"New Product Launch",'DATOS LIMPIOS'!$M$5:$M$493)</f>
        <v>29.458247936272421</v>
      </c>
      <c r="D14" s="43">
        <f>AVERAGEIF('DATOS LIMPIOS'!$B$5:$B$493,"New Product Launch",'DATOS LIMPIOS'!$N$5:$N$493)</f>
        <v>10.443530762299147</v>
      </c>
      <c r="E14" s="43">
        <f>AVERAGE('DATOS LIMPIOS'!$M$5:$M$493)</f>
        <v>29.186613608563622</v>
      </c>
    </row>
    <row r="15" spans="1:15" x14ac:dyDescent="0.2">
      <c r="A15" s="41" t="s">
        <v>279</v>
      </c>
      <c r="B15" s="42">
        <f>COUNTIF('DATOS LIMPIOS'!$B$5:$B$493,"Newsletter")</f>
        <v>93</v>
      </c>
      <c r="C15" s="43">
        <f>AVERAGEIF('DATOS LIMPIOS'!$B$5:$B$493,"Newsletter",'DATOS LIMPIOS'!$M$5:$M$493)</f>
        <v>27.75136451093497</v>
      </c>
      <c r="D15" s="43">
        <f>AVERAGEIF('DATOS LIMPIOS'!$B$5:$B$493,"Newsletter",'DATOS LIMPIOS'!$N$5:$N$493)</f>
        <v>10.57409746417787</v>
      </c>
      <c r="E15" s="43">
        <f>AVERAGE('DATOS LIMPIOS'!$M$5:$M$493)</f>
        <v>29.186613608563622</v>
      </c>
    </row>
    <row r="17" spans="1:14" ht="15" customHeight="1" x14ac:dyDescent="0.2">
      <c r="A17" s="201" t="s">
        <v>196</v>
      </c>
      <c r="B17" s="201"/>
      <c r="C17" s="201"/>
      <c r="D17" s="202" t="s">
        <v>280</v>
      </c>
      <c r="E17" s="202"/>
      <c r="F17" s="202"/>
    </row>
    <row r="28" spans="1:14" ht="17.25" customHeight="1" x14ac:dyDescent="0.2">
      <c r="A28" s="197" t="s">
        <v>281</v>
      </c>
      <c r="B28" s="197"/>
      <c r="C28" s="197"/>
      <c r="D28" s="197"/>
      <c r="E28" s="197"/>
      <c r="F28" s="197"/>
      <c r="G28" s="197"/>
      <c r="H28" s="197"/>
      <c r="I28" s="197"/>
      <c r="J28" s="197"/>
      <c r="K28" s="197"/>
      <c r="L28" s="197"/>
      <c r="M28" s="197"/>
      <c r="N28" s="197"/>
    </row>
    <row r="29" spans="1:14" ht="15" customHeight="1" x14ac:dyDescent="0.2">
      <c r="A29" s="199" t="s">
        <v>282</v>
      </c>
      <c r="B29" s="199"/>
      <c r="C29" s="199"/>
      <c r="D29" s="199"/>
      <c r="E29" s="199"/>
      <c r="F29" s="199"/>
    </row>
    <row r="30" spans="1:14" x14ac:dyDescent="0.2">
      <c r="A30" s="199"/>
      <c r="B30" s="199"/>
      <c r="C30" s="199"/>
      <c r="D30" s="199"/>
      <c r="E30" s="199"/>
      <c r="F30" s="199"/>
    </row>
    <row r="31" spans="1:14" x14ac:dyDescent="0.2">
      <c r="A31" s="199"/>
      <c r="B31" s="199"/>
      <c r="C31" s="199"/>
      <c r="D31" s="199"/>
      <c r="E31" s="199"/>
      <c r="F31" s="199"/>
    </row>
    <row r="32" spans="1:14" x14ac:dyDescent="0.2">
      <c r="A32" s="200" t="s">
        <v>283</v>
      </c>
      <c r="B32" s="200"/>
      <c r="C32" s="200"/>
      <c r="D32" s="200"/>
      <c r="E32" s="200"/>
      <c r="F32" s="200"/>
    </row>
    <row r="33" spans="1:6" ht="30" customHeight="1" x14ac:dyDescent="0.2">
      <c r="A33" s="16" t="s">
        <v>284</v>
      </c>
      <c r="B33" s="16" t="s">
        <v>189</v>
      </c>
      <c r="C33" s="16" t="s">
        <v>190</v>
      </c>
      <c r="D33" s="16" t="s">
        <v>191</v>
      </c>
      <c r="E33" s="16" t="s">
        <v>192</v>
      </c>
    </row>
    <row r="34" spans="1:6" x14ac:dyDescent="0.2">
      <c r="A34" s="41" t="s">
        <v>285</v>
      </c>
      <c r="B34" s="42">
        <f>COUNTIFS('DATOS LIMPIOS'!$Z$5:$Z$493,"Vender")</f>
        <v>239</v>
      </c>
      <c r="C34" s="43">
        <f>AVERAGEIFS('DATOS LIMPIOS'!$M$5:$M$493,'DATOS LIMPIOS'!$Z$5:$Z$493,"Vender")</f>
        <v>29.061036920830791</v>
      </c>
      <c r="D34" s="43">
        <f>AVERAGEIFS('DATOS LIMPIOS'!$N$5:$N$493,'DATOS LIMPIOS'!$Z$5:$Z$493,"Vender")</f>
        <v>9.1862008968416458</v>
      </c>
      <c r="E34" s="43">
        <f>AVERAGE('DATOS LIMPIOS'!$M$5:$M$493)</f>
        <v>29.186613608563622</v>
      </c>
    </row>
    <row r="35" spans="1:6" x14ac:dyDescent="0.2">
      <c r="A35" s="41" t="s">
        <v>286</v>
      </c>
      <c r="B35" s="42">
        <f>COUNTIFS('DATOS LIMPIOS'!$Z$5:$Z$493,"Educar")</f>
        <v>93</v>
      </c>
      <c r="C35" s="43">
        <f>AVERAGEIFS('DATOS LIMPIOS'!$M$5:$M$493,'DATOS LIMPIOS'!$Z$5:$Z$493,"Educar")</f>
        <v>27.75136451093497</v>
      </c>
      <c r="D35" s="43">
        <f>AVERAGEIFS('DATOS LIMPIOS'!$N$5:$N$493,'DATOS LIMPIOS'!$Z$5:$Z$493,"Educar")</f>
        <v>10.57409746417787</v>
      </c>
      <c r="E35" s="43">
        <f>AVERAGE('DATOS LIMPIOS'!$M$5:$M$493)</f>
        <v>29.186613608563622</v>
      </c>
    </row>
    <row r="36" spans="1:6" x14ac:dyDescent="0.2">
      <c r="A36" s="41" t="s">
        <v>287</v>
      </c>
      <c r="B36" s="42">
        <f>COUNTIFS('DATOS LIMPIOS'!$Z$5:$Z$493,"Lanzar")</f>
        <v>84</v>
      </c>
      <c r="C36" s="43">
        <f>AVERAGEIFS('DATOS LIMPIOS'!$M$5:$M$493,'DATOS LIMPIOS'!$Z$5:$Z$493,"Lanzar")</f>
        <v>29.458247936272421</v>
      </c>
      <c r="D36" s="43">
        <f>AVERAGEIFS('DATOS LIMPIOS'!$N$5:$N$493,'DATOS LIMPIOS'!$Z$5:$Z$493,"Lanzar")</f>
        <v>10.443530762299147</v>
      </c>
      <c r="E36" s="43">
        <f>AVERAGE('DATOS LIMPIOS'!$M$5:$M$493)</f>
        <v>29.186613608563622</v>
      </c>
    </row>
    <row r="37" spans="1:6" x14ac:dyDescent="0.2">
      <c r="A37" s="41" t="s">
        <v>288</v>
      </c>
      <c r="B37" s="42">
        <f>COUNTIFS('DATOS LIMPIOS'!$Z$5:$Z$493,"Fidelizar")</f>
        <v>73</v>
      </c>
      <c r="C37" s="43">
        <f>AVERAGEIFS('DATOS LIMPIOS'!$M$5:$M$493,'DATOS LIMPIOS'!$Z$5:$Z$493,"Fidelizar")</f>
        <v>31.113650744455075</v>
      </c>
      <c r="D37" s="43">
        <f>AVERAGEIFS('DATOS LIMPIOS'!$N$5:$N$493,'DATOS LIMPIOS'!$Z$5:$Z$493,"Fidelizar")</f>
        <v>9.9969927775747376</v>
      </c>
      <c r="E37" s="43">
        <f>AVERAGE('DATOS LIMPIOS'!$M$5:$M$493)</f>
        <v>29.186613608563622</v>
      </c>
    </row>
    <row r="39" spans="1:6" ht="15" customHeight="1" x14ac:dyDescent="0.2">
      <c r="A39" s="201" t="s">
        <v>196</v>
      </c>
      <c r="B39" s="201"/>
      <c r="C39" s="201"/>
      <c r="D39" s="202" t="s">
        <v>289</v>
      </c>
      <c r="E39" s="202"/>
      <c r="F39" s="202"/>
    </row>
    <row r="52" spans="1:14" ht="17.25" customHeight="1" x14ac:dyDescent="0.2">
      <c r="A52" s="197" t="s">
        <v>290</v>
      </c>
      <c r="B52" s="197"/>
      <c r="C52" s="197"/>
      <c r="D52" s="197"/>
      <c r="E52" s="197"/>
      <c r="F52" s="197"/>
      <c r="G52" s="197"/>
      <c r="H52" s="197"/>
      <c r="I52" s="197"/>
      <c r="J52" s="197"/>
      <c r="K52" s="197"/>
      <c r="L52" s="197"/>
      <c r="M52" s="197"/>
      <c r="N52" s="197"/>
    </row>
    <row r="53" spans="1:14" ht="15" customHeight="1" x14ac:dyDescent="0.2">
      <c r="A53" s="199" t="s">
        <v>291</v>
      </c>
      <c r="B53" s="199"/>
      <c r="C53" s="199"/>
      <c r="D53" s="199"/>
      <c r="E53" s="199"/>
      <c r="F53" s="199"/>
    </row>
    <row r="54" spans="1:14" x14ac:dyDescent="0.2">
      <c r="A54" s="199"/>
      <c r="B54" s="199"/>
      <c r="C54" s="199"/>
      <c r="D54" s="199"/>
      <c r="E54" s="199"/>
      <c r="F54" s="199"/>
    </row>
    <row r="55" spans="1:14" x14ac:dyDescent="0.2">
      <c r="A55" s="199"/>
      <c r="B55" s="199"/>
      <c r="C55" s="199"/>
      <c r="D55" s="199"/>
      <c r="E55" s="199"/>
      <c r="F55" s="199"/>
    </row>
    <row r="56" spans="1:14" x14ac:dyDescent="0.2">
      <c r="A56" s="200" t="s">
        <v>292</v>
      </c>
      <c r="B56" s="200"/>
      <c r="C56" s="200"/>
      <c r="D56" s="200"/>
      <c r="E56" s="200"/>
      <c r="F56" s="200"/>
    </row>
    <row r="57" spans="1:14" ht="30" customHeight="1" x14ac:dyDescent="0.2">
      <c r="A57" s="16" t="s">
        <v>293</v>
      </c>
      <c r="B57" s="16" t="s">
        <v>189</v>
      </c>
      <c r="C57" s="16" t="s">
        <v>190</v>
      </c>
      <c r="D57" s="16" t="s">
        <v>191</v>
      </c>
      <c r="E57" s="16" t="s">
        <v>192</v>
      </c>
    </row>
    <row r="58" spans="1:14" x14ac:dyDescent="0.2">
      <c r="A58" s="41" t="s">
        <v>294</v>
      </c>
      <c r="B58" s="42">
        <f>COUNTIFS('DATOS LIMPIOS'!$AA$5:$AA$493,"Menos de 100 mil")</f>
        <v>98</v>
      </c>
      <c r="C58" s="43">
        <f>AVERAGEIFS('DATOS LIMPIOS'!$M$5:$M$493,'DATOS LIMPIOS'!$AA$5:$AA$493,"Menos de 100 mil")</f>
        <v>29.980769348974142</v>
      </c>
      <c r="D58" s="43">
        <f>AVERAGEIFS('DATOS LIMPIOS'!$N$5:$N$493,'DATOS LIMPIOS'!$AA$5:$AA$493,"Menos de 100 mil")</f>
        <v>9.9605207063425709</v>
      </c>
      <c r="E58" s="43">
        <f>AVERAGE('DATOS LIMPIOS'!$M$5:$M$493)</f>
        <v>29.186613608563622</v>
      </c>
    </row>
    <row r="59" spans="1:14" x14ac:dyDescent="0.2">
      <c r="A59" s="41" t="s">
        <v>295</v>
      </c>
      <c r="B59" s="42">
        <f>COUNTIFS('DATOS LIMPIOS'!$AA$5:$AA$493,"100 a 200 mil")</f>
        <v>107</v>
      </c>
      <c r="C59" s="43">
        <f>AVERAGEIFS('DATOS LIMPIOS'!$M$5:$M$493,'DATOS LIMPIOS'!$AA$5:$AA$493,"100 a 200 mil")</f>
        <v>29.60985617806331</v>
      </c>
      <c r="D59" s="43">
        <f>AVERAGEIFS('DATOS LIMPIOS'!$N$5:$N$493,'DATOS LIMPIOS'!$AA$5:$AA$493,"100 a 200 mil")</f>
        <v>9.6964825096238378</v>
      </c>
      <c r="E59" s="43">
        <f>AVERAGE('DATOS LIMPIOS'!$M$5:$M$493)</f>
        <v>29.186613608563622</v>
      </c>
    </row>
    <row r="60" spans="1:14" x14ac:dyDescent="0.2">
      <c r="A60" s="41" t="s">
        <v>296</v>
      </c>
      <c r="B60" s="42">
        <f>COUNTIFS('DATOS LIMPIOS'!$AA$5:$AA$493,"200 a 300 mil")</f>
        <v>90</v>
      </c>
      <c r="C60" s="43">
        <f>AVERAGEIFS('DATOS LIMPIOS'!$M$5:$M$493,'DATOS LIMPIOS'!$AA$5:$AA$493,"200 a 300 mil")</f>
        <v>28.062715749396748</v>
      </c>
      <c r="D60" s="43">
        <f>AVERAGEIFS('DATOS LIMPIOS'!$N$5:$N$493,'DATOS LIMPIOS'!$AA$5:$AA$493,"200 a 300 mil")</f>
        <v>10.01458018948172</v>
      </c>
      <c r="E60" s="43">
        <f>AVERAGE('DATOS LIMPIOS'!$M$5:$M$493)</f>
        <v>29.186613608563622</v>
      </c>
    </row>
    <row r="61" spans="1:14" x14ac:dyDescent="0.2">
      <c r="A61" s="41" t="s">
        <v>297</v>
      </c>
      <c r="B61" s="42">
        <f>COUNTIFS('DATOS LIMPIOS'!$AA$5:$AA$493,"300 a 400 mil")</f>
        <v>100</v>
      </c>
      <c r="C61" s="43">
        <f>AVERAGEIFS('DATOS LIMPIOS'!$M$5:$M$493,'DATOS LIMPIOS'!$AA$5:$AA$493,"300 a 400 mil")</f>
        <v>28.693133567322299</v>
      </c>
      <c r="D61" s="43">
        <f>AVERAGEIFS('DATOS LIMPIOS'!$N$5:$N$493,'DATOS LIMPIOS'!$AA$5:$AA$493,"300 a 400 mil")</f>
        <v>9.6839602555006454</v>
      </c>
      <c r="E61" s="43">
        <f>AVERAGE('DATOS LIMPIOS'!$M$5:$M$493)</f>
        <v>29.186613608563622</v>
      </c>
    </row>
    <row r="62" spans="1:14" x14ac:dyDescent="0.2">
      <c r="A62" s="41" t="s">
        <v>298</v>
      </c>
      <c r="B62" s="42">
        <f>COUNTIFS('DATOS LIMPIOS'!$AA$5:$AA$493,"Más de 400 mil")</f>
        <v>94</v>
      </c>
      <c r="C62" s="43">
        <f>AVERAGEIFS('DATOS LIMPIOS'!$M$5:$M$493,'DATOS LIMPIOS'!$AA$5:$AA$493,"Más de 400 mil")</f>
        <v>29.477939076142921</v>
      </c>
      <c r="D62" s="43">
        <f>AVERAGEIFS('DATOS LIMPIOS'!$N$5:$N$493,'DATOS LIMPIOS'!$AA$5:$AA$493,"Más de 400 mil")</f>
        <v>9.6017790952663535</v>
      </c>
      <c r="E62" s="43">
        <f>AVERAGE('DATOS LIMPIOS'!$M$5:$M$493)</f>
        <v>29.186613608563622</v>
      </c>
    </row>
    <row r="64" spans="1:14" ht="15" customHeight="1" x14ac:dyDescent="0.2">
      <c r="A64" s="201" t="s">
        <v>196</v>
      </c>
      <c r="B64" s="201"/>
      <c r="C64" s="201"/>
      <c r="D64" s="202" t="s">
        <v>299</v>
      </c>
      <c r="E64" s="202"/>
      <c r="F64" s="202"/>
    </row>
    <row r="76" spans="1:14" ht="17.25" customHeight="1" x14ac:dyDescent="0.2">
      <c r="A76" s="197" t="s">
        <v>300</v>
      </c>
      <c r="B76" s="197"/>
      <c r="C76" s="197"/>
      <c r="D76" s="197"/>
      <c r="E76" s="197"/>
      <c r="F76" s="197"/>
      <c r="G76" s="197"/>
      <c r="H76" s="197"/>
      <c r="I76" s="197"/>
      <c r="J76" s="197"/>
      <c r="K76" s="197"/>
      <c r="L76" s="197"/>
      <c r="M76" s="197"/>
      <c r="N76" s="197"/>
    </row>
    <row r="77" spans="1:14" ht="15" customHeight="1" x14ac:dyDescent="0.2">
      <c r="A77" s="199" t="s">
        <v>301</v>
      </c>
      <c r="B77" s="199"/>
      <c r="C77" s="199"/>
      <c r="D77" s="199"/>
      <c r="E77" s="199"/>
      <c r="F77" s="199"/>
    </row>
    <row r="78" spans="1:14" x14ac:dyDescent="0.2">
      <c r="A78" s="199"/>
      <c r="B78" s="199"/>
      <c r="C78" s="199"/>
      <c r="D78" s="199"/>
      <c r="E78" s="199"/>
      <c r="F78" s="199"/>
    </row>
    <row r="79" spans="1:14" x14ac:dyDescent="0.2">
      <c r="A79" s="199"/>
      <c r="B79" s="199"/>
      <c r="C79" s="199"/>
      <c r="D79" s="199"/>
      <c r="E79" s="199"/>
      <c r="F79" s="199"/>
    </row>
    <row r="80" spans="1:14" x14ac:dyDescent="0.2">
      <c r="A80" s="200" t="s">
        <v>302</v>
      </c>
      <c r="B80" s="200"/>
      <c r="C80" s="200"/>
      <c r="D80" s="200"/>
      <c r="E80" s="200"/>
      <c r="F80" s="200"/>
    </row>
    <row r="81" spans="1:6" ht="30" customHeight="1" x14ac:dyDescent="0.2">
      <c r="A81" s="16" t="s">
        <v>303</v>
      </c>
      <c r="B81" s="16" t="s">
        <v>189</v>
      </c>
      <c r="C81" s="16" t="s">
        <v>190</v>
      </c>
      <c r="D81" s="16" t="s">
        <v>191</v>
      </c>
      <c r="E81" s="16" t="s">
        <v>192</v>
      </c>
    </row>
    <row r="82" spans="1:6" x14ac:dyDescent="0.2">
      <c r="A82" s="41" t="s">
        <v>304</v>
      </c>
      <c r="B82" s="42">
        <f>COUNTIFS('DATOS LIMPIOS'!$AD$5:$AD$493,"Primer tercio")</f>
        <v>122</v>
      </c>
      <c r="C82" s="43">
        <f>AVERAGEIFS('DATOS LIMPIOS'!$M$5:$M$493,'DATOS LIMPIOS'!$AD$5:$AD$493,"Primer tercio")</f>
        <v>30.869712266768619</v>
      </c>
      <c r="D82" s="43">
        <f>AVERAGEIFS('DATOS LIMPIOS'!$N$5:$N$493,'DATOS LIMPIOS'!$AD$5:$AD$493,"Primer tercio")</f>
        <v>9.9926913450809884</v>
      </c>
      <c r="E82" s="43">
        <f>AVERAGE('DATOS LIMPIOS'!$M$5:$M$493)</f>
        <v>29.186613608563622</v>
      </c>
    </row>
    <row r="83" spans="1:6" x14ac:dyDescent="0.2">
      <c r="A83" s="41" t="s">
        <v>305</v>
      </c>
      <c r="B83" s="42">
        <f>COUNTIFS('DATOS LIMPIOS'!$AD$5:$AD$493,"Medio")</f>
        <v>129</v>
      </c>
      <c r="C83" s="43">
        <f>AVERAGEIFS('DATOS LIMPIOS'!$M$5:$M$493,'DATOS LIMPIOS'!$AD$5:$AD$493,"Medio")</f>
        <v>28.891210897932119</v>
      </c>
      <c r="D83" s="43">
        <f>AVERAGEIFS('DATOS LIMPIOS'!$N$5:$N$493,'DATOS LIMPIOS'!$AD$5:$AD$493,"Medio")</f>
        <v>9.4437398825478063</v>
      </c>
      <c r="E83" s="43">
        <f>AVERAGE('DATOS LIMPIOS'!$M$5:$M$493)</f>
        <v>29.186613608563622</v>
      </c>
    </row>
    <row r="84" spans="1:6" x14ac:dyDescent="0.2">
      <c r="A84" s="41" t="s">
        <v>306</v>
      </c>
      <c r="B84" s="42">
        <f>COUNTIFS('DATOS LIMPIOS'!$AD$5:$AD$493,"Último tercio")</f>
        <v>138</v>
      </c>
      <c r="C84" s="43">
        <f>AVERAGEIFS('DATOS LIMPIOS'!$M$5:$M$493,'DATOS LIMPIOS'!$AD$5:$AD$493,"Último tercio")</f>
        <v>30.565450297220629</v>
      </c>
      <c r="D84" s="43">
        <f>AVERAGEIFS('DATOS LIMPIOS'!$N$5:$N$493,'DATOS LIMPIOS'!$AD$5:$AD$493,"Último tercio")</f>
        <v>10.257870619481569</v>
      </c>
      <c r="E84" s="43">
        <f>AVERAGE('DATOS LIMPIOS'!$M$5:$M$493)</f>
        <v>29.186613608563622</v>
      </c>
    </row>
    <row r="86" spans="1:6" ht="15" customHeight="1" x14ac:dyDescent="0.2">
      <c r="A86" s="201" t="s">
        <v>196</v>
      </c>
      <c r="B86" s="201"/>
      <c r="C86" s="201"/>
      <c r="D86" s="202" t="s">
        <v>307</v>
      </c>
      <c r="E86" s="202"/>
      <c r="F86" s="202"/>
    </row>
    <row r="100" spans="1:14" ht="17.25" customHeight="1" x14ac:dyDescent="0.2">
      <c r="A100" s="197" t="s">
        <v>308</v>
      </c>
      <c r="B100" s="197"/>
      <c r="C100" s="197"/>
      <c r="D100" s="197"/>
      <c r="E100" s="197"/>
      <c r="F100" s="197"/>
      <c r="G100" s="197"/>
      <c r="H100" s="197"/>
      <c r="I100" s="197"/>
      <c r="J100" s="197"/>
      <c r="K100" s="197"/>
      <c r="L100" s="197"/>
      <c r="M100" s="197"/>
      <c r="N100" s="197"/>
    </row>
    <row r="101" spans="1:14" ht="15" customHeight="1" x14ac:dyDescent="0.2">
      <c r="A101" s="199" t="s">
        <v>309</v>
      </c>
      <c r="B101" s="199"/>
      <c r="C101" s="199"/>
      <c r="D101" s="199"/>
      <c r="E101" s="199"/>
      <c r="F101" s="199"/>
    </row>
    <row r="102" spans="1:14" x14ac:dyDescent="0.2">
      <c r="A102" s="199"/>
      <c r="B102" s="199"/>
      <c r="C102" s="199"/>
      <c r="D102" s="199"/>
      <c r="E102" s="199"/>
      <c r="F102" s="199"/>
    </row>
    <row r="103" spans="1:14" x14ac:dyDescent="0.2">
      <c r="A103" s="199"/>
      <c r="B103" s="199"/>
      <c r="C103" s="199"/>
      <c r="D103" s="199"/>
      <c r="E103" s="199"/>
      <c r="F103" s="199"/>
    </row>
    <row r="104" spans="1:14" x14ac:dyDescent="0.2">
      <c r="A104" s="200" t="s">
        <v>310</v>
      </c>
      <c r="B104" s="200"/>
      <c r="C104" s="200"/>
      <c r="D104" s="200"/>
      <c r="E104" s="200"/>
      <c r="F104" s="200"/>
    </row>
    <row r="105" spans="1:14" ht="30" customHeight="1" x14ac:dyDescent="0.2">
      <c r="A105" s="16" t="s">
        <v>311</v>
      </c>
      <c r="B105" s="16" t="s">
        <v>312</v>
      </c>
    </row>
    <row r="106" spans="1:14" x14ac:dyDescent="0.2">
      <c r="A106" s="41" t="s">
        <v>313</v>
      </c>
      <c r="B106" s="45">
        <f>CORREL('DATOS LIMPIOS'!$I$5:$I$493,'DATOS LIMPIOS'!$L$5:$L$493)</f>
        <v>3.7675971902607824E-2</v>
      </c>
    </row>
    <row r="107" spans="1:14" x14ac:dyDescent="0.2">
      <c r="A107" s="41" t="s">
        <v>314</v>
      </c>
      <c r="B107" s="45">
        <f>CORREL('DATOS LIMPIOS'!$G$5:$G$493,'DATOS LIMPIOS'!$L$5:$L$493)</f>
        <v>2.6256942929764628E-2</v>
      </c>
    </row>
    <row r="108" spans="1:14" x14ac:dyDescent="0.2">
      <c r="A108" s="41" t="s">
        <v>315</v>
      </c>
      <c r="B108" s="45">
        <f>CORREL('DATOS LIMPIOS'!$I$5:$I$493,'DATOS LIMPIOS'!$J$5:$J$493)</f>
        <v>-2.1998603521586429E-2</v>
      </c>
    </row>
    <row r="109" spans="1:14" x14ac:dyDescent="0.2">
      <c r="A109" s="41" t="s">
        <v>316</v>
      </c>
      <c r="B109" s="45">
        <f>CORREL('DATOS LIMPIOS'!$G$5:$G$493,'DATOS LIMPIOS'!$K$5:$K$493)</f>
        <v>-6.483227905266716E-3</v>
      </c>
    </row>
    <row r="111" spans="1:14" ht="15" customHeight="1" x14ac:dyDescent="0.2">
      <c r="A111" s="201" t="s">
        <v>196</v>
      </c>
      <c r="B111" s="201"/>
      <c r="C111" s="201"/>
      <c r="D111" s="202" t="s">
        <v>317</v>
      </c>
      <c r="E111" s="202"/>
      <c r="F111" s="202"/>
    </row>
  </sheetData>
  <mergeCells count="25">
    <mergeCell ref="A100:N100"/>
    <mergeCell ref="A101:F103"/>
    <mergeCell ref="A104:F104"/>
    <mergeCell ref="A111:C111"/>
    <mergeCell ref="D111:F111"/>
    <mergeCell ref="A76:N76"/>
    <mergeCell ref="A77:F79"/>
    <mergeCell ref="A80:F80"/>
    <mergeCell ref="A86:C86"/>
    <mergeCell ref="D86:F86"/>
    <mergeCell ref="A52:N52"/>
    <mergeCell ref="A53:F55"/>
    <mergeCell ref="A56:F56"/>
    <mergeCell ref="A64:C64"/>
    <mergeCell ref="D64:F64"/>
    <mergeCell ref="A28:N28"/>
    <mergeCell ref="A29:F31"/>
    <mergeCell ref="A32:F32"/>
    <mergeCell ref="A39:C39"/>
    <mergeCell ref="D39:F39"/>
    <mergeCell ref="A4:N4"/>
    <mergeCell ref="A5:F7"/>
    <mergeCell ref="A8:F8"/>
    <mergeCell ref="A17:C17"/>
    <mergeCell ref="D17:F17"/>
  </mergeCells>
  <pageMargins left="0.75" right="0.75" top="1" bottom="1" header="0.511811023622047" footer="0.511811023622047"/>
  <pageSetup paperSize="9" orientation="portrait" horizontalDpi="300" verticalDpi="30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01C1A"/>
  </sheetPr>
  <dimension ref="A1:O184"/>
  <sheetViews>
    <sheetView showGridLines="0" tabSelected="1" topLeftCell="A112" zoomScaleNormal="100" workbookViewId="0">
      <selection activeCell="A134" sqref="A134:C134"/>
    </sheetView>
  </sheetViews>
  <sheetFormatPr baseColWidth="10" defaultColWidth="8.6640625" defaultRowHeight="15" x14ac:dyDescent="0.2"/>
  <cols>
    <col min="1" max="1" width="81.1640625" bestFit="1" customWidth="1"/>
    <col min="2" max="6" width="13" customWidth="1"/>
    <col min="7" max="7" width="3" customWidth="1"/>
    <col min="8" max="15" width="11" customWidth="1"/>
  </cols>
  <sheetData>
    <row r="1" spans="1:15" ht="30" customHeight="1" x14ac:dyDescent="0.3">
      <c r="A1" s="37" t="s">
        <v>318</v>
      </c>
      <c r="B1" s="38"/>
      <c r="C1" s="38"/>
      <c r="D1" s="38"/>
      <c r="E1" s="38"/>
      <c r="F1" s="38"/>
      <c r="G1" s="38"/>
      <c r="H1" s="38"/>
      <c r="I1" s="38"/>
      <c r="J1" s="38"/>
      <c r="K1" s="38"/>
      <c r="L1" s="38"/>
      <c r="M1" s="38"/>
      <c r="N1" s="38"/>
      <c r="O1" s="38"/>
    </row>
    <row r="2" spans="1:15" ht="27.75" customHeight="1" x14ac:dyDescent="0.2">
      <c r="A2" s="39" t="s">
        <v>319</v>
      </c>
      <c r="B2" s="40"/>
      <c r="C2" s="40"/>
      <c r="D2" s="40"/>
      <c r="E2" s="40"/>
      <c r="F2" s="40"/>
      <c r="G2" s="40"/>
      <c r="H2" s="40"/>
      <c r="I2" s="40"/>
      <c r="J2" s="40"/>
      <c r="K2" s="40"/>
      <c r="L2" s="40"/>
      <c r="M2" s="40"/>
      <c r="N2" s="40"/>
      <c r="O2" s="40"/>
    </row>
    <row r="4" spans="1:15" ht="17.25" customHeight="1" x14ac:dyDescent="0.2">
      <c r="A4" s="197" t="s">
        <v>320</v>
      </c>
      <c r="B4" s="197"/>
      <c r="C4" s="197"/>
      <c r="D4" s="197"/>
      <c r="E4" s="197"/>
      <c r="F4" s="197"/>
      <c r="G4" s="197"/>
      <c r="H4" s="197"/>
      <c r="I4" s="197"/>
      <c r="J4" s="197"/>
      <c r="K4" s="197"/>
      <c r="L4" s="197"/>
      <c r="M4" s="197"/>
      <c r="N4" s="197"/>
    </row>
    <row r="5" spans="1:15" ht="15" customHeight="1" x14ac:dyDescent="0.2">
      <c r="A5" s="199" t="s">
        <v>321</v>
      </c>
      <c r="B5" s="199"/>
      <c r="C5" s="199"/>
      <c r="D5" s="199"/>
      <c r="E5" s="199"/>
      <c r="F5" s="199"/>
    </row>
    <row r="6" spans="1:15" x14ac:dyDescent="0.2">
      <c r="A6" s="199"/>
      <c r="B6" s="199"/>
      <c r="C6" s="199"/>
      <c r="D6" s="199"/>
      <c r="E6" s="199"/>
      <c r="F6" s="199"/>
    </row>
    <row r="7" spans="1:15" x14ac:dyDescent="0.2">
      <c r="A7" s="199"/>
      <c r="B7" s="199"/>
      <c r="C7" s="199"/>
      <c r="D7" s="199"/>
      <c r="E7" s="199"/>
      <c r="F7" s="199"/>
    </row>
    <row r="8" spans="1:15" x14ac:dyDescent="0.2">
      <c r="A8" s="200" t="s">
        <v>322</v>
      </c>
      <c r="B8" s="200"/>
      <c r="C8" s="200"/>
      <c r="D8" s="200"/>
      <c r="E8" s="200"/>
      <c r="F8" s="200"/>
    </row>
    <row r="9" spans="1:15" ht="30" customHeight="1" x14ac:dyDescent="0.2">
      <c r="A9" s="16" t="s">
        <v>323</v>
      </c>
      <c r="B9" s="16" t="s">
        <v>324</v>
      </c>
    </row>
    <row r="10" spans="1:15" x14ac:dyDescent="0.2">
      <c r="A10" s="41" t="s">
        <v>325</v>
      </c>
      <c r="B10" s="43">
        <f>(SUMPRODUCT(('DATOS LIMPIOS'!$M$5:$M$493-AVERAGE('DATOS LIMPIOS'!$M$5:$M$493))^2)-SUMPRODUCT(('DATOS LIMPIOS'!$M$5:$M$493-'DATOS LIMPIOS'!$Q$5:$Q$493)^2))/SUMPRODUCT(('DATOS LIMPIOS'!$M$5:$M$493-AVERAGE('DATOS LIMPIOS'!$M$5:$M$493))^2)*100</f>
        <v>47.41037221266307</v>
      </c>
    </row>
    <row r="11" spans="1:15" x14ac:dyDescent="0.2">
      <c r="A11" s="41" t="s">
        <v>326</v>
      </c>
      <c r="B11" s="43">
        <f>(SUMPRODUCT(('DATOS LIMPIOS'!$M$5:$M$493-AVERAGE('DATOS LIMPIOS'!$M$5:$M$493))^2)-SUMPRODUCT(('DATOS LIMPIOS'!$M$5:$M$493-'DATOS LIMPIOS'!$R$5:$R$493)^2))/SUMPRODUCT(('DATOS LIMPIOS'!$M$5:$M$493-AVERAGE('DATOS LIMPIOS'!$M$5:$M$493))^2)*100</f>
        <v>1.3828802115824816</v>
      </c>
    </row>
    <row r="12" spans="1:15" x14ac:dyDescent="0.2">
      <c r="A12" s="41" t="s">
        <v>327</v>
      </c>
      <c r="B12" s="43">
        <f>SUMPRODUCT((AVERAGEIF('DATOS LIMPIOS'!$V$5:$V$493,'DATOS LIMPIOS'!$V$5:$V$493,'DATOS LIMPIOS'!$M$5:$M$493)-AVERAGE('DATOS LIMPIOS'!$M$5:$M$493))^2)/SUMPRODUCT(('DATOS LIMPIOS'!$M$5:$M$493-AVERAGE('DATOS LIMPIOS'!$M$5:$M$493))^2)*100</f>
        <v>1.0467797552456561</v>
      </c>
    </row>
    <row r="13" spans="1:15" x14ac:dyDescent="0.2">
      <c r="A13" s="41" t="s">
        <v>328</v>
      </c>
      <c r="B13" s="43">
        <f>SUMPRODUCT((AVERAGEIF('DATOS LIMPIOS'!$U$5:$U$493,'DATOS LIMPIOS'!$U$5:$U$493,'DATOS LIMPIOS'!$M$5:$M$493)-AVERAGE('DATOS LIMPIOS'!$M$5:$M$493))^2)/SUMPRODUCT(('DATOS LIMPIOS'!$M$5:$M$493-AVERAGE('DATOS LIMPIOS'!$M$5:$M$493))^2)*100</f>
        <v>0.52913857855511603</v>
      </c>
    </row>
    <row r="14" spans="1:15" x14ac:dyDescent="0.2">
      <c r="A14" s="41" t="s">
        <v>329</v>
      </c>
      <c r="B14" s="43">
        <f>SUMPRODUCT((AVERAGEIF('DATOS LIMPIOS'!$T$5:$T$493,'DATOS LIMPIOS'!$T$5:$T$493,'DATOS LIMPIOS'!$M$5:$M$493)-AVERAGE('DATOS LIMPIOS'!$M$5:$M$493))^2)/SUMPRODUCT(('DATOS LIMPIOS'!$M$5:$M$493-AVERAGE('DATOS LIMPIOS'!$M$5:$M$493))^2)*100</f>
        <v>9.4078929895030472E-2</v>
      </c>
    </row>
    <row r="15" spans="1:15" x14ac:dyDescent="0.2">
      <c r="A15" s="41" t="s">
        <v>330</v>
      </c>
      <c r="B15" s="43">
        <f>SUMPRODUCT((AVERAGEIF('DATOS LIMPIOS'!$W$5:$W$493,'DATOS LIMPIOS'!$W$5:$W$493,'DATOS LIMPIOS'!$M$5:$M$493)-AVERAGE('DATOS LIMPIOS'!$M$5:$M$493))^2)/SUMPRODUCT(('DATOS LIMPIOS'!$M$5:$M$493-AVERAGE('DATOS LIMPIOS'!$M$5:$M$493))^2)*100</f>
        <v>0.17975665331537036</v>
      </c>
    </row>
    <row r="17" spans="1:14" ht="15" customHeight="1" x14ac:dyDescent="0.2">
      <c r="A17" s="203" t="s">
        <v>331</v>
      </c>
      <c r="B17" s="203"/>
      <c r="C17" s="203"/>
      <c r="D17" s="202" t="s">
        <v>332</v>
      </c>
      <c r="E17" s="202"/>
      <c r="F17" s="202"/>
    </row>
    <row r="28" spans="1:14" ht="17.25" customHeight="1" x14ac:dyDescent="0.2">
      <c r="A28" s="197" t="s">
        <v>333</v>
      </c>
      <c r="B28" s="197"/>
      <c r="C28" s="197"/>
      <c r="D28" s="197"/>
      <c r="E28" s="197"/>
      <c r="F28" s="197"/>
      <c r="G28" s="197"/>
      <c r="H28" s="197"/>
      <c r="I28" s="197"/>
      <c r="J28" s="197"/>
      <c r="K28" s="197"/>
      <c r="L28" s="197"/>
      <c r="M28" s="197"/>
      <c r="N28" s="197"/>
    </row>
    <row r="29" spans="1:14" ht="15" customHeight="1" x14ac:dyDescent="0.2">
      <c r="A29" s="199" t="s">
        <v>334</v>
      </c>
      <c r="B29" s="199"/>
      <c r="C29" s="199"/>
      <c r="D29" s="199"/>
      <c r="E29" s="199"/>
      <c r="F29" s="199"/>
    </row>
    <row r="30" spans="1:14" x14ac:dyDescent="0.2">
      <c r="A30" s="199"/>
      <c r="B30" s="199"/>
      <c r="C30" s="199"/>
      <c r="D30" s="199"/>
      <c r="E30" s="199"/>
      <c r="F30" s="199"/>
    </row>
    <row r="31" spans="1:14" x14ac:dyDescent="0.2">
      <c r="A31" s="199"/>
      <c r="B31" s="199"/>
      <c r="C31" s="199"/>
      <c r="D31" s="199"/>
      <c r="E31" s="199"/>
      <c r="F31" s="199"/>
    </row>
    <row r="32" spans="1:14" x14ac:dyDescent="0.2">
      <c r="A32" s="200" t="s">
        <v>335</v>
      </c>
      <c r="B32" s="200"/>
      <c r="C32" s="200"/>
      <c r="D32" s="200"/>
      <c r="E32" s="200"/>
      <c r="F32" s="200"/>
    </row>
    <row r="33" spans="1:3" ht="30" customHeight="1" x14ac:dyDescent="0.2">
      <c r="A33" s="16" t="s">
        <v>336</v>
      </c>
      <c r="B33" s="16" t="s">
        <v>337</v>
      </c>
      <c r="C33" s="16" t="s">
        <v>338</v>
      </c>
    </row>
    <row r="34" spans="1:3" x14ac:dyDescent="0.2">
      <c r="A34" s="41" t="s">
        <v>339</v>
      </c>
      <c r="B34" s="43">
        <f>SUMIFS(_calculos!$T$4:$T$69,_calculos!$S$4:$S$69,"5 mejores")/SUMIFS(_calculos!$U$4:$U$69,_calculos!$S$4:$S$69,"5 mejores")</f>
        <v>39.033106879410646</v>
      </c>
      <c r="C34" s="43">
        <f>SUMIFS(_calculos!$T$4:$T$69,_calculos!$S$4:$S$69,"5 peores")/SUMIFS(_calculos!$U$4:$U$69,_calculos!$S$4:$S$69,"5 peores")</f>
        <v>20.596390593465472</v>
      </c>
    </row>
    <row r="35" spans="1:3" x14ac:dyDescent="0.2">
      <c r="A35" s="41" t="s">
        <v>340</v>
      </c>
      <c r="B35" s="43">
        <f>SUMIFS(_calculos!$AB$4:$AB$69,_calculos!$AA$4:$AA$69,"5 mejores")/SUMIFS(_calculos!$AC$4:$AC$69,_calculos!$AA$4:$AA$69,"5 mejores")</f>
        <v>38.936538712598711</v>
      </c>
      <c r="C35" s="43">
        <f>SUMIFS(_calculos!$AB$4:$AB$69,_calculos!$AA$4:$AA$69,"5 peores")/SUMIFS(_calculos!$AC$4:$AC$69,_calculos!$AA$4:$AA$69,"5 peores")</f>
        <v>16.313814163332356</v>
      </c>
    </row>
    <row r="36" spans="1:3" x14ac:dyDescent="0.2">
      <c r="A36" s="41" t="s">
        <v>341</v>
      </c>
      <c r="B36" s="43">
        <f>SUMIFS(_calculos!$AJ$4:$AJ$69,_calculos!$AI$4:$AI$69,"5 mejores")/SUMIFS(_calculos!$AK$4:$AK$69,_calculos!$AI$4:$AI$69,"5 mejores")</f>
        <v>39.550180419753673</v>
      </c>
      <c r="C36" s="43">
        <f>SUMIFS(_calculos!$AJ$4:$AJ$69,_calculos!$AI$4:$AI$69,"5 peores")/SUMIFS(_calculos!$AK$4:$AK$69,_calculos!$AI$4:$AI$69,"5 peores")</f>
        <v>16.525879046600455</v>
      </c>
    </row>
    <row r="38" spans="1:3" ht="15" customHeight="1" x14ac:dyDescent="0.2">
      <c r="A38" s="203" t="s">
        <v>331</v>
      </c>
      <c r="B38" s="203"/>
      <c r="C38" s="203"/>
    </row>
    <row r="52" spans="1:14" ht="17.25" customHeight="1" x14ac:dyDescent="0.2">
      <c r="A52" s="197" t="s">
        <v>342</v>
      </c>
      <c r="B52" s="197"/>
      <c r="C52" s="197"/>
      <c r="D52" s="197"/>
      <c r="E52" s="197"/>
      <c r="F52" s="197"/>
      <c r="G52" s="197"/>
      <c r="H52" s="197"/>
      <c r="I52" s="197"/>
      <c r="J52" s="197"/>
      <c r="K52" s="197"/>
      <c r="L52" s="197"/>
      <c r="M52" s="197"/>
      <c r="N52" s="197"/>
    </row>
    <row r="53" spans="1:14" ht="15" customHeight="1" x14ac:dyDescent="0.2">
      <c r="A53" s="199" t="s">
        <v>343</v>
      </c>
      <c r="B53" s="199"/>
      <c r="C53" s="199"/>
      <c r="D53" s="199"/>
      <c r="E53" s="199"/>
      <c r="F53" s="199"/>
    </row>
    <row r="54" spans="1:14" x14ac:dyDescent="0.2">
      <c r="A54" s="199"/>
      <c r="B54" s="199"/>
      <c r="C54" s="199"/>
      <c r="D54" s="199"/>
      <c r="E54" s="199"/>
      <c r="F54" s="199"/>
    </row>
    <row r="55" spans="1:14" x14ac:dyDescent="0.2">
      <c r="A55" s="199"/>
      <c r="B55" s="199"/>
      <c r="C55" s="199"/>
      <c r="D55" s="199"/>
      <c r="E55" s="199"/>
      <c r="F55" s="199"/>
    </row>
    <row r="56" spans="1:14" x14ac:dyDescent="0.2">
      <c r="A56" s="200" t="s">
        <v>344</v>
      </c>
      <c r="B56" s="200"/>
      <c r="C56" s="200"/>
      <c r="D56" s="200"/>
      <c r="E56" s="200"/>
      <c r="F56" s="200"/>
    </row>
    <row r="57" spans="1:14" ht="30" customHeight="1" x14ac:dyDescent="0.2">
      <c r="A57" s="16" t="s">
        <v>345</v>
      </c>
      <c r="B57" s="16" t="s">
        <v>189</v>
      </c>
      <c r="C57" s="16" t="s">
        <v>190</v>
      </c>
      <c r="D57" s="16" t="s">
        <v>191</v>
      </c>
    </row>
    <row r="58" spans="1:14" x14ac:dyDescent="0.2">
      <c r="A58" s="41" t="s">
        <v>346</v>
      </c>
      <c r="B58" s="42">
        <f>COUNTIF('DATOS LIMPIOS'!$AT$5:$AT$493,"Con cifra concreta")</f>
        <v>21</v>
      </c>
      <c r="C58" s="43">
        <f>AVERAGEIF('DATOS LIMPIOS'!$AT$5:$AT$493,"Con cifra concreta",'DATOS LIMPIOS'!$M$5:$M$493)</f>
        <v>41.593592985418489</v>
      </c>
      <c r="D58" s="43">
        <f>AVERAGEIF('DATOS LIMPIOS'!$AT$5:$AT$493,"Con cifra concreta",'DATOS LIMPIOS'!$N$5:$N$493)</f>
        <v>10.640007862164545</v>
      </c>
    </row>
    <row r="59" spans="1:14" x14ac:dyDescent="0.2">
      <c r="A59" s="41" t="s">
        <v>347</v>
      </c>
      <c r="B59" s="42">
        <f>COUNTIF('DATOS LIMPIOS'!$AT$5:$AT$493,"Recompensa o sorpresa")</f>
        <v>130</v>
      </c>
      <c r="C59" s="43">
        <f>AVERAGEIF('DATOS LIMPIOS'!$AT$5:$AT$493,"Recompensa o sorpresa",'DATOS LIMPIOS'!$M$5:$M$493)</f>
        <v>29.134330954436024</v>
      </c>
      <c r="D59" s="43">
        <f>AVERAGEIF('DATOS LIMPIOS'!$AT$5:$AT$493,"Recompensa o sorpresa",'DATOS LIMPIOS'!$N$5:$N$493)</f>
        <v>9.5944866979263121</v>
      </c>
    </row>
    <row r="60" spans="1:14" x14ac:dyDescent="0.2">
      <c r="A60" s="41" t="s">
        <v>348</v>
      </c>
      <c r="B60" s="42">
        <f>COUNTIF('DATOS LIMPIOS'!$AT$5:$AT$493,"Otro: beneficio o novedad")</f>
        <v>267</v>
      </c>
      <c r="C60" s="43">
        <f>AVERAGEIF('DATOS LIMPIOS'!$AT$5:$AT$493,"Otro: beneficio o novedad",'DATOS LIMPIOS'!$M$5:$M$493)</f>
        <v>30.545097730144708</v>
      </c>
      <c r="D60" s="43">
        <f>AVERAGEIF('DATOS LIMPIOS'!$AT$5:$AT$493,"Otro: beneficio o novedad",'DATOS LIMPIOS'!$N$5:$N$493)</f>
        <v>10.270903140702199</v>
      </c>
    </row>
    <row r="61" spans="1:14" x14ac:dyDescent="0.2">
      <c r="A61" s="41" t="s">
        <v>349</v>
      </c>
      <c r="B61" s="42">
        <f>COUNTIF('DATOS LIMPIOS'!$AT$5:$AT$493,"Solo urgencia, sin cifra")</f>
        <v>61</v>
      </c>
      <c r="C61" s="43">
        <f>AVERAGEIF('DATOS LIMPIOS'!$AT$5:$AT$493,"Solo urgencia, sin cifra",'DATOS LIMPIOS'!$M$5:$M$493)</f>
        <v>21.257415548708167</v>
      </c>
      <c r="D61" s="43">
        <f>AVERAGEIF('DATOS LIMPIOS'!$AT$5:$AT$493,"Solo urgencia, sin cifra",'DATOS LIMPIOS'!$N$5:$N$493)</f>
        <v>8.0652296890237913</v>
      </c>
    </row>
    <row r="62" spans="1:14" x14ac:dyDescent="0.2">
      <c r="A62" s="41" t="s">
        <v>350</v>
      </c>
      <c r="B62" s="42">
        <f>COUNTIF('DATOS LIMPIOS'!$AT$5:$AT$493,"Pregunta abierta")</f>
        <v>10</v>
      </c>
      <c r="C62" s="43">
        <f>AVERAGEIF('DATOS LIMPIOS'!$AT$5:$AT$493,"Pregunta abierta",'DATOS LIMPIOS'!$M$5:$M$493)</f>
        <v>15.908213539730554</v>
      </c>
      <c r="D62" s="43">
        <f>AVERAGEIF('DATOS LIMPIOS'!$AT$5:$AT$493,"Pregunta abierta",'DATOS LIMPIOS'!$N$5:$N$493)</f>
        <v>8.08965498759658</v>
      </c>
    </row>
    <row r="64" spans="1:14" ht="15" customHeight="1" x14ac:dyDescent="0.2">
      <c r="A64" s="203" t="s">
        <v>331</v>
      </c>
      <c r="B64" s="203"/>
      <c r="C64" s="203"/>
      <c r="D64" s="202" t="s">
        <v>332</v>
      </c>
      <c r="E64" s="202"/>
      <c r="F64" s="202"/>
    </row>
    <row r="65" spans="1:14" ht="15" customHeight="1" x14ac:dyDescent="0.2">
      <c r="A65" s="202" t="s">
        <v>351</v>
      </c>
      <c r="B65" s="202"/>
      <c r="C65" s="202"/>
      <c r="D65" s="202"/>
      <c r="E65" s="202"/>
      <c r="F65" s="202"/>
    </row>
    <row r="66" spans="1:14" x14ac:dyDescent="0.2">
      <c r="A66" s="202"/>
      <c r="B66" s="202"/>
      <c r="C66" s="202"/>
      <c r="D66" s="202"/>
      <c r="E66" s="202"/>
      <c r="F66" s="202"/>
    </row>
    <row r="67" spans="1:14" x14ac:dyDescent="0.2">
      <c r="A67" s="202"/>
      <c r="B67" s="202"/>
      <c r="C67" s="202"/>
      <c r="D67" s="202"/>
      <c r="E67" s="202"/>
      <c r="F67" s="202"/>
    </row>
    <row r="76" spans="1:14" ht="17.25" customHeight="1" x14ac:dyDescent="0.2">
      <c r="A76" s="197" t="s">
        <v>352</v>
      </c>
      <c r="B76" s="197"/>
      <c r="C76" s="197"/>
      <c r="D76" s="197"/>
      <c r="E76" s="197"/>
      <c r="F76" s="197"/>
      <c r="G76" s="197"/>
      <c r="H76" s="197"/>
      <c r="I76" s="197"/>
      <c r="J76" s="197"/>
      <c r="K76" s="197"/>
      <c r="L76" s="197"/>
      <c r="M76" s="197"/>
      <c r="N76" s="197"/>
    </row>
    <row r="77" spans="1:14" ht="15" customHeight="1" x14ac:dyDescent="0.2">
      <c r="A77" s="199" t="s">
        <v>353</v>
      </c>
      <c r="B77" s="199"/>
      <c r="C77" s="199"/>
      <c r="D77" s="199"/>
      <c r="E77" s="199"/>
      <c r="F77" s="199"/>
    </row>
    <row r="78" spans="1:14" x14ac:dyDescent="0.2">
      <c r="A78" s="199"/>
      <c r="B78" s="199"/>
      <c r="C78" s="199"/>
      <c r="D78" s="199"/>
      <c r="E78" s="199"/>
      <c r="F78" s="199"/>
    </row>
    <row r="79" spans="1:14" x14ac:dyDescent="0.2">
      <c r="A79" s="199"/>
      <c r="B79" s="199"/>
      <c r="C79" s="199"/>
      <c r="D79" s="199"/>
      <c r="E79" s="199"/>
      <c r="F79" s="199"/>
    </row>
    <row r="80" spans="1:14" x14ac:dyDescent="0.2">
      <c r="A80" s="200" t="s">
        <v>354</v>
      </c>
      <c r="B80" s="200"/>
      <c r="C80" s="200"/>
      <c r="D80" s="200"/>
      <c r="E80" s="200"/>
      <c r="F80" s="200"/>
    </row>
    <row r="81" spans="1:6" ht="30" customHeight="1" x14ac:dyDescent="0.2">
      <c r="A81" s="16" t="s">
        <v>188</v>
      </c>
      <c r="B81" s="16" t="s">
        <v>355</v>
      </c>
      <c r="C81" s="16" t="s">
        <v>356</v>
      </c>
    </row>
    <row r="82" spans="1:6" x14ac:dyDescent="0.2">
      <c r="A82" s="41" t="s">
        <v>193</v>
      </c>
      <c r="B82" s="43">
        <f>AVERAGEIFS('DATOS LIMPIOS'!$M$5:$M$493,'DATOS LIMPIOS'!$T$5:$T$493,"Agosto",'DATOS LIMPIOS'!$AH$5:$AH$493,"No")</f>
        <v>32.555381701825404</v>
      </c>
      <c r="C82" s="43">
        <f>AVERAGEIFS('DATOS LIMPIOS'!$M$5:$M$493,'DATOS LIMPIOS'!$T$5:$T$493,"Agosto",'DATOS LIMPIOS'!$AH$5:$AH$493,"Sí")</f>
        <v>22.687529323820609</v>
      </c>
    </row>
    <row r="83" spans="1:6" x14ac:dyDescent="0.2">
      <c r="A83" s="41" t="s">
        <v>194</v>
      </c>
      <c r="B83" s="43">
        <f>AVERAGEIFS('DATOS LIMPIOS'!$M$5:$M$493,'DATOS LIMPIOS'!$T$5:$T$493,"Septiembre",'DATOS LIMPIOS'!$AH$5:$AH$493,"No")</f>
        <v>32.878149610269382</v>
      </c>
      <c r="C83" s="43">
        <f>AVERAGEIFS('DATOS LIMPIOS'!$M$5:$M$493,'DATOS LIMPIOS'!$T$5:$T$493,"Septiembre",'DATOS LIMPIOS'!$AH$5:$AH$493,"Sí")</f>
        <v>16.127339318316405</v>
      </c>
    </row>
    <row r="84" spans="1:6" x14ac:dyDescent="0.2">
      <c r="A84" s="41" t="s">
        <v>195</v>
      </c>
      <c r="B84" s="43">
        <f>AVERAGEIFS('DATOS LIMPIOS'!$M$5:$M$493,'DATOS LIMPIOS'!$T$5:$T$493,"Octubre",'DATOS LIMPIOS'!$AH$5:$AH$493,"No")</f>
        <v>33.164493821488726</v>
      </c>
      <c r="C84" s="43">
        <f>AVERAGEIFS('DATOS LIMPIOS'!$M$5:$M$493,'DATOS LIMPIOS'!$T$5:$T$493,"Octubre",'DATOS LIMPIOS'!$AH$5:$AH$493,"Sí")</f>
        <v>19.532131265132833</v>
      </c>
    </row>
    <row r="86" spans="1:6" ht="15" customHeight="1" x14ac:dyDescent="0.2">
      <c r="A86" s="203" t="s">
        <v>331</v>
      </c>
      <c r="B86" s="203"/>
      <c r="C86" s="203"/>
      <c r="D86" s="202" t="s">
        <v>332</v>
      </c>
      <c r="E86" s="202"/>
      <c r="F86" s="202"/>
    </row>
    <row r="100" spans="1:14" ht="17.25" customHeight="1" x14ac:dyDescent="0.2">
      <c r="A100" s="197" t="s">
        <v>357</v>
      </c>
      <c r="B100" s="197"/>
      <c r="C100" s="197"/>
      <c r="D100" s="197"/>
      <c r="E100" s="197"/>
      <c r="F100" s="197"/>
      <c r="G100" s="197"/>
      <c r="H100" s="197"/>
      <c r="I100" s="197"/>
      <c r="J100" s="197"/>
      <c r="K100" s="197"/>
      <c r="L100" s="197"/>
      <c r="M100" s="197"/>
      <c r="N100" s="197"/>
    </row>
    <row r="101" spans="1:14" ht="15" customHeight="1" x14ac:dyDescent="0.2">
      <c r="A101" s="199" t="s">
        <v>358</v>
      </c>
      <c r="B101" s="199"/>
      <c r="C101" s="199"/>
      <c r="D101" s="199"/>
      <c r="E101" s="199"/>
      <c r="F101" s="199"/>
    </row>
    <row r="102" spans="1:14" x14ac:dyDescent="0.2">
      <c r="A102" s="199"/>
      <c r="B102" s="199"/>
      <c r="C102" s="199"/>
      <c r="D102" s="199"/>
      <c r="E102" s="199"/>
      <c r="F102" s="199"/>
    </row>
    <row r="103" spans="1:14" x14ac:dyDescent="0.2">
      <c r="A103" s="199"/>
      <c r="B103" s="199"/>
      <c r="C103" s="199"/>
      <c r="D103" s="199"/>
      <c r="E103" s="199"/>
      <c r="F103" s="199"/>
    </row>
    <row r="104" spans="1:14" x14ac:dyDescent="0.2">
      <c r="A104" s="200" t="s">
        <v>359</v>
      </c>
      <c r="B104" s="200"/>
      <c r="C104" s="200"/>
      <c r="D104" s="200"/>
      <c r="E104" s="200"/>
      <c r="F104" s="200"/>
    </row>
    <row r="105" spans="1:14" ht="30" customHeight="1" x14ac:dyDescent="0.2">
      <c r="A105" s="16" t="s">
        <v>360</v>
      </c>
      <c r="B105" s="16" t="s">
        <v>189</v>
      </c>
      <c r="C105" s="16" t="s">
        <v>190</v>
      </c>
      <c r="D105" s="16" t="s">
        <v>191</v>
      </c>
    </row>
    <row r="106" spans="1:14" x14ac:dyDescent="0.2">
      <c r="A106" s="41" t="s">
        <v>361</v>
      </c>
      <c r="B106" s="42">
        <f>COUNTIF('DATOS LIMPIOS'!$AN$5:$AN$493,"No")</f>
        <v>428</v>
      </c>
      <c r="C106" s="43">
        <f>AVERAGEIF('DATOS LIMPIOS'!$AN$5:$AN$493,"No",'DATOS LIMPIOS'!$M$5:$M$493)</f>
        <v>30.577433337994901</v>
      </c>
      <c r="D106" s="43">
        <f>AVERAGEIF('DATOS LIMPIOS'!$AN$5:$AN$493,"No",'DATOS LIMPIOS'!$N$5:$N$493)</f>
        <v>9.9521412009448138</v>
      </c>
    </row>
    <row r="107" spans="1:14" x14ac:dyDescent="0.2">
      <c r="A107" s="41" t="s">
        <v>362</v>
      </c>
      <c r="B107" s="42">
        <f>COUNTIF('DATOS LIMPIOS'!$AN$5:$AN$493,"Sí")</f>
        <v>61</v>
      </c>
      <c r="C107" s="43">
        <f>AVERAGEIF('DATOS LIMPIOS'!$AN$5:$AN$493,"Sí",'DATOS LIMPIOS'!$M$5:$M$493)</f>
        <v>19.428075179111346</v>
      </c>
      <c r="D107" s="43">
        <f>AVERAGEIF('DATOS LIMPIOS'!$AN$5:$AN$493,"Sí",'DATOS LIMPIOS'!$N$5:$N$493)</f>
        <v>8.6297328082852349</v>
      </c>
    </row>
    <row r="109" spans="1:14" ht="15" customHeight="1" x14ac:dyDescent="0.2">
      <c r="A109" s="203" t="s">
        <v>331</v>
      </c>
      <c r="B109" s="203"/>
      <c r="C109" s="203"/>
      <c r="D109" s="202" t="s">
        <v>332</v>
      </c>
      <c r="E109" s="202"/>
      <c r="F109" s="202"/>
    </row>
    <row r="124" spans="1:14" ht="17.25" customHeight="1" x14ac:dyDescent="0.2">
      <c r="A124" s="197" t="s">
        <v>363</v>
      </c>
      <c r="B124" s="197"/>
      <c r="C124" s="197"/>
      <c r="D124" s="197"/>
      <c r="E124" s="197"/>
      <c r="F124" s="197"/>
      <c r="G124" s="197"/>
      <c r="H124" s="197"/>
      <c r="I124" s="197"/>
      <c r="J124" s="197"/>
      <c r="K124" s="197"/>
      <c r="L124" s="197"/>
      <c r="M124" s="197"/>
      <c r="N124" s="197"/>
    </row>
    <row r="125" spans="1:14" ht="15" customHeight="1" x14ac:dyDescent="0.2">
      <c r="A125" s="199" t="s">
        <v>364</v>
      </c>
      <c r="B125" s="199"/>
      <c r="C125" s="199"/>
      <c r="D125" s="199"/>
      <c r="E125" s="199"/>
      <c r="F125" s="199"/>
    </row>
    <row r="126" spans="1:14" x14ac:dyDescent="0.2">
      <c r="A126" s="199"/>
      <c r="B126" s="199"/>
      <c r="C126" s="199"/>
      <c r="D126" s="199"/>
      <c r="E126" s="199"/>
      <c r="F126" s="199"/>
    </row>
    <row r="127" spans="1:14" x14ac:dyDescent="0.2">
      <c r="A127" s="199"/>
      <c r="B127" s="199"/>
      <c r="C127" s="199"/>
      <c r="D127" s="199"/>
      <c r="E127" s="199"/>
      <c r="F127" s="199"/>
    </row>
    <row r="128" spans="1:14" x14ac:dyDescent="0.2">
      <c r="A128" s="200" t="s">
        <v>365</v>
      </c>
      <c r="B128" s="200"/>
      <c r="C128" s="200"/>
      <c r="D128" s="200"/>
      <c r="E128" s="200"/>
      <c r="F128" s="200"/>
    </row>
    <row r="129" spans="1:3" ht="30" customHeight="1" x14ac:dyDescent="0.2">
      <c r="A129" s="16" t="s">
        <v>366</v>
      </c>
      <c r="B129" s="16" t="s">
        <v>189</v>
      </c>
      <c r="C129" s="16" t="s">
        <v>190</v>
      </c>
    </row>
    <row r="130" spans="1:3" x14ac:dyDescent="0.2">
      <c r="A130" s="41" t="s">
        <v>367</v>
      </c>
      <c r="B130" s="42">
        <f>COUNTIF('DATOS LIMPIOS'!$E$5:$E$493,A130)</f>
        <v>25</v>
      </c>
      <c r="C130" s="43">
        <f>AVERAGEIF('DATOS LIMPIOS'!$E$5:$E$493,A130,'DATOS LIMPIOS'!$M$5:$M$493)</f>
        <v>36.132518317209367</v>
      </c>
    </row>
    <row r="131" spans="1:3" x14ac:dyDescent="0.2">
      <c r="A131" s="41" t="s">
        <v>368</v>
      </c>
      <c r="B131" s="42">
        <f>COUNTIF('DATOS LIMPIOS'!$E$5:$E$493,A131)</f>
        <v>33</v>
      </c>
      <c r="C131" s="43">
        <f>AVERAGEIF('DATOS LIMPIOS'!$E$5:$E$493,A131,'DATOS LIMPIOS'!$M$5:$M$493)</f>
        <v>23.315840784070005</v>
      </c>
    </row>
    <row r="132" spans="1:3" x14ac:dyDescent="0.2">
      <c r="A132" s="41" t="s">
        <v>369</v>
      </c>
      <c r="B132" s="42">
        <f>COUNTIF('DATOS LIMPIOS'!$E$5:$E$493,A132)</f>
        <v>19</v>
      </c>
      <c r="C132" s="43">
        <f>AVERAGEIF('DATOS LIMPIOS'!$E$5:$E$493,A132,'DATOS LIMPIOS'!$M$5:$M$493)</f>
        <v>36.827379346292652</v>
      </c>
    </row>
    <row r="133" spans="1:3" x14ac:dyDescent="0.2">
      <c r="A133" s="41" t="s">
        <v>370</v>
      </c>
      <c r="B133" s="42">
        <f>COUNTIF('DATOS LIMPIOS'!$E$5:$E$493,A133)</f>
        <v>10</v>
      </c>
      <c r="C133" s="43">
        <f>AVERAGEIF('DATOS LIMPIOS'!$E$5:$E$493,A133,'DATOS LIMPIOS'!$M$5:$M$493)</f>
        <v>15.908213539730554</v>
      </c>
    </row>
    <row r="134" spans="1:3" x14ac:dyDescent="0.2">
      <c r="A134" s="41" t="s">
        <v>371</v>
      </c>
      <c r="B134" s="42">
        <f>COUNTIF('DATOS LIMPIOS'!$E$5:$E$493,A134)</f>
        <v>16</v>
      </c>
      <c r="C134" s="43">
        <f>AVERAGEIF('DATOS LIMPIOS'!$E$5:$E$493,A134,'DATOS LIMPIOS'!$M$5:$M$493)</f>
        <v>40.72142758959253</v>
      </c>
    </row>
    <row r="135" spans="1:3" x14ac:dyDescent="0.2">
      <c r="A135" s="41" t="s">
        <v>372</v>
      </c>
      <c r="B135" s="42">
        <f>COUNTIF('DATOS LIMPIOS'!$E$5:$E$493,A135)</f>
        <v>14</v>
      </c>
      <c r="C135" s="43">
        <f>AVERAGEIF('DATOS LIMPIOS'!$E$5:$E$493,A135,'DATOS LIMPIOS'!$M$5:$M$493)</f>
        <v>20.724631699294946</v>
      </c>
    </row>
    <row r="137" spans="1:3" ht="15" customHeight="1" x14ac:dyDescent="0.2">
      <c r="A137" s="203" t="s">
        <v>331</v>
      </c>
      <c r="B137" s="203"/>
      <c r="C137" s="203"/>
    </row>
    <row r="148" spans="1:14" ht="17.25" customHeight="1" x14ac:dyDescent="0.2">
      <c r="A148" s="197" t="s">
        <v>373</v>
      </c>
      <c r="B148" s="197"/>
      <c r="C148" s="197"/>
      <c r="D148" s="197"/>
      <c r="E148" s="197"/>
      <c r="F148" s="197"/>
      <c r="G148" s="197"/>
      <c r="H148" s="197"/>
      <c r="I148" s="197"/>
      <c r="J148" s="197"/>
      <c r="K148" s="197"/>
      <c r="L148" s="197"/>
      <c r="M148" s="197"/>
      <c r="N148" s="197"/>
    </row>
    <row r="149" spans="1:14" ht="15" customHeight="1" x14ac:dyDescent="0.2">
      <c r="A149" s="199" t="s">
        <v>374</v>
      </c>
      <c r="B149" s="199"/>
      <c r="C149" s="199"/>
      <c r="D149" s="199"/>
      <c r="E149" s="199"/>
      <c r="F149" s="199"/>
    </row>
    <row r="150" spans="1:14" x14ac:dyDescent="0.2">
      <c r="A150" s="199"/>
      <c r="B150" s="199"/>
      <c r="C150" s="199"/>
      <c r="D150" s="199"/>
      <c r="E150" s="199"/>
      <c r="F150" s="199"/>
    </row>
    <row r="151" spans="1:14" x14ac:dyDescent="0.2">
      <c r="A151" s="199"/>
      <c r="B151" s="199"/>
      <c r="C151" s="199"/>
      <c r="D151" s="199"/>
      <c r="E151" s="199"/>
      <c r="F151" s="199"/>
    </row>
    <row r="152" spans="1:14" x14ac:dyDescent="0.2">
      <c r="A152" s="200" t="s">
        <v>375</v>
      </c>
      <c r="B152" s="200"/>
      <c r="C152" s="200"/>
      <c r="D152" s="200"/>
      <c r="E152" s="200"/>
      <c r="F152" s="200"/>
    </row>
    <row r="153" spans="1:14" ht="30" customHeight="1" x14ac:dyDescent="0.2">
      <c r="A153" s="16" t="s">
        <v>376</v>
      </c>
      <c r="B153" s="16" t="s">
        <v>377</v>
      </c>
    </row>
    <row r="154" spans="1:14" x14ac:dyDescent="0.2">
      <c r="A154" s="41" t="s">
        <v>378</v>
      </c>
      <c r="B154" s="45">
        <f>CORREL(_calculos!C73:C94,_calculos!D73:D94)</f>
        <v>0.73892623181720984</v>
      </c>
    </row>
    <row r="155" spans="1:14" x14ac:dyDescent="0.2">
      <c r="A155" s="41" t="s">
        <v>379</v>
      </c>
      <c r="B155" s="45">
        <f>COUNT(_calculos!C73:C94)</f>
        <v>22</v>
      </c>
    </row>
    <row r="157" spans="1:14" ht="15" customHeight="1" x14ac:dyDescent="0.2">
      <c r="A157" s="203" t="s">
        <v>331</v>
      </c>
      <c r="B157" s="203"/>
      <c r="C157" s="203"/>
      <c r="D157" s="202" t="s">
        <v>332</v>
      </c>
      <c r="E157" s="202"/>
      <c r="F157" s="202"/>
    </row>
    <row r="172" spans="1:14" ht="17.25" customHeight="1" x14ac:dyDescent="0.2">
      <c r="A172" s="197" t="s">
        <v>380</v>
      </c>
      <c r="B172" s="197"/>
      <c r="C172" s="197"/>
      <c r="D172" s="197"/>
      <c r="E172" s="197"/>
      <c r="F172" s="197"/>
      <c r="G172" s="197"/>
      <c r="H172" s="197"/>
      <c r="I172" s="197"/>
      <c r="J172" s="197"/>
      <c r="K172" s="197"/>
      <c r="L172" s="197"/>
      <c r="M172" s="197"/>
      <c r="N172" s="197"/>
    </row>
    <row r="173" spans="1:14" ht="15" customHeight="1" x14ac:dyDescent="0.2">
      <c r="A173" s="199" t="s">
        <v>381</v>
      </c>
      <c r="B173" s="199"/>
      <c r="C173" s="199"/>
      <c r="D173" s="199"/>
      <c r="E173" s="199"/>
      <c r="F173" s="199"/>
    </row>
    <row r="174" spans="1:14" x14ac:dyDescent="0.2">
      <c r="A174" s="199"/>
      <c r="B174" s="199"/>
      <c r="C174" s="199"/>
      <c r="D174" s="199"/>
      <c r="E174" s="199"/>
      <c r="F174" s="199"/>
    </row>
    <row r="175" spans="1:14" x14ac:dyDescent="0.2">
      <c r="A175" s="199"/>
      <c r="B175" s="199"/>
      <c r="C175" s="199"/>
      <c r="D175" s="199"/>
      <c r="E175" s="199"/>
      <c r="F175" s="199"/>
    </row>
    <row r="176" spans="1:14" x14ac:dyDescent="0.2">
      <c r="A176" s="200" t="s">
        <v>382</v>
      </c>
      <c r="B176" s="200"/>
      <c r="C176" s="200"/>
      <c r="D176" s="200"/>
      <c r="E176" s="200"/>
      <c r="F176" s="200"/>
    </row>
    <row r="177" spans="1:6" ht="30" customHeight="1" x14ac:dyDescent="0.2">
      <c r="A177" s="16" t="s">
        <v>366</v>
      </c>
      <c r="B177" s="16" t="s">
        <v>189</v>
      </c>
      <c r="C177" s="16" t="s">
        <v>190</v>
      </c>
      <c r="D177" s="16" t="s">
        <v>191</v>
      </c>
    </row>
    <row r="178" spans="1:6" x14ac:dyDescent="0.2">
      <c r="A178" s="41" t="s">
        <v>383</v>
      </c>
      <c r="B178" s="42">
        <f>COUNTIF('DATOS LIMPIOS'!$AR$5:$AR$493,"Sí")</f>
        <v>263</v>
      </c>
      <c r="C178" s="43">
        <f>AVERAGEIF('DATOS LIMPIOS'!$AR$5:$AR$493,"Sí",'DATOS LIMPIOS'!$M$5:$M$493)</f>
        <v>28.350908070173141</v>
      </c>
      <c r="D178" s="43">
        <f>AVERAGEIF('DATOS LIMPIOS'!$AR$5:$AR$493,"Sí",'DATOS LIMPIOS'!$N$5:$N$493)</f>
        <v>9.2991464863384312</v>
      </c>
    </row>
    <row r="179" spans="1:6" x14ac:dyDescent="0.2">
      <c r="A179" s="41" t="s">
        <v>384</v>
      </c>
      <c r="B179" s="42">
        <f>COUNTIF('DATOS LIMPIOS'!$AR$5:$AR$493,"No")</f>
        <v>226</v>
      </c>
      <c r="C179" s="43">
        <f>AVERAGEIF('DATOS LIMPIOS'!$AR$5:$AR$493,"No",'DATOS LIMPIOS'!$M$5:$M$493)</f>
        <v>30.159138195274682</v>
      </c>
      <c r="D179" s="43">
        <f>AVERAGEIF('DATOS LIMPIOS'!$AR$5:$AR$493,"No",'DATOS LIMPIOS'!$N$5:$N$493)</f>
        <v>10.355108891162708</v>
      </c>
    </row>
    <row r="181" spans="1:6" ht="15" customHeight="1" x14ac:dyDescent="0.2">
      <c r="A181" s="201" t="s">
        <v>196</v>
      </c>
      <c r="B181" s="201"/>
      <c r="C181" s="201"/>
      <c r="D181" s="202" t="s">
        <v>385</v>
      </c>
      <c r="E181" s="202"/>
      <c r="F181" s="202"/>
    </row>
    <row r="182" spans="1:6" ht="15" customHeight="1" x14ac:dyDescent="0.2">
      <c r="A182" s="202" t="s">
        <v>386</v>
      </c>
      <c r="B182" s="202"/>
      <c r="C182" s="202"/>
      <c r="D182" s="202"/>
      <c r="E182" s="202"/>
      <c r="F182" s="202"/>
    </row>
    <row r="183" spans="1:6" x14ac:dyDescent="0.2">
      <c r="A183" s="202"/>
      <c r="B183" s="202"/>
      <c r="C183" s="202"/>
      <c r="D183" s="202"/>
      <c r="E183" s="202"/>
      <c r="F183" s="202"/>
    </row>
    <row r="184" spans="1:6" x14ac:dyDescent="0.2">
      <c r="A184" s="202"/>
      <c r="B184" s="202"/>
      <c r="C184" s="202"/>
      <c r="D184" s="202"/>
      <c r="E184" s="202"/>
      <c r="F184" s="202"/>
    </row>
  </sheetData>
  <mergeCells count="40">
    <mergeCell ref="A173:F175"/>
    <mergeCell ref="A176:F176"/>
    <mergeCell ref="A181:C181"/>
    <mergeCell ref="D181:F181"/>
    <mergeCell ref="A182:F184"/>
    <mergeCell ref="A149:F151"/>
    <mergeCell ref="A152:F152"/>
    <mergeCell ref="A157:C157"/>
    <mergeCell ref="D157:F157"/>
    <mergeCell ref="A172:N172"/>
    <mergeCell ref="A124:N124"/>
    <mergeCell ref="A125:F127"/>
    <mergeCell ref="A128:F128"/>
    <mergeCell ref="A137:C137"/>
    <mergeCell ref="A148:N148"/>
    <mergeCell ref="A100:N100"/>
    <mergeCell ref="A101:F103"/>
    <mergeCell ref="A104:F104"/>
    <mergeCell ref="A109:C109"/>
    <mergeCell ref="D109:F109"/>
    <mergeCell ref="A76:N76"/>
    <mergeCell ref="A77:F79"/>
    <mergeCell ref="A80:F80"/>
    <mergeCell ref="A86:C86"/>
    <mergeCell ref="D86:F86"/>
    <mergeCell ref="A53:F55"/>
    <mergeCell ref="A56:F56"/>
    <mergeCell ref="A64:C64"/>
    <mergeCell ref="D64:F64"/>
    <mergeCell ref="A65:F67"/>
    <mergeCell ref="A28:N28"/>
    <mergeCell ref="A29:F31"/>
    <mergeCell ref="A32:F32"/>
    <mergeCell ref="A38:C38"/>
    <mergeCell ref="A52:N52"/>
    <mergeCell ref="A4:N4"/>
    <mergeCell ref="A5:F7"/>
    <mergeCell ref="A8:F8"/>
    <mergeCell ref="A17:C17"/>
    <mergeCell ref="D17:F17"/>
  </mergeCells>
  <pageMargins left="0.75" right="0.75" top="1" bottom="1" header="0.511811023622047" footer="0.511811023622047"/>
  <pageSetup paperSize="9" orientation="portrait" horizontalDpi="300" verticalDpi="30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01C1A"/>
  </sheetPr>
  <dimension ref="A1:O247"/>
  <sheetViews>
    <sheetView showGridLines="0" topLeftCell="A120" zoomScaleNormal="100" workbookViewId="0">
      <selection activeCell="A104" sqref="A104:F106"/>
    </sheetView>
  </sheetViews>
  <sheetFormatPr baseColWidth="10" defaultColWidth="8.6640625" defaultRowHeight="15" x14ac:dyDescent="0.2"/>
  <cols>
    <col min="1" max="1" width="30" customWidth="1"/>
    <col min="2" max="6" width="13" customWidth="1"/>
    <col min="7" max="7" width="3" customWidth="1"/>
    <col min="8" max="15" width="11" customWidth="1"/>
  </cols>
  <sheetData>
    <row r="1" spans="1:15" ht="30" customHeight="1" x14ac:dyDescent="0.3">
      <c r="A1" s="37" t="s">
        <v>387</v>
      </c>
      <c r="B1" s="38"/>
      <c r="C1" s="38"/>
      <c r="D1" s="38"/>
      <c r="E1" s="38"/>
      <c r="F1" s="38"/>
      <c r="G1" s="38"/>
      <c r="H1" s="38"/>
      <c r="I1" s="38"/>
      <c r="J1" s="38"/>
      <c r="K1" s="38"/>
      <c r="L1" s="38"/>
      <c r="M1" s="38"/>
      <c r="N1" s="38"/>
      <c r="O1" s="38"/>
    </row>
    <row r="2" spans="1:15" ht="27.75" customHeight="1" x14ac:dyDescent="0.2">
      <c r="A2" s="39" t="s">
        <v>388</v>
      </c>
      <c r="B2" s="40"/>
      <c r="C2" s="40"/>
      <c r="D2" s="40"/>
      <c r="E2" s="40"/>
      <c r="F2" s="40"/>
      <c r="G2" s="40"/>
      <c r="H2" s="40"/>
      <c r="I2" s="40"/>
      <c r="J2" s="40"/>
      <c r="K2" s="40"/>
      <c r="L2" s="40"/>
      <c r="M2" s="40"/>
      <c r="N2" s="40"/>
      <c r="O2" s="40"/>
    </row>
    <row r="4" spans="1:15" ht="30" customHeight="1" x14ac:dyDescent="0.2">
      <c r="A4" s="204" t="s">
        <v>389</v>
      </c>
      <c r="B4" s="204"/>
      <c r="C4" s="204"/>
      <c r="D4" s="204"/>
      <c r="E4" s="204"/>
      <c r="F4" s="204"/>
      <c r="G4" s="204"/>
      <c r="H4" s="204"/>
      <c r="I4" s="204"/>
      <c r="J4" s="204"/>
      <c r="K4" s="204"/>
      <c r="L4" s="204"/>
      <c r="M4" s="204"/>
      <c r="N4" s="204"/>
    </row>
    <row r="5" spans="1:15" x14ac:dyDescent="0.2">
      <c r="A5" s="204"/>
      <c r="B5" s="204"/>
      <c r="C5" s="204"/>
      <c r="D5" s="204"/>
      <c r="E5" s="204"/>
      <c r="F5" s="204"/>
      <c r="G5" s="204"/>
      <c r="H5" s="204"/>
      <c r="I5" s="204"/>
      <c r="J5" s="204"/>
      <c r="K5" s="204"/>
      <c r="L5" s="204"/>
      <c r="M5" s="204"/>
      <c r="N5" s="204"/>
    </row>
    <row r="7" spans="1:15" ht="17.25" customHeight="1" x14ac:dyDescent="0.2">
      <c r="A7" s="197" t="s">
        <v>390</v>
      </c>
      <c r="B7" s="197"/>
      <c r="C7" s="197"/>
      <c r="D7" s="197"/>
      <c r="E7" s="197"/>
      <c r="F7" s="197"/>
      <c r="G7" s="197"/>
      <c r="H7" s="197"/>
      <c r="I7" s="197"/>
      <c r="J7" s="197"/>
      <c r="K7" s="197"/>
      <c r="L7" s="197"/>
      <c r="M7" s="197"/>
      <c r="N7" s="197"/>
    </row>
    <row r="8" spans="1:15" ht="15" customHeight="1" x14ac:dyDescent="0.2">
      <c r="A8" s="199" t="s">
        <v>391</v>
      </c>
      <c r="B8" s="199"/>
      <c r="C8" s="199"/>
      <c r="D8" s="199"/>
      <c r="E8" s="199"/>
      <c r="F8" s="199"/>
    </row>
    <row r="9" spans="1:15" x14ac:dyDescent="0.2">
      <c r="A9" s="199"/>
      <c r="B9" s="199"/>
      <c r="C9" s="199"/>
      <c r="D9" s="199"/>
      <c r="E9" s="199"/>
      <c r="F9" s="199"/>
    </row>
    <row r="10" spans="1:15" x14ac:dyDescent="0.2">
      <c r="A10" s="199"/>
      <c r="B10" s="199"/>
      <c r="C10" s="199"/>
      <c r="D10" s="199"/>
      <c r="E10" s="199"/>
      <c r="F10" s="199"/>
    </row>
    <row r="11" spans="1:15" x14ac:dyDescent="0.2">
      <c r="A11" s="200" t="s">
        <v>392</v>
      </c>
      <c r="B11" s="200"/>
      <c r="C11" s="200"/>
      <c r="D11" s="200"/>
      <c r="E11" s="200"/>
      <c r="F11" s="200"/>
    </row>
    <row r="12" spans="1:15" ht="30" customHeight="1" x14ac:dyDescent="0.2">
      <c r="A12" s="16" t="s">
        <v>393</v>
      </c>
      <c r="B12" s="16" t="s">
        <v>189</v>
      </c>
      <c r="C12" s="16" t="s">
        <v>190</v>
      </c>
      <c r="D12" s="16" t="s">
        <v>191</v>
      </c>
    </row>
    <row r="13" spans="1:15" x14ac:dyDescent="0.2">
      <c r="A13" s="41" t="s">
        <v>274</v>
      </c>
      <c r="B13" s="42">
        <f>COUNTIFS('DATOS LIMPIOS'!$B$5:$B$493,"Customer Appreciation",'DATOS LIMPIOS'!$AI$5:$AI$493,"Sí")</f>
        <v>48</v>
      </c>
      <c r="C13" s="43">
        <f>AVERAGEIFS('DATOS LIMPIOS'!$M$5:$M$493,'DATOS LIMPIOS'!$B$5:$B$493,"Customer Appreciation",'DATOS LIMPIOS'!$AI$5:$AI$493,"Sí")</f>
        <v>35.672560277441029</v>
      </c>
      <c r="D13" s="43">
        <f>AVERAGEIFS('DATOS LIMPIOS'!$N$5:$N$493,'DATOS LIMPIOS'!$B$5:$B$493,"Customer Appreciation",'DATOS LIMPIOS'!$AI$5:$AI$493,"Sí")</f>
        <v>10.752665544174819</v>
      </c>
    </row>
    <row r="14" spans="1:15" x14ac:dyDescent="0.2">
      <c r="A14" s="41" t="s">
        <v>275</v>
      </c>
      <c r="B14" s="42">
        <f>COUNTIFS('DATOS LIMPIOS'!$B$5:$B$493,"Exclusive Offers",'DATOS LIMPIOS'!$AI$5:$AI$493,"Sí")</f>
        <v>79</v>
      </c>
      <c r="C14" s="43">
        <f>AVERAGEIFS('DATOS LIMPIOS'!$M$5:$M$493,'DATOS LIMPIOS'!$B$5:$B$493,"Exclusive Offers",'DATOS LIMPIOS'!$AI$5:$AI$493,"Sí")</f>
        <v>27.021447627328243</v>
      </c>
      <c r="D14" s="43">
        <f>AVERAGEIFS('DATOS LIMPIOS'!$N$5:$N$493,'DATOS LIMPIOS'!$B$5:$B$493,"Exclusive Offers",'DATOS LIMPIOS'!$AI$5:$AI$493,"Sí")</f>
        <v>9.2971825130085737</v>
      </c>
    </row>
    <row r="15" spans="1:15" x14ac:dyDescent="0.2">
      <c r="A15" s="41" t="s">
        <v>276</v>
      </c>
      <c r="B15" s="42">
        <f>COUNTIFS('DATOS LIMPIOS'!$B$5:$B$493,"Flash Sale",'DATOS LIMPIOS'!$AI$5:$AI$493,"Sí")</f>
        <v>81</v>
      </c>
      <c r="C15" s="43">
        <f>AVERAGEIFS('DATOS LIMPIOS'!$M$5:$M$493,'DATOS LIMPIOS'!$B$5:$B$493,"Flash Sale",'DATOS LIMPIOS'!$AI$5:$AI$493,"Sí")</f>
        <v>29.440902453236173</v>
      </c>
      <c r="D15" s="43">
        <f>AVERAGEIFS('DATOS LIMPIOS'!$N$5:$N$493,'DATOS LIMPIOS'!$B$5:$B$493,"Flash Sale",'DATOS LIMPIOS'!$AI$5:$AI$493,"Sí")</f>
        <v>9.2051660264854309</v>
      </c>
    </row>
    <row r="16" spans="1:15" x14ac:dyDescent="0.2">
      <c r="A16" s="41" t="s">
        <v>277</v>
      </c>
      <c r="B16" s="42">
        <f>COUNTIFS('DATOS LIMPIOS'!$B$5:$B$493,"Holiday Discounts",'DATOS LIMPIOS'!$AI$5:$AI$493,"Sí")</f>
        <v>79</v>
      </c>
      <c r="C16" s="43">
        <f>AVERAGEIFS('DATOS LIMPIOS'!$M$5:$M$493,'DATOS LIMPIOS'!$B$5:$B$493,"Holiday Discounts",'DATOS LIMPIOS'!$AI$5:$AI$493,"Sí")</f>
        <v>30.71114383300629</v>
      </c>
      <c r="D16" s="43">
        <f>AVERAGEIFS('DATOS LIMPIOS'!$N$5:$N$493,'DATOS LIMPIOS'!$B$5:$B$493,"Holiday Discounts",'DATOS LIMPIOS'!$AI$5:$AI$493,"Sí")</f>
        <v>9.0557740211665223</v>
      </c>
    </row>
    <row r="18" spans="1:14" ht="15" customHeight="1" x14ac:dyDescent="0.2">
      <c r="A18" s="203" t="s">
        <v>331</v>
      </c>
      <c r="B18" s="203"/>
      <c r="C18" s="203"/>
      <c r="D18" s="202" t="s">
        <v>394</v>
      </c>
      <c r="E18" s="202"/>
      <c r="F18" s="202"/>
    </row>
    <row r="31" spans="1:14" ht="17.25" customHeight="1" x14ac:dyDescent="0.2">
      <c r="A31" s="197" t="s">
        <v>395</v>
      </c>
      <c r="B31" s="197"/>
      <c r="C31" s="197"/>
      <c r="D31" s="197"/>
      <c r="E31" s="197"/>
      <c r="F31" s="197"/>
      <c r="G31" s="197"/>
      <c r="H31" s="197"/>
      <c r="I31" s="197"/>
      <c r="J31" s="197"/>
      <c r="K31" s="197"/>
      <c r="L31" s="197"/>
      <c r="M31" s="197"/>
      <c r="N31" s="197"/>
    </row>
    <row r="32" spans="1:14" ht="15" customHeight="1" x14ac:dyDescent="0.2">
      <c r="A32" s="199" t="s">
        <v>396</v>
      </c>
      <c r="B32" s="199"/>
      <c r="C32" s="199"/>
      <c r="D32" s="199"/>
      <c r="E32" s="199"/>
      <c r="F32" s="199"/>
    </row>
    <row r="33" spans="1:6" x14ac:dyDescent="0.2">
      <c r="A33" s="199"/>
      <c r="B33" s="199"/>
      <c r="C33" s="199"/>
      <c r="D33" s="199"/>
      <c r="E33" s="199"/>
      <c r="F33" s="199"/>
    </row>
    <row r="34" spans="1:6" x14ac:dyDescent="0.2">
      <c r="A34" s="199"/>
      <c r="B34" s="199"/>
      <c r="C34" s="199"/>
      <c r="D34" s="199"/>
      <c r="E34" s="199"/>
      <c r="F34" s="199"/>
    </row>
    <row r="35" spans="1:6" x14ac:dyDescent="0.2">
      <c r="A35" s="200" t="s">
        <v>397</v>
      </c>
      <c r="B35" s="200"/>
      <c r="C35" s="200"/>
      <c r="D35" s="200"/>
      <c r="E35" s="200"/>
      <c r="F35" s="200"/>
    </row>
    <row r="36" spans="1:6" ht="30" customHeight="1" x14ac:dyDescent="0.2">
      <c r="A36" s="16" t="s">
        <v>345</v>
      </c>
      <c r="B36" s="16" t="s">
        <v>189</v>
      </c>
      <c r="C36" s="16" t="s">
        <v>190</v>
      </c>
      <c r="D36" s="16" t="s">
        <v>191</v>
      </c>
    </row>
    <row r="37" spans="1:6" x14ac:dyDescent="0.2">
      <c r="A37" s="41" t="s">
        <v>346</v>
      </c>
      <c r="B37" s="42">
        <f>COUNTIFS('DATOS LIMPIOS'!$AT$5:$AT$493,"Con cifra concreta",'DATOS LIMPIOS'!$AI$5:$AI$493,"Sí")</f>
        <v>21</v>
      </c>
      <c r="C37" s="43">
        <f>AVERAGEIFS('DATOS LIMPIOS'!$M$5:$M$493,'DATOS LIMPIOS'!$AT$5:$AT$493,"Con cifra concreta",'DATOS LIMPIOS'!$AI$5:$AI$493,"Sí")</f>
        <v>41.593592985418489</v>
      </c>
      <c r="D37" s="43">
        <f>AVERAGEIFS('DATOS LIMPIOS'!$N$5:$N$493,'DATOS LIMPIOS'!$AT$5:$AT$493,"Con cifra concreta",'DATOS LIMPIOS'!$AI$5:$AI$493,"Sí")</f>
        <v>10.640007862164545</v>
      </c>
    </row>
    <row r="38" spans="1:6" x14ac:dyDescent="0.2">
      <c r="A38" s="41" t="s">
        <v>347</v>
      </c>
      <c r="B38" s="42">
        <f>COUNTIFS('DATOS LIMPIOS'!$AT$5:$AT$493,"Recompensa o sorpresa",'DATOS LIMPIOS'!$AI$5:$AI$493,"Sí")</f>
        <v>110</v>
      </c>
      <c r="C38" s="43">
        <f>AVERAGEIFS('DATOS LIMPIOS'!$M$5:$M$493,'DATOS LIMPIOS'!$AT$5:$AT$493,"Recompensa o sorpresa",'DATOS LIMPIOS'!$AI$5:$AI$493,"Sí")</f>
        <v>30.707806475530596</v>
      </c>
      <c r="D38" s="43">
        <f>AVERAGEIFS('DATOS LIMPIOS'!$N$5:$N$493,'DATOS LIMPIOS'!$AT$5:$AT$493,"Recompensa o sorpresa",'DATOS LIMPIOS'!$AI$5:$AI$493,"Sí")</f>
        <v>9.917253790078485</v>
      </c>
    </row>
    <row r="39" spans="1:6" x14ac:dyDescent="0.2">
      <c r="A39" s="41" t="s">
        <v>348</v>
      </c>
      <c r="B39" s="42">
        <f>COUNTIFS('DATOS LIMPIOS'!$AT$5:$AT$493,"Otro: beneficio o novedad",'DATOS LIMPIOS'!$AI$5:$AI$493,"Sí")</f>
        <v>95</v>
      </c>
      <c r="C39" s="43">
        <f>AVERAGEIFS('DATOS LIMPIOS'!$M$5:$M$493,'DATOS LIMPIOS'!$AT$5:$AT$493,"Otro: beneficio o novedad",'DATOS LIMPIOS'!$AI$5:$AI$493,"Sí")</f>
        <v>32.735202146551309</v>
      </c>
      <c r="D39" s="43">
        <f>AVERAGEIFS('DATOS LIMPIOS'!$N$5:$N$493,'DATOS LIMPIOS'!$AT$5:$AT$493,"Otro: beneficio o novedad",'DATOS LIMPIOS'!$AI$5:$AI$493,"Sí")</f>
        <v>9.5296091307474082</v>
      </c>
    </row>
    <row r="40" spans="1:6" x14ac:dyDescent="0.2">
      <c r="A40" s="41" t="s">
        <v>349</v>
      </c>
      <c r="B40" s="42">
        <f>COUNTIFS('DATOS LIMPIOS'!$AT$5:$AT$493,"Solo urgencia, sin cifra",'DATOS LIMPIOS'!$AI$5:$AI$493,"Sí")</f>
        <v>61</v>
      </c>
      <c r="C40" s="43">
        <f>AVERAGEIFS('DATOS LIMPIOS'!$M$5:$M$493,'DATOS LIMPIOS'!$AT$5:$AT$493,"Solo urgencia, sin cifra",'DATOS LIMPIOS'!$AI$5:$AI$493,"Sí")</f>
        <v>21.257415548708167</v>
      </c>
      <c r="D40" s="43">
        <f>AVERAGEIFS('DATOS LIMPIOS'!$N$5:$N$493,'DATOS LIMPIOS'!$AT$5:$AT$493,"Solo urgencia, sin cifra",'DATOS LIMPIOS'!$AI$5:$AI$493,"Sí")</f>
        <v>8.0652296890237913</v>
      </c>
    </row>
    <row r="42" spans="1:6" ht="15" customHeight="1" x14ac:dyDescent="0.2">
      <c r="A42" s="203" t="s">
        <v>331</v>
      </c>
      <c r="B42" s="203"/>
      <c r="C42" s="203"/>
      <c r="D42" s="202" t="s">
        <v>332</v>
      </c>
      <c r="E42" s="202"/>
      <c r="F42" s="202"/>
    </row>
    <row r="55" spans="1:14" ht="17.25" customHeight="1" x14ac:dyDescent="0.2">
      <c r="A55" s="197" t="s">
        <v>398</v>
      </c>
      <c r="B55" s="197"/>
      <c r="C55" s="197"/>
      <c r="D55" s="197"/>
      <c r="E55" s="197"/>
      <c r="F55" s="197"/>
      <c r="G55" s="197"/>
      <c r="H55" s="197"/>
      <c r="I55" s="197"/>
      <c r="J55" s="197"/>
      <c r="K55" s="197"/>
      <c r="L55" s="197"/>
      <c r="M55" s="197"/>
      <c r="N55" s="197"/>
    </row>
    <row r="56" spans="1:14" ht="15" customHeight="1" x14ac:dyDescent="0.2">
      <c r="A56" s="199" t="s">
        <v>399</v>
      </c>
      <c r="B56" s="199"/>
      <c r="C56" s="199"/>
      <c r="D56" s="199"/>
      <c r="E56" s="199"/>
      <c r="F56" s="199"/>
    </row>
    <row r="57" spans="1:14" x14ac:dyDescent="0.2">
      <c r="A57" s="199"/>
      <c r="B57" s="199"/>
      <c r="C57" s="199"/>
      <c r="D57" s="199"/>
      <c r="E57" s="199"/>
      <c r="F57" s="199"/>
    </row>
    <row r="58" spans="1:14" x14ac:dyDescent="0.2">
      <c r="A58" s="199"/>
      <c r="B58" s="199"/>
      <c r="C58" s="199"/>
      <c r="D58" s="199"/>
      <c r="E58" s="199"/>
      <c r="F58" s="199"/>
    </row>
    <row r="59" spans="1:14" x14ac:dyDescent="0.2">
      <c r="A59" s="200" t="s">
        <v>400</v>
      </c>
      <c r="B59" s="200"/>
      <c r="C59" s="200"/>
      <c r="D59" s="200"/>
      <c r="E59" s="200"/>
      <c r="F59" s="200"/>
    </row>
    <row r="60" spans="1:14" ht="30" customHeight="1" x14ac:dyDescent="0.2">
      <c r="A60" s="16" t="s">
        <v>218</v>
      </c>
      <c r="B60" s="16" t="s">
        <v>189</v>
      </c>
      <c r="C60" s="16" t="s">
        <v>190</v>
      </c>
      <c r="D60" s="16" t="s">
        <v>191</v>
      </c>
    </row>
    <row r="61" spans="1:14" x14ac:dyDescent="0.2">
      <c r="A61" s="41" t="s">
        <v>219</v>
      </c>
      <c r="B61" s="42">
        <f>COUNTIFS('DATOS LIMPIOS'!$W$5:$W$493,"Quincena",'DATOS LIMPIOS'!$AI$5:$AI$493,"Sí")</f>
        <v>59</v>
      </c>
      <c r="C61" s="43">
        <f>AVERAGEIFS('DATOS LIMPIOS'!$M$5:$M$493,'DATOS LIMPIOS'!$W$5:$W$493,"Quincena",'DATOS LIMPIOS'!$AI$5:$AI$493,"Sí")</f>
        <v>28.696124183741251</v>
      </c>
      <c r="D61" s="43">
        <f>AVERAGEIFS('DATOS LIMPIOS'!$N$5:$N$493,'DATOS LIMPIOS'!$W$5:$W$493,"Quincena",'DATOS LIMPIOS'!$AI$5:$AI$493,"Sí")</f>
        <v>8.6609898511127295</v>
      </c>
    </row>
    <row r="62" spans="1:14" x14ac:dyDescent="0.2">
      <c r="A62" s="41" t="s">
        <v>220</v>
      </c>
      <c r="B62" s="42">
        <f>COUNTIFS('DATOS LIMPIOS'!$W$5:$W$493,"Días después del pago",'DATOS LIMPIOS'!$AI$5:$AI$493,"Sí")</f>
        <v>78</v>
      </c>
      <c r="C62" s="43">
        <f>AVERAGEIFS('DATOS LIMPIOS'!$M$5:$M$493,'DATOS LIMPIOS'!$W$5:$W$493,"Días después del pago",'DATOS LIMPIOS'!$AI$5:$AI$493,"Sí")</f>
        <v>30.998500195838087</v>
      </c>
      <c r="D62" s="43">
        <f>AVERAGEIFS('DATOS LIMPIOS'!$N$5:$N$493,'DATOS LIMPIOS'!$W$5:$W$493,"Días después del pago",'DATOS LIMPIOS'!$AI$5:$AI$493,"Sí")</f>
        <v>9.4686403346159871</v>
      </c>
    </row>
    <row r="63" spans="1:14" x14ac:dyDescent="0.2">
      <c r="A63" s="41" t="s">
        <v>221</v>
      </c>
      <c r="B63" s="42">
        <f>COUNTIFS('DATOS LIMPIOS'!$W$5:$W$493,"Resto del mes",'DATOS LIMPIOS'!$AI$5:$AI$493,"Sí")</f>
        <v>150</v>
      </c>
      <c r="C63" s="43">
        <f>AVERAGEIFS('DATOS LIMPIOS'!$M$5:$M$493,'DATOS LIMPIOS'!$W$5:$W$493,"Resto del mes",'DATOS LIMPIOS'!$AI$5:$AI$493,"Sí")</f>
        <v>30.312775835197506</v>
      </c>
      <c r="D63" s="43">
        <f>AVERAGEIFS('DATOS LIMPIOS'!$N$5:$N$493,'DATOS LIMPIOS'!$W$5:$W$493,"Resto del mes",'DATOS LIMPIOS'!$AI$5:$AI$493,"Sí")</f>
        <v>9.7471840876656373</v>
      </c>
    </row>
    <row r="65" spans="1:14" ht="15" customHeight="1" x14ac:dyDescent="0.2">
      <c r="A65" s="201" t="s">
        <v>196</v>
      </c>
      <c r="B65" s="201"/>
      <c r="C65" s="201"/>
      <c r="D65" s="202" t="s">
        <v>401</v>
      </c>
      <c r="E65" s="202"/>
      <c r="F65" s="202"/>
    </row>
    <row r="79" spans="1:14" ht="17.25" customHeight="1" x14ac:dyDescent="0.2">
      <c r="A79" s="197" t="s">
        <v>402</v>
      </c>
      <c r="B79" s="197"/>
      <c r="C79" s="197"/>
      <c r="D79" s="197"/>
      <c r="E79" s="197"/>
      <c r="F79" s="197"/>
      <c r="G79" s="197"/>
      <c r="H79" s="197"/>
      <c r="I79" s="197"/>
      <c r="J79" s="197"/>
      <c r="K79" s="197"/>
      <c r="L79" s="197"/>
      <c r="M79" s="197"/>
      <c r="N79" s="197"/>
    </row>
    <row r="80" spans="1:14" ht="15" customHeight="1" x14ac:dyDescent="0.2">
      <c r="A80" s="199" t="s">
        <v>403</v>
      </c>
      <c r="B80" s="199"/>
      <c r="C80" s="199"/>
      <c r="D80" s="199"/>
      <c r="E80" s="199"/>
      <c r="F80" s="199"/>
    </row>
    <row r="81" spans="1:6" x14ac:dyDescent="0.2">
      <c r="A81" s="199"/>
      <c r="B81" s="199"/>
      <c r="C81" s="199"/>
      <c r="D81" s="199"/>
      <c r="E81" s="199"/>
      <c r="F81" s="199"/>
    </row>
    <row r="82" spans="1:6" x14ac:dyDescent="0.2">
      <c r="A82" s="199"/>
      <c r="B82" s="199"/>
      <c r="C82" s="199"/>
      <c r="D82" s="199"/>
      <c r="E82" s="199"/>
      <c r="F82" s="199"/>
    </row>
    <row r="83" spans="1:6" x14ac:dyDescent="0.2">
      <c r="A83" s="200" t="s">
        <v>404</v>
      </c>
      <c r="B83" s="200"/>
      <c r="C83" s="200"/>
      <c r="D83" s="200"/>
      <c r="E83" s="200"/>
      <c r="F83" s="200"/>
    </row>
    <row r="84" spans="1:6" ht="30" customHeight="1" x14ac:dyDescent="0.2">
      <c r="A84" s="16" t="s">
        <v>201</v>
      </c>
      <c r="B84" s="16" t="s">
        <v>189</v>
      </c>
      <c r="C84" s="16" t="s">
        <v>190</v>
      </c>
      <c r="D84" s="16" t="s">
        <v>191</v>
      </c>
    </row>
    <row r="85" spans="1:6" x14ac:dyDescent="0.2">
      <c r="A85" s="41" t="s">
        <v>202</v>
      </c>
      <c r="B85" s="42">
        <f>COUNTIFS('DATOS LIMPIOS'!$U$5:$U$493,"Lunes",'DATOS LIMPIOS'!$AI$5:$AI$493,"Sí")</f>
        <v>62</v>
      </c>
      <c r="C85" s="43">
        <f>AVERAGEIFS('DATOS LIMPIOS'!$M$5:$M$493,'DATOS LIMPIOS'!$U$5:$U$493,"Lunes",'DATOS LIMPIOS'!$AI$5:$AI$493,"Sí")</f>
        <v>32.188424471851462</v>
      </c>
      <c r="D85" s="43">
        <f>AVERAGEIFS('DATOS LIMPIOS'!$N$5:$N$493,'DATOS LIMPIOS'!$U$5:$U$493,"Lunes",'DATOS LIMPIOS'!$AI$5:$AI$493,"Sí")</f>
        <v>9.7230436493047847</v>
      </c>
    </row>
    <row r="86" spans="1:6" x14ac:dyDescent="0.2">
      <c r="A86" s="41" t="s">
        <v>203</v>
      </c>
      <c r="B86" s="42">
        <f>COUNTIFS('DATOS LIMPIOS'!$U$5:$U$493,"Martes",'DATOS LIMPIOS'!$AI$5:$AI$493,"Sí")</f>
        <v>61</v>
      </c>
      <c r="C86" s="43">
        <f>AVERAGEIFS('DATOS LIMPIOS'!$M$5:$M$493,'DATOS LIMPIOS'!$U$5:$U$493,"Martes",'DATOS LIMPIOS'!$AI$5:$AI$493,"Sí")</f>
        <v>29.75947019576526</v>
      </c>
      <c r="D86" s="43">
        <f>AVERAGEIFS('DATOS LIMPIOS'!$N$5:$N$493,'DATOS LIMPIOS'!$U$5:$U$493,"Martes",'DATOS LIMPIOS'!$AI$5:$AI$493,"Sí")</f>
        <v>9.9026914506255288</v>
      </c>
    </row>
    <row r="87" spans="1:6" x14ac:dyDescent="0.2">
      <c r="A87" s="41" t="s">
        <v>204</v>
      </c>
      <c r="B87" s="42">
        <f>COUNTIFS('DATOS LIMPIOS'!$U$5:$U$493,"Miércoles",'DATOS LIMPIOS'!$AI$5:$AI$493,"Sí")</f>
        <v>51</v>
      </c>
      <c r="C87" s="43">
        <f>AVERAGEIFS('DATOS LIMPIOS'!$M$5:$M$493,'DATOS LIMPIOS'!$U$5:$U$493,"Miércoles",'DATOS LIMPIOS'!$AI$5:$AI$493,"Sí")</f>
        <v>31.232565378186703</v>
      </c>
      <c r="D87" s="43">
        <f>AVERAGEIFS('DATOS LIMPIOS'!$N$5:$N$493,'DATOS LIMPIOS'!$U$5:$U$493,"Miércoles",'DATOS LIMPIOS'!$AI$5:$AI$493,"Sí")</f>
        <v>9.7460808905828653</v>
      </c>
    </row>
    <row r="88" spans="1:6" x14ac:dyDescent="0.2">
      <c r="A88" s="41" t="s">
        <v>205</v>
      </c>
      <c r="B88" s="42">
        <f>COUNTIFS('DATOS LIMPIOS'!$U$5:$U$493,"Jueves",'DATOS LIMPIOS'!$AI$5:$AI$493,"Sí")</f>
        <v>40</v>
      </c>
      <c r="C88" s="43">
        <f>AVERAGEIFS('DATOS LIMPIOS'!$M$5:$M$493,'DATOS LIMPIOS'!$U$5:$U$493,"Jueves",'DATOS LIMPIOS'!$AI$5:$AI$493,"Sí")</f>
        <v>30.176602390994212</v>
      </c>
      <c r="D88" s="43">
        <f>AVERAGEIFS('DATOS LIMPIOS'!$N$5:$N$493,'DATOS LIMPIOS'!$U$5:$U$493,"Jueves",'DATOS LIMPIOS'!$AI$5:$AI$493,"Sí")</f>
        <v>9.1106082185750115</v>
      </c>
    </row>
    <row r="89" spans="1:6" x14ac:dyDescent="0.2">
      <c r="A89" s="41" t="s">
        <v>206</v>
      </c>
      <c r="B89" s="42">
        <f>COUNTIFS('DATOS LIMPIOS'!$U$5:$U$493,"Viernes",'DATOS LIMPIOS'!$AI$5:$AI$493,"Sí")</f>
        <v>23</v>
      </c>
      <c r="C89" s="43">
        <f>AVERAGEIFS('DATOS LIMPIOS'!$M$5:$M$493,'DATOS LIMPIOS'!$U$5:$U$493,"Viernes",'DATOS LIMPIOS'!$AI$5:$AI$493,"Sí")</f>
        <v>28.060256989067526</v>
      </c>
      <c r="D89" s="43">
        <f>AVERAGEIFS('DATOS LIMPIOS'!$N$5:$N$493,'DATOS LIMPIOS'!$U$5:$U$493,"Viernes",'DATOS LIMPIOS'!$AI$5:$AI$493,"Sí")</f>
        <v>8.4225011413682971</v>
      </c>
    </row>
    <row r="90" spans="1:6" x14ac:dyDescent="0.2">
      <c r="A90" s="41" t="s">
        <v>207</v>
      </c>
      <c r="B90" s="42">
        <f>COUNTIFS('DATOS LIMPIOS'!$U$5:$U$493,"Sábado",'DATOS LIMPIOS'!$AI$5:$AI$493,"Sí")</f>
        <v>43</v>
      </c>
      <c r="C90" s="43">
        <f>AVERAGEIFS('DATOS LIMPIOS'!$M$5:$M$493,'DATOS LIMPIOS'!$U$5:$U$493,"Sábado",'DATOS LIMPIOS'!$AI$5:$AI$493,"Sí")</f>
        <v>27.202830167408777</v>
      </c>
      <c r="D90" s="43">
        <f>AVERAGEIFS('DATOS LIMPIOS'!$N$5:$N$493,'DATOS LIMPIOS'!$U$5:$U$493,"Sábado",'DATOS LIMPIOS'!$AI$5:$AI$493,"Sí")</f>
        <v>8.6127331379028522</v>
      </c>
    </row>
    <row r="91" spans="1:6" x14ac:dyDescent="0.2">
      <c r="A91" s="41" t="s">
        <v>208</v>
      </c>
      <c r="B91" s="42">
        <f>COUNTIFS('DATOS LIMPIOS'!$U$5:$U$493,"Domingo",'DATOS LIMPIOS'!$AI$5:$AI$493,"Sí")</f>
        <v>7</v>
      </c>
      <c r="C91" s="43">
        <f>AVERAGEIFS('DATOS LIMPIOS'!$M$5:$M$493,'DATOS LIMPIOS'!$U$5:$U$493,"Domingo",'DATOS LIMPIOS'!$AI$5:$AI$493,"Sí")</f>
        <v>33.118311474976473</v>
      </c>
      <c r="D91" s="43">
        <f>AVERAGEIFS('DATOS LIMPIOS'!$N$5:$N$493,'DATOS LIMPIOS'!$U$5:$U$493,"Domingo",'DATOS LIMPIOS'!$AI$5:$AI$493,"Sí")</f>
        <v>11.313938625209941</v>
      </c>
    </row>
    <row r="93" spans="1:6" ht="15" customHeight="1" x14ac:dyDescent="0.2">
      <c r="A93" s="201" t="s">
        <v>196</v>
      </c>
      <c r="B93" s="201"/>
      <c r="C93" s="201"/>
      <c r="D93" s="202" t="s">
        <v>405</v>
      </c>
      <c r="E93" s="202"/>
      <c r="F93" s="202"/>
    </row>
    <row r="103" spans="1:14" ht="17.25" customHeight="1" x14ac:dyDescent="0.2">
      <c r="A103" s="197" t="s">
        <v>406</v>
      </c>
      <c r="B103" s="197"/>
      <c r="C103" s="197"/>
      <c r="D103" s="197"/>
      <c r="E103" s="197"/>
      <c r="F103" s="197"/>
      <c r="G103" s="197"/>
      <c r="H103" s="197"/>
      <c r="I103" s="197"/>
      <c r="J103" s="197"/>
      <c r="K103" s="197"/>
      <c r="L103" s="197"/>
      <c r="M103" s="197"/>
      <c r="N103" s="197"/>
    </row>
    <row r="104" spans="1:14" ht="15" customHeight="1" x14ac:dyDescent="0.2">
      <c r="A104" s="199" t="s">
        <v>407</v>
      </c>
      <c r="B104" s="199"/>
      <c r="C104" s="199"/>
      <c r="D104" s="199"/>
      <c r="E104" s="199"/>
      <c r="F104" s="199"/>
    </row>
    <row r="105" spans="1:14" x14ac:dyDescent="0.2">
      <c r="A105" s="199"/>
      <c r="B105" s="199"/>
      <c r="C105" s="199"/>
      <c r="D105" s="199"/>
      <c r="E105" s="199"/>
      <c r="F105" s="199"/>
    </row>
    <row r="106" spans="1:14" x14ac:dyDescent="0.2">
      <c r="A106" s="199"/>
      <c r="B106" s="199"/>
      <c r="C106" s="199"/>
      <c r="D106" s="199"/>
      <c r="E106" s="199"/>
      <c r="F106" s="199"/>
    </row>
    <row r="107" spans="1:14" x14ac:dyDescent="0.2">
      <c r="A107" s="200" t="s">
        <v>408</v>
      </c>
      <c r="B107" s="200"/>
      <c r="C107" s="200"/>
      <c r="D107" s="200"/>
      <c r="E107" s="200"/>
      <c r="F107" s="200"/>
    </row>
    <row r="108" spans="1:14" ht="30" customHeight="1" x14ac:dyDescent="0.2">
      <c r="A108" s="16" t="s">
        <v>213</v>
      </c>
      <c r="B108" s="16" t="s">
        <v>189</v>
      </c>
      <c r="C108" s="16" t="s">
        <v>190</v>
      </c>
      <c r="D108" s="16" t="s">
        <v>191</v>
      </c>
    </row>
    <row r="109" spans="1:14" x14ac:dyDescent="0.2">
      <c r="A109" s="41">
        <v>8</v>
      </c>
      <c r="B109" s="42">
        <f>COUNTIFS('DATOS LIMPIOS'!$V$5:$V$493,8,'DATOS LIMPIOS'!$AI$5:$AI$493,"Sí")</f>
        <v>16</v>
      </c>
      <c r="C109" s="43">
        <f>AVERAGEIFS('DATOS LIMPIOS'!$M$5:$M$493,'DATOS LIMPIOS'!$V$5:$V$493,8,'DATOS LIMPIOS'!$AI$5:$AI$493,"Sí")</f>
        <v>28.996584860624559</v>
      </c>
      <c r="D109" s="43">
        <f>AVERAGEIFS('DATOS LIMPIOS'!$N$5:$N$493,'DATOS LIMPIOS'!$V$5:$V$493,8,'DATOS LIMPIOS'!$AI$5:$AI$493,"Sí")</f>
        <v>7.6433660397425811</v>
      </c>
    </row>
    <row r="110" spans="1:14" x14ac:dyDescent="0.2">
      <c r="A110" s="41">
        <v>9</v>
      </c>
      <c r="B110" s="42">
        <f>COUNTIFS('DATOS LIMPIOS'!$V$5:$V$493,9,'DATOS LIMPIOS'!$AI$5:$AI$493,"Sí")</f>
        <v>18</v>
      </c>
      <c r="C110" s="43">
        <f>AVERAGEIFS('DATOS LIMPIOS'!$M$5:$M$493,'DATOS LIMPIOS'!$V$5:$V$493,9,'DATOS LIMPIOS'!$AI$5:$AI$493,"Sí")</f>
        <v>30.684769975402642</v>
      </c>
      <c r="D110" s="43">
        <f>AVERAGEIFS('DATOS LIMPIOS'!$N$5:$N$493,'DATOS LIMPIOS'!$V$5:$V$493,9,'DATOS LIMPIOS'!$AI$5:$AI$493,"Sí")</f>
        <v>9.1914212640601942</v>
      </c>
    </row>
    <row r="111" spans="1:14" x14ac:dyDescent="0.2">
      <c r="A111" s="41">
        <v>10</v>
      </c>
      <c r="B111" s="42">
        <f>COUNTIFS('DATOS LIMPIOS'!$V$5:$V$493,10,'DATOS LIMPIOS'!$AI$5:$AI$493,"Sí")</f>
        <v>49</v>
      </c>
      <c r="C111" s="43">
        <f>AVERAGEIFS('DATOS LIMPIOS'!$M$5:$M$493,'DATOS LIMPIOS'!$V$5:$V$493,10,'DATOS LIMPIOS'!$AI$5:$AI$493,"Sí")</f>
        <v>30.915001390034359</v>
      </c>
      <c r="D111" s="43">
        <f>AVERAGEIFS('DATOS LIMPIOS'!$N$5:$N$493,'DATOS LIMPIOS'!$V$5:$V$493,10,'DATOS LIMPIOS'!$AI$5:$AI$493,"Sí")</f>
        <v>10.136858828757358</v>
      </c>
    </row>
    <row r="112" spans="1:14" x14ac:dyDescent="0.2">
      <c r="A112" s="41">
        <v>11</v>
      </c>
      <c r="B112" s="42">
        <f>COUNTIFS('DATOS LIMPIOS'!$V$5:$V$493,11,'DATOS LIMPIOS'!$AI$5:$AI$493,"Sí")</f>
        <v>59</v>
      </c>
      <c r="C112" s="43">
        <f>AVERAGEIFS('DATOS LIMPIOS'!$M$5:$M$493,'DATOS LIMPIOS'!$V$5:$V$493,11,'DATOS LIMPIOS'!$AI$5:$AI$493,"Sí")</f>
        <v>27.703451525974959</v>
      </c>
      <c r="D112" s="43">
        <f>AVERAGEIFS('DATOS LIMPIOS'!$N$5:$N$493,'DATOS LIMPIOS'!$V$5:$V$493,11,'DATOS LIMPIOS'!$AI$5:$AI$493,"Sí")</f>
        <v>9.0613249693159972</v>
      </c>
    </row>
    <row r="113" spans="1:14" x14ac:dyDescent="0.2">
      <c r="A113" s="41">
        <v>12</v>
      </c>
      <c r="B113" s="42">
        <f>COUNTIFS('DATOS LIMPIOS'!$V$5:$V$493,12,'DATOS LIMPIOS'!$AI$5:$AI$493,"Sí")</f>
        <v>17</v>
      </c>
      <c r="C113" s="43">
        <f>AVERAGEIFS('DATOS LIMPIOS'!$M$5:$M$493,'DATOS LIMPIOS'!$V$5:$V$493,12,'DATOS LIMPIOS'!$AI$5:$AI$493,"Sí")</f>
        <v>37.091232135550769</v>
      </c>
      <c r="D113" s="43">
        <f>AVERAGEIFS('DATOS LIMPIOS'!$N$5:$N$493,'DATOS LIMPIOS'!$V$5:$V$493,12,'DATOS LIMPIOS'!$AI$5:$AI$493,"Sí")</f>
        <v>10.296305833585295</v>
      </c>
    </row>
    <row r="114" spans="1:14" x14ac:dyDescent="0.2">
      <c r="A114" s="41">
        <v>13</v>
      </c>
      <c r="B114" s="42">
        <f>COUNTIFS('DATOS LIMPIOS'!$V$5:$V$493,13,'DATOS LIMPIOS'!$AI$5:$AI$493,"Sí")</f>
        <v>40</v>
      </c>
      <c r="C114" s="43">
        <f>AVERAGEIFS('DATOS LIMPIOS'!$M$5:$M$493,'DATOS LIMPIOS'!$V$5:$V$493,13,'DATOS LIMPIOS'!$AI$5:$AI$493,"Sí")</f>
        <v>29.167677931605891</v>
      </c>
      <c r="D114" s="43">
        <f>AVERAGEIFS('DATOS LIMPIOS'!$N$5:$N$493,'DATOS LIMPIOS'!$V$5:$V$493,13,'DATOS LIMPIOS'!$AI$5:$AI$493,"Sí")</f>
        <v>9.3819117639651317</v>
      </c>
    </row>
    <row r="115" spans="1:14" x14ac:dyDescent="0.2">
      <c r="A115" s="41">
        <v>14</v>
      </c>
      <c r="B115" s="42">
        <f>COUNTIFS('DATOS LIMPIOS'!$V$5:$V$493,14,'DATOS LIMPIOS'!$AI$5:$AI$493,"Sí")</f>
        <v>24</v>
      </c>
      <c r="C115" s="43">
        <f>AVERAGEIFS('DATOS LIMPIOS'!$M$5:$M$493,'DATOS LIMPIOS'!$V$5:$V$493,14,'DATOS LIMPIOS'!$AI$5:$AI$493,"Sí")</f>
        <v>27.253713327212683</v>
      </c>
      <c r="D115" s="43">
        <f>AVERAGEIFS('DATOS LIMPIOS'!$N$5:$N$493,'DATOS LIMPIOS'!$V$5:$V$493,14,'DATOS LIMPIOS'!$AI$5:$AI$493,"Sí")</f>
        <v>9.2860913494319846</v>
      </c>
    </row>
    <row r="116" spans="1:14" x14ac:dyDescent="0.2">
      <c r="A116" s="41">
        <v>15</v>
      </c>
      <c r="B116" s="42">
        <f>COUNTIFS('DATOS LIMPIOS'!$V$5:$V$493,15,'DATOS LIMPIOS'!$AI$5:$AI$493,"Sí")</f>
        <v>43</v>
      </c>
      <c r="C116" s="43">
        <f>AVERAGEIFS('DATOS LIMPIOS'!$M$5:$M$493,'DATOS LIMPIOS'!$V$5:$V$493,15,'DATOS LIMPIOS'!$AI$5:$AI$493,"Sí")</f>
        <v>33.654977926686037</v>
      </c>
      <c r="D116" s="43">
        <f>AVERAGEIFS('DATOS LIMPIOS'!$N$5:$N$493,'DATOS LIMPIOS'!$V$5:$V$493,15,'DATOS LIMPIOS'!$AI$5:$AI$493,"Sí")</f>
        <v>10.241311766449241</v>
      </c>
    </row>
    <row r="117" spans="1:14" x14ac:dyDescent="0.2">
      <c r="A117" s="41">
        <v>16</v>
      </c>
      <c r="B117" s="42">
        <f>COUNTIFS('DATOS LIMPIOS'!$V$5:$V$493,16,'DATOS LIMPIOS'!$AI$5:$AI$493,"Sí")</f>
        <v>21</v>
      </c>
      <c r="C117" s="43">
        <f>AVERAGEIFS('DATOS LIMPIOS'!$M$5:$M$493,'DATOS LIMPIOS'!$V$5:$V$493,16,'DATOS LIMPIOS'!$AI$5:$AI$493,"Sí")</f>
        <v>28.27378845976563</v>
      </c>
      <c r="D117" s="43">
        <f>AVERAGEIFS('DATOS LIMPIOS'!$N$5:$N$493,'DATOS LIMPIOS'!$V$5:$V$493,16,'DATOS LIMPIOS'!$AI$5:$AI$493,"Sí")</f>
        <v>8.5242855811706733</v>
      </c>
    </row>
    <row r="119" spans="1:14" ht="15" customHeight="1" x14ac:dyDescent="0.2">
      <c r="A119" s="201" t="s">
        <v>196</v>
      </c>
      <c r="B119" s="201"/>
      <c r="C119" s="201"/>
      <c r="D119" s="202" t="s">
        <v>409</v>
      </c>
      <c r="E119" s="202"/>
      <c r="F119" s="202"/>
    </row>
    <row r="127" spans="1:14" ht="17.25" customHeight="1" x14ac:dyDescent="0.2">
      <c r="A127" s="197" t="s">
        <v>410</v>
      </c>
      <c r="B127" s="197"/>
      <c r="C127" s="197"/>
      <c r="D127" s="197"/>
      <c r="E127" s="197"/>
      <c r="F127" s="197"/>
      <c r="G127" s="197"/>
      <c r="H127" s="197"/>
      <c r="I127" s="197"/>
      <c r="J127" s="197"/>
      <c r="K127" s="197"/>
      <c r="L127" s="197"/>
      <c r="M127" s="197"/>
      <c r="N127" s="197"/>
    </row>
    <row r="128" spans="1:14" ht="15" customHeight="1" x14ac:dyDescent="0.2">
      <c r="A128" s="199" t="s">
        <v>411</v>
      </c>
      <c r="B128" s="199"/>
      <c r="C128" s="199"/>
      <c r="D128" s="199"/>
      <c r="E128" s="199"/>
      <c r="F128" s="199"/>
    </row>
    <row r="129" spans="1:6" x14ac:dyDescent="0.2">
      <c r="A129" s="199"/>
      <c r="B129" s="199"/>
      <c r="C129" s="199"/>
      <c r="D129" s="199"/>
      <c r="E129" s="199"/>
      <c r="F129" s="199"/>
    </row>
    <row r="130" spans="1:6" x14ac:dyDescent="0.2">
      <c r="A130" s="199"/>
      <c r="B130" s="199"/>
      <c r="C130" s="199"/>
      <c r="D130" s="199"/>
      <c r="E130" s="199"/>
      <c r="F130" s="199"/>
    </row>
    <row r="131" spans="1:6" x14ac:dyDescent="0.2">
      <c r="A131" s="200" t="s">
        <v>412</v>
      </c>
      <c r="B131" s="200"/>
      <c r="C131" s="200"/>
      <c r="D131" s="200"/>
      <c r="E131" s="200"/>
      <c r="F131" s="200"/>
    </row>
    <row r="132" spans="1:6" ht="30" customHeight="1" x14ac:dyDescent="0.2">
      <c r="A132" s="16" t="s">
        <v>413</v>
      </c>
      <c r="B132" s="16" t="s">
        <v>189</v>
      </c>
      <c r="C132" s="16" t="s">
        <v>190</v>
      </c>
      <c r="D132" s="16" t="s">
        <v>191</v>
      </c>
    </row>
    <row r="133" spans="1:6" x14ac:dyDescent="0.2">
      <c r="A133" s="41" t="s">
        <v>414</v>
      </c>
      <c r="B133" s="42">
        <f>COUNTIF('DATOS LIMPIOS'!$AL$5:$AL$493,"Descuento sin tiempo límite")</f>
        <v>206</v>
      </c>
      <c r="C133" s="43">
        <f>AVERAGEIF('DATOS LIMPIOS'!$AL$5:$AL$493,"Descuento sin tiempo límite",'DATOS LIMPIOS'!$M$5:$M$493)</f>
        <v>32.142247305736767</v>
      </c>
      <c r="D133" s="43">
        <f>AVERAGEIF('DATOS LIMPIOS'!$AL$5:$AL$493,"Descuento sin tiempo límite",'DATOS LIMPIOS'!$N$5:$N$493)</f>
        <v>9.5029646941451187</v>
      </c>
    </row>
    <row r="134" spans="1:6" x14ac:dyDescent="0.2">
      <c r="A134" s="41" t="s">
        <v>415</v>
      </c>
      <c r="B134" s="42">
        <f>COUNTIF('DATOS LIMPIOS'!$AL$5:$AL$493,"Descuento con tiempo límite solo en el preheader")</f>
        <v>21</v>
      </c>
      <c r="C134" s="43">
        <f>AVERAGEIF('DATOS LIMPIOS'!$AL$5:$AL$493,"Descuento con tiempo límite solo en el preheader",'DATOS LIMPIOS'!$M$5:$M$493)</f>
        <v>37.555790098765478</v>
      </c>
      <c r="D134" s="43">
        <f>AVERAGEIF('DATOS LIMPIOS'!$AL$5:$AL$493,"Descuento con tiempo límite solo en el preheader",'DATOS LIMPIOS'!$N$5:$N$493)</f>
        <v>13.070679122493052</v>
      </c>
    </row>
    <row r="135" spans="1:6" x14ac:dyDescent="0.2">
      <c r="A135" s="41" t="s">
        <v>416</v>
      </c>
      <c r="B135" s="42">
        <f>COUNTIF('DATOS LIMPIOS'!$AL$5:$AL$493,"Descuento con tiempo límite en el asunto")</f>
        <v>60</v>
      </c>
      <c r="C135" s="43">
        <f>AVERAGEIF('DATOS LIMPIOS'!$AL$5:$AL$493,"Descuento con tiempo límite en el asunto",'DATOS LIMPIOS'!$M$5:$M$493)</f>
        <v>20.798269672331276</v>
      </c>
      <c r="D135" s="43">
        <f>AVERAGEIF('DATOS LIMPIOS'!$AL$5:$AL$493,"Descuento con tiempo límite en el asunto",'DATOS LIMPIOS'!$N$5:$N$493)</f>
        <v>7.9922495316549256</v>
      </c>
    </row>
    <row r="136" spans="1:6" x14ac:dyDescent="0.2">
      <c r="A136" s="41" t="s">
        <v>417</v>
      </c>
      <c r="B136" s="42">
        <f>COUNTIF('DATOS LIMPIOS'!$AL$5:$AL$493,"Sin descuento")</f>
        <v>202</v>
      </c>
      <c r="C136" s="43">
        <f>AVERAGEIF('DATOS LIMPIOS'!$AL$5:$AL$493,"Sin descuento",'DATOS LIMPIOS'!$M$5:$M$493)</f>
        <v>27.793976916791504</v>
      </c>
      <c r="D136" s="43">
        <f>AVERAGEIF('DATOS LIMPIOS'!$AL$5:$AL$493,"Sin descuento",'DATOS LIMPIOS'!$N$5:$N$493)</f>
        <v>10.268812746753635</v>
      </c>
    </row>
    <row r="138" spans="1:6" ht="15" customHeight="1" x14ac:dyDescent="0.2">
      <c r="A138" s="203" t="s">
        <v>331</v>
      </c>
      <c r="B138" s="203"/>
      <c r="C138" s="203"/>
      <c r="D138" s="202" t="s">
        <v>418</v>
      </c>
      <c r="E138" s="202"/>
      <c r="F138" s="202"/>
    </row>
    <row r="139" spans="1:6" ht="15" customHeight="1" x14ac:dyDescent="0.2">
      <c r="A139" s="202" t="s">
        <v>419</v>
      </c>
      <c r="B139" s="202"/>
      <c r="C139" s="202"/>
      <c r="D139" s="202"/>
      <c r="E139" s="202"/>
      <c r="F139" s="202"/>
    </row>
    <row r="140" spans="1:6" x14ac:dyDescent="0.2">
      <c r="A140" s="202"/>
      <c r="B140" s="202"/>
      <c r="C140" s="202"/>
      <c r="D140" s="202"/>
      <c r="E140" s="202"/>
      <c r="F140" s="202"/>
    </row>
    <row r="141" spans="1:6" x14ac:dyDescent="0.2">
      <c r="A141" s="202"/>
      <c r="B141" s="202"/>
      <c r="C141" s="202"/>
      <c r="D141" s="202"/>
      <c r="E141" s="202"/>
      <c r="F141" s="202"/>
    </row>
    <row r="151" spans="1:14" ht="17.25" customHeight="1" x14ac:dyDescent="0.2">
      <c r="A151" s="197" t="s">
        <v>420</v>
      </c>
      <c r="B151" s="197"/>
      <c r="C151" s="197"/>
      <c r="D151" s="197"/>
      <c r="E151" s="197"/>
      <c r="F151" s="197"/>
      <c r="G151" s="197"/>
      <c r="H151" s="197"/>
      <c r="I151" s="197"/>
      <c r="J151" s="197"/>
      <c r="K151" s="197"/>
      <c r="L151" s="197"/>
      <c r="M151" s="197"/>
      <c r="N151" s="197"/>
    </row>
    <row r="152" spans="1:14" ht="15" customHeight="1" x14ac:dyDescent="0.2">
      <c r="A152" s="199" t="s">
        <v>421</v>
      </c>
      <c r="B152" s="199"/>
      <c r="C152" s="199"/>
      <c r="D152" s="199"/>
      <c r="E152" s="199"/>
      <c r="F152" s="199"/>
    </row>
    <row r="153" spans="1:14" x14ac:dyDescent="0.2">
      <c r="A153" s="199"/>
      <c r="B153" s="199"/>
      <c r="C153" s="199"/>
      <c r="D153" s="199"/>
      <c r="E153" s="199"/>
      <c r="F153" s="199"/>
    </row>
    <row r="154" spans="1:14" x14ac:dyDescent="0.2">
      <c r="A154" s="199"/>
      <c r="B154" s="199"/>
      <c r="C154" s="199"/>
      <c r="D154" s="199"/>
      <c r="E154" s="199"/>
      <c r="F154" s="199"/>
    </row>
    <row r="155" spans="1:14" x14ac:dyDescent="0.2">
      <c r="A155" s="200" t="s">
        <v>422</v>
      </c>
      <c r="B155" s="200"/>
      <c r="C155" s="200"/>
      <c r="D155" s="200"/>
      <c r="E155" s="200"/>
      <c r="F155" s="200"/>
    </row>
    <row r="156" spans="1:14" ht="30" customHeight="1" x14ac:dyDescent="0.2">
      <c r="A156" s="16" t="s">
        <v>423</v>
      </c>
      <c r="B156" s="16" t="s">
        <v>189</v>
      </c>
      <c r="C156" s="16" t="s">
        <v>190</v>
      </c>
    </row>
    <row r="157" spans="1:14" x14ac:dyDescent="0.2">
      <c r="A157" s="41" t="s">
        <v>424</v>
      </c>
      <c r="B157" s="42">
        <f>COUNTIFS('DATOS LIMPIOS'!$AJ$5:$AJ$493,"Sí",'DATOS LIMPIOS'!$AM$5:$AM$493,"No",'DATOS LIMPIOS'!$AI$5:$AI$493,"Sí")</f>
        <v>26</v>
      </c>
      <c r="C157" s="43">
        <f>AVERAGEIFS('DATOS LIMPIOS'!$M$5:$M$493,'DATOS LIMPIOS'!$AJ$5:$AJ$493,"Sí",'DATOS LIMPIOS'!$AM$5:$AM$493,"No",'DATOS LIMPIOS'!$AI$5:$AI$493,"Sí")</f>
        <v>18.606848531197503</v>
      </c>
    </row>
    <row r="158" spans="1:14" x14ac:dyDescent="0.2">
      <c r="A158" s="41" t="s">
        <v>425</v>
      </c>
      <c r="B158" s="42">
        <f>COUNTIFS('DATOS LIMPIOS'!$AJ$5:$AJ$493,"Sí",'DATOS LIMPIOS'!$AM$5:$AM$493,"Sí",'DATOS LIMPIOS'!$AI$5:$AI$493,"Sí")</f>
        <v>34</v>
      </c>
      <c r="C158" s="43">
        <f>AVERAGEIFS('DATOS LIMPIOS'!$M$5:$M$493,'DATOS LIMPIOS'!$AJ$5:$AJ$493,"Sí",'DATOS LIMPIOS'!$AM$5:$AM$493,"Sí",'DATOS LIMPIOS'!$AI$5:$AI$493,"Sí")</f>
        <v>22.47406230966887</v>
      </c>
    </row>
    <row r="159" spans="1:14" x14ac:dyDescent="0.2">
      <c r="A159" s="41" t="s">
        <v>426</v>
      </c>
      <c r="B159" s="42">
        <f>COUNTIF('DATOS LIMPIOS'!$E$5:$E$493,"¡Ahorra YA! Flash Sale: Hasta 50% en tus favoritos")</f>
        <v>21</v>
      </c>
      <c r="C159" s="43">
        <f>AVERAGEIF('DATOS LIMPIOS'!$E$5:$E$493,"¡Ahorra YA! Flash Sale: Hasta 50% en tus favoritos",'DATOS LIMPIOS'!$M$5:$M$493)</f>
        <v>41.593592985418489</v>
      </c>
    </row>
    <row r="161" spans="1:14" ht="15" customHeight="1" x14ac:dyDescent="0.2">
      <c r="A161" s="201" t="s">
        <v>427</v>
      </c>
      <c r="B161" s="201"/>
      <c r="C161" s="201"/>
    </row>
    <row r="162" spans="1:14" ht="15" customHeight="1" x14ac:dyDescent="0.2">
      <c r="A162" s="202" t="s">
        <v>428</v>
      </c>
      <c r="B162" s="202"/>
      <c r="C162" s="202"/>
      <c r="D162" s="202"/>
      <c r="E162" s="202"/>
      <c r="F162" s="202"/>
    </row>
    <row r="163" spans="1:14" x14ac:dyDescent="0.2">
      <c r="A163" s="202"/>
      <c r="B163" s="202"/>
      <c r="C163" s="202"/>
      <c r="D163" s="202"/>
      <c r="E163" s="202"/>
      <c r="F163" s="202"/>
    </row>
    <row r="164" spans="1:14" x14ac:dyDescent="0.2">
      <c r="A164" s="202"/>
      <c r="B164" s="202"/>
      <c r="C164" s="202"/>
      <c r="D164" s="202"/>
      <c r="E164" s="202"/>
      <c r="F164" s="202"/>
    </row>
    <row r="175" spans="1:14" ht="17.25" customHeight="1" x14ac:dyDescent="0.2">
      <c r="A175" s="197" t="s">
        <v>429</v>
      </c>
      <c r="B175" s="197"/>
      <c r="C175" s="197"/>
      <c r="D175" s="197"/>
      <c r="E175" s="197"/>
      <c r="F175" s="197"/>
      <c r="G175" s="197"/>
      <c r="H175" s="197"/>
      <c r="I175" s="197"/>
      <c r="J175" s="197"/>
      <c r="K175" s="197"/>
      <c r="L175" s="197"/>
      <c r="M175" s="197"/>
      <c r="N175" s="197"/>
    </row>
    <row r="176" spans="1:14" ht="15" customHeight="1" x14ac:dyDescent="0.2">
      <c r="A176" s="199" t="s">
        <v>430</v>
      </c>
      <c r="B176" s="199"/>
      <c r="C176" s="199"/>
      <c r="D176" s="199"/>
      <c r="E176" s="199"/>
      <c r="F176" s="199"/>
    </row>
    <row r="177" spans="1:6" x14ac:dyDescent="0.2">
      <c r="A177" s="199"/>
      <c r="B177" s="199"/>
      <c r="C177" s="199"/>
      <c r="D177" s="199"/>
      <c r="E177" s="199"/>
      <c r="F177" s="199"/>
    </row>
    <row r="178" spans="1:6" x14ac:dyDescent="0.2">
      <c r="A178" s="199"/>
      <c r="B178" s="199"/>
      <c r="C178" s="199"/>
      <c r="D178" s="199"/>
      <c r="E178" s="199"/>
      <c r="F178" s="199"/>
    </row>
    <row r="179" spans="1:6" x14ac:dyDescent="0.2">
      <c r="A179" s="200" t="s">
        <v>431</v>
      </c>
      <c r="B179" s="200"/>
      <c r="C179" s="200"/>
      <c r="D179" s="200"/>
      <c r="E179" s="200"/>
      <c r="F179" s="200"/>
    </row>
    <row r="180" spans="1:6" ht="30" customHeight="1" x14ac:dyDescent="0.2">
      <c r="A180" s="16" t="s">
        <v>366</v>
      </c>
      <c r="B180" s="16" t="s">
        <v>189</v>
      </c>
      <c r="C180" s="16" t="s">
        <v>190</v>
      </c>
      <c r="D180" s="16" t="s">
        <v>191</v>
      </c>
    </row>
    <row r="181" spans="1:6" x14ac:dyDescent="0.2">
      <c r="A181" s="41" t="str">
        <f>_calculos!B98</f>
        <v>Prepárate para un Ahorro Épico: ¡Flash Sale en toda la tienda!</v>
      </c>
      <c r="B181" s="42">
        <f>_calculos!C98</f>
        <v>1</v>
      </c>
      <c r="C181" s="43">
        <f>_calculos!D98</f>
        <v>49.696273744445357</v>
      </c>
      <c r="D181" s="43">
        <f>_calculos!E98</f>
        <v>2.4199190384977252</v>
      </c>
    </row>
    <row r="182" spans="1:6" x14ac:dyDescent="0.2">
      <c r="A182" s="41" t="str">
        <f>_calculos!B99</f>
        <v>¡Última Oportunidad! Descuentos de otro nivel en L'Oréal</v>
      </c>
      <c r="B182" s="42">
        <f>_calculos!C99</f>
        <v>1</v>
      </c>
      <c r="C182" s="43">
        <f>_calculos!D99</f>
        <v>45.547169571920087</v>
      </c>
      <c r="D182" s="43">
        <f>_calculos!E99</f>
        <v>13.681301136231466</v>
      </c>
    </row>
    <row r="183" spans="1:6" x14ac:dyDescent="0.2">
      <c r="A183" s="41" t="str">
        <f>_calculos!B100</f>
        <v>🔥 Hot Sale Anticipado: ¡Precios de locura en L'Oréal Paris!</v>
      </c>
      <c r="B183" s="42">
        <f>_calculos!C100</f>
        <v>3</v>
      </c>
      <c r="C183" s="43">
        <f>_calculos!D100</f>
        <v>43.243161255628017</v>
      </c>
      <c r="D183" s="43">
        <f>_calculos!E100</f>
        <v>7.7863943515516043</v>
      </c>
    </row>
    <row r="184" spans="1:6" x14ac:dyDescent="0.2">
      <c r="A184" s="41" t="str">
        <f>_calculos!B101</f>
        <v>¡Ahorra YA! Flash Sale: Hasta 50% en tus favoritos</v>
      </c>
      <c r="B184" s="42">
        <f>_calculos!C101</f>
        <v>21</v>
      </c>
      <c r="C184" s="43">
        <f>_calculos!D101</f>
        <v>41.593592985418489</v>
      </c>
      <c r="D184" s="43">
        <f>_calculos!E101</f>
        <v>10.640007862164545</v>
      </c>
    </row>
    <row r="185" spans="1:6" x14ac:dyDescent="0.2">
      <c r="A185" s="41" t="str">
        <f>_calculos!B102</f>
        <v>🔥 Hot Sale Anticipado: ¡Precios increíbles en belleza!</v>
      </c>
      <c r="B185" s="42">
        <f>_calculos!C102</f>
        <v>3</v>
      </c>
      <c r="C185" s="43">
        <f>_calculos!D102</f>
        <v>39.278310607790992</v>
      </c>
      <c r="D185" s="43">
        <f>_calculos!E102</f>
        <v>8.9045127076499782</v>
      </c>
    </row>
    <row r="186" spans="1:6" x14ac:dyDescent="0.2">
      <c r="A186" s="41" t="str">
        <f>_calculos!B103</f>
        <v>¡Oferta Express! No parpadees, tus productos favoritos te esperan</v>
      </c>
      <c r="B186" s="42">
        <f>_calculos!C103</f>
        <v>1</v>
      </c>
      <c r="C186" s="43">
        <f>_calculos!D103</f>
        <v>38.629986941941709</v>
      </c>
      <c r="D186" s="43">
        <f>_calculos!E103</f>
        <v>11.8568804114821</v>
      </c>
    </row>
    <row r="187" spans="1:6" x14ac:dyDescent="0.2">
      <c r="A187" s="41" t="str">
        <f>_calculos!B104</f>
        <v>¡Ahorra en tus favoritos! Oferta Flash, solo por hoy</v>
      </c>
      <c r="B187" s="42">
        <f>_calculos!C104</f>
        <v>2</v>
      </c>
      <c r="C187" s="43">
        <f>_calculos!D104</f>
        <v>33.635625365301983</v>
      </c>
      <c r="D187" s="43">
        <f>_calculos!E104</f>
        <v>5.7188244796864947</v>
      </c>
    </row>
    <row r="188" spans="1:6" x14ac:dyDescent="0.2">
      <c r="A188" s="41" t="str">
        <f>_calculos!B105</f>
        <v>¡Ofertas que te harán sonreír! Flash Sale en tus favoritos</v>
      </c>
      <c r="B188" s="42">
        <f>_calculos!C105</f>
        <v>4</v>
      </c>
      <c r="C188" s="43">
        <f>_calculos!D105</f>
        <v>31.964920766647268</v>
      </c>
      <c r="D188" s="43">
        <f>_calculos!E105</f>
        <v>12.939708880391272</v>
      </c>
    </row>
    <row r="189" spans="1:6" x14ac:dyDescent="0.2">
      <c r="A189" s="41" t="str">
        <f>_calculos!B106</f>
        <v>Prepárate para un Ahorro Épico: ¡Flash Sale en todo!</v>
      </c>
      <c r="B189" s="42">
        <f>_calculos!C106</f>
        <v>2</v>
      </c>
      <c r="C189" s="43">
        <f>_calculos!D106</f>
        <v>30.71624165289527</v>
      </c>
      <c r="D189" s="43">
        <f>_calculos!E106</f>
        <v>13.306453442971776</v>
      </c>
    </row>
    <row r="190" spans="1:6" x14ac:dyDescent="0.2">
      <c r="A190" s="41" t="str">
        <f>_calculos!B107</f>
        <v>🔥 Hot Sale Anticipado: ¡Precios de locura en maquillaje y más!</v>
      </c>
      <c r="B190" s="42">
        <f>_calculos!C107</f>
        <v>1</v>
      </c>
      <c r="C190" s="43">
        <f>_calculos!D107</f>
        <v>28.999873378796376</v>
      </c>
      <c r="D190" s="43">
        <f>_calculos!E107</f>
        <v>8.4319385189453744</v>
      </c>
    </row>
    <row r="191" spans="1:6" x14ac:dyDescent="0.2">
      <c r="A191" s="41" t="str">
        <f>_calculos!B108</f>
        <v>¡Descuentos Imperdibles! Solo por tiempo limitado, no esperes</v>
      </c>
      <c r="B191" s="42">
        <f>_calculos!C108</f>
        <v>1</v>
      </c>
      <c r="C191" s="43">
        <f>_calculos!D108</f>
        <v>24.542645070500264</v>
      </c>
      <c r="D191" s="43">
        <f>_calculos!E108</f>
        <v>14.420131894815263</v>
      </c>
    </row>
    <row r="192" spans="1:6" x14ac:dyDescent="0.2">
      <c r="A192" s="41" t="str">
        <f>_calculos!B109</f>
        <v>¡Aprovecha antes de que se acabe! Oferta Flash, productos top</v>
      </c>
      <c r="B192" s="42">
        <f>_calculos!C109</f>
        <v>20</v>
      </c>
      <c r="C192" s="43">
        <f>_calculos!D109</f>
        <v>22.775066640377752</v>
      </c>
      <c r="D192" s="43">
        <f>_calculos!E109</f>
        <v>7.6719520838610986</v>
      </c>
    </row>
    <row r="193" spans="1:6" x14ac:dyDescent="0.2">
      <c r="A193" s="41" t="str">
        <f>_calculos!B110</f>
        <v>¡Ahorra en grande! Oferta Relámpago, últimas unidades</v>
      </c>
      <c r="B193" s="42">
        <f>_calculos!C110</f>
        <v>7</v>
      </c>
      <c r="C193" s="43">
        <f>_calculos!D110</f>
        <v>20.679461560319073</v>
      </c>
      <c r="D193" s="43">
        <f>_calculos!E110</f>
        <v>6.6841708047908428</v>
      </c>
    </row>
    <row r="194" spans="1:6" x14ac:dyDescent="0.2">
      <c r="A194" s="41" t="str">
        <f>_calculos!B111</f>
        <v>¡Última oportunidad! Descuentos que no volverán, no esperes</v>
      </c>
      <c r="B194" s="42">
        <f>_calculos!C111</f>
        <v>1</v>
      </c>
      <c r="C194" s="43">
        <f>_calculos!D111</f>
        <v>19.632660579427942</v>
      </c>
      <c r="D194" s="43">
        <f>_calculos!E111</f>
        <v>19.489689410485138</v>
      </c>
    </row>
    <row r="195" spans="1:6" x14ac:dyDescent="0.2">
      <c r="A195" s="41" t="str">
        <f>_calculos!B112</f>
        <v>¡Gran oferta! Por tiempo limitado, no te lo pierdas</v>
      </c>
      <c r="B195" s="42">
        <f>_calculos!C112</f>
        <v>9</v>
      </c>
      <c r="C195" s="43">
        <f>_calculos!D112</f>
        <v>17.395911943759799</v>
      </c>
      <c r="D195" s="43">
        <f>_calculos!E112</f>
        <v>9.2938358042444964</v>
      </c>
    </row>
    <row r="196" spans="1:6" x14ac:dyDescent="0.2">
      <c r="A196" s="41" t="str">
        <f>_calculos!B113</f>
        <v>¡Últimas horas! Flash Sale: No te quedes sin tu descuento</v>
      </c>
      <c r="B196" s="42">
        <f>_calculos!C113</f>
        <v>4</v>
      </c>
      <c r="C196" s="43">
        <f>_calculos!D113</f>
        <v>10.812608203610466</v>
      </c>
      <c r="D196" s="43">
        <f>_calculos!E113</f>
        <v>7.0308876339906208</v>
      </c>
    </row>
    <row r="198" spans="1:6" ht="15" customHeight="1" x14ac:dyDescent="0.2">
      <c r="A198" s="203" t="s">
        <v>331</v>
      </c>
      <c r="B198" s="203"/>
      <c r="C198" s="203"/>
      <c r="D198" s="202" t="s">
        <v>332</v>
      </c>
      <c r="E198" s="202"/>
      <c r="F198" s="202"/>
    </row>
    <row r="199" spans="1:6" ht="15" customHeight="1" x14ac:dyDescent="0.2">
      <c r="A199" s="202" t="s">
        <v>432</v>
      </c>
      <c r="B199" s="202"/>
      <c r="C199" s="202"/>
      <c r="D199" s="202"/>
      <c r="E199" s="202"/>
      <c r="F199" s="202"/>
    </row>
    <row r="200" spans="1:6" x14ac:dyDescent="0.2">
      <c r="A200" s="202"/>
      <c r="B200" s="202"/>
      <c r="C200" s="202"/>
      <c r="D200" s="202"/>
      <c r="E200" s="202"/>
      <c r="F200" s="202"/>
    </row>
    <row r="201" spans="1:6" x14ac:dyDescent="0.2">
      <c r="A201" s="202"/>
      <c r="B201" s="202"/>
      <c r="C201" s="202"/>
      <c r="D201" s="202"/>
      <c r="E201" s="202"/>
      <c r="F201" s="202"/>
    </row>
    <row r="209" spans="1:14" ht="17.25" customHeight="1" x14ac:dyDescent="0.2">
      <c r="A209" s="197" t="s">
        <v>433</v>
      </c>
      <c r="B209" s="197"/>
      <c r="C209" s="197"/>
      <c r="D209" s="197"/>
      <c r="E209" s="197"/>
      <c r="F209" s="197"/>
      <c r="G209" s="197"/>
      <c r="H209" s="197"/>
      <c r="I209" s="197"/>
      <c r="J209" s="197"/>
      <c r="K209" s="197"/>
      <c r="L209" s="197"/>
      <c r="M209" s="197"/>
      <c r="N209" s="197"/>
    </row>
    <row r="210" spans="1:14" ht="15" customHeight="1" x14ac:dyDescent="0.2">
      <c r="A210" s="199" t="s">
        <v>434</v>
      </c>
      <c r="B210" s="199"/>
      <c r="C210" s="199"/>
      <c r="D210" s="199"/>
      <c r="E210" s="199"/>
      <c r="F210" s="199"/>
    </row>
    <row r="211" spans="1:14" x14ac:dyDescent="0.2">
      <c r="A211" s="199"/>
      <c r="B211" s="199"/>
      <c r="C211" s="199"/>
      <c r="D211" s="199"/>
      <c r="E211" s="199"/>
      <c r="F211" s="199"/>
    </row>
    <row r="212" spans="1:14" x14ac:dyDescent="0.2">
      <c r="A212" s="199"/>
      <c r="B212" s="199"/>
      <c r="C212" s="199"/>
      <c r="D212" s="199"/>
      <c r="E212" s="199"/>
      <c r="F212" s="199"/>
    </row>
    <row r="213" spans="1:14" x14ac:dyDescent="0.2">
      <c r="A213" s="200" t="s">
        <v>435</v>
      </c>
      <c r="B213" s="200"/>
      <c r="C213" s="200"/>
      <c r="D213" s="200"/>
      <c r="E213" s="200"/>
      <c r="F213" s="200"/>
    </row>
    <row r="214" spans="1:14" ht="30" customHeight="1" x14ac:dyDescent="0.2">
      <c r="A214" s="16" t="s">
        <v>189</v>
      </c>
      <c r="B214" s="16" t="s">
        <v>189</v>
      </c>
      <c r="C214" s="16" t="s">
        <v>190</v>
      </c>
      <c r="D214" s="16" t="s">
        <v>191</v>
      </c>
      <c r="E214" s="16" t="s">
        <v>436</v>
      </c>
    </row>
    <row r="215" spans="1:14" x14ac:dyDescent="0.2">
      <c r="A215" s="41" t="s">
        <v>437</v>
      </c>
      <c r="B215" s="42">
        <f>COUNTIFS('DATOS LIMPIOS'!$B$5:$B$493,"Flash Sale",'DATOS LIMPIOS'!$AS$5:$AS$493,"Sí")</f>
        <v>7</v>
      </c>
      <c r="C215" s="43">
        <f>AVERAGEIFS('DATOS LIMPIOS'!$M$5:$M$493,'DATOS LIMPIOS'!$B$5:$B$493,"Flash Sale",'DATOS LIMPIOS'!$AS$5:$AS$493,"Sí")</f>
        <v>39.509184138436197</v>
      </c>
      <c r="D215" s="43">
        <f>AVERAGEIFS('DATOS LIMPIOS'!$N$5:$N$493,'DATOS LIMPIOS'!$B$5:$B$493,"Flash Sale",'DATOS LIMPIOS'!$AS$5:$AS$493,"Sí")</f>
        <v>8.3578085280785892</v>
      </c>
      <c r="E215" s="43">
        <f>AVERAGEIFS('DATOS LIMPIOS'!$O$5:$O$493,'DATOS LIMPIOS'!$B$5:$B$493,"Flash Sale",'DATOS LIMPIOS'!$AS$5:$AS$493,"Sí")</f>
        <v>21.898342171402771</v>
      </c>
    </row>
    <row r="216" spans="1:14" x14ac:dyDescent="0.2">
      <c r="A216" s="41" t="s">
        <v>438</v>
      </c>
      <c r="B216" s="42">
        <f>COUNTIFS('DATOS LIMPIOS'!$B$5:$B$493,"Flash Sale",'DATOS LIMPIOS'!$AS$5:$AS$493,"No")</f>
        <v>74</v>
      </c>
      <c r="C216" s="43">
        <f>AVERAGEIFS('DATOS LIMPIOS'!$M$5:$M$493,'DATOS LIMPIOS'!$B$5:$B$493,"Flash Sale",'DATOS LIMPIOS'!$AS$5:$AS$493,"No")</f>
        <v>28.488497428960489</v>
      </c>
      <c r="D216" s="43">
        <f>AVERAGEIFS('DATOS LIMPIOS'!$N$5:$N$493,'DATOS LIMPIOS'!$B$5:$B$493,"Flash Sale",'DATOS LIMPIOS'!$AS$5:$AS$493,"No")</f>
        <v>9.2853214655239142</v>
      </c>
      <c r="E216" s="43">
        <f>AVERAGEIFS('DATOS LIMPIOS'!$O$5:$O$493,'DATOS LIMPIOS'!$B$5:$B$493,"Flash Sale",'DATOS LIMPIOS'!$AS$5:$AS$493,"No")</f>
        <v>38.381480318265432</v>
      </c>
    </row>
    <row r="218" spans="1:14" ht="15" customHeight="1" x14ac:dyDescent="0.2">
      <c r="A218" s="203" t="s">
        <v>331</v>
      </c>
      <c r="B218" s="203"/>
      <c r="C218" s="203"/>
      <c r="D218" s="202" t="s">
        <v>439</v>
      </c>
      <c r="E218" s="202"/>
      <c r="F218" s="202"/>
    </row>
    <row r="219" spans="1:14" ht="15" customHeight="1" x14ac:dyDescent="0.2">
      <c r="A219" s="202" t="s">
        <v>440</v>
      </c>
      <c r="B219" s="202"/>
      <c r="C219" s="202"/>
      <c r="D219" s="202"/>
      <c r="E219" s="202"/>
      <c r="F219" s="202"/>
    </row>
    <row r="220" spans="1:14" x14ac:dyDescent="0.2">
      <c r="A220" s="202"/>
      <c r="B220" s="202"/>
      <c r="C220" s="202"/>
      <c r="D220" s="202"/>
      <c r="E220" s="202"/>
      <c r="F220" s="202"/>
    </row>
    <row r="221" spans="1:14" x14ac:dyDescent="0.2">
      <c r="A221" s="202"/>
      <c r="B221" s="202"/>
      <c r="C221" s="202"/>
      <c r="D221" s="202"/>
      <c r="E221" s="202"/>
      <c r="F221" s="202"/>
    </row>
    <row r="233" spans="1:14" ht="17.25" customHeight="1" x14ac:dyDescent="0.2">
      <c r="A233" s="197" t="s">
        <v>441</v>
      </c>
      <c r="B233" s="197"/>
      <c r="C233" s="197"/>
      <c r="D233" s="197"/>
      <c r="E233" s="197"/>
      <c r="F233" s="197"/>
      <c r="G233" s="197"/>
      <c r="H233" s="197"/>
      <c r="I233" s="197"/>
      <c r="J233" s="197"/>
      <c r="K233" s="197"/>
      <c r="L233" s="197"/>
      <c r="M233" s="197"/>
      <c r="N233" s="197"/>
    </row>
    <row r="234" spans="1:14" ht="15" customHeight="1" x14ac:dyDescent="0.2">
      <c r="A234" s="199" t="s">
        <v>442</v>
      </c>
      <c r="B234" s="199"/>
      <c r="C234" s="199"/>
      <c r="D234" s="199"/>
      <c r="E234" s="199"/>
      <c r="F234" s="199"/>
    </row>
    <row r="235" spans="1:14" x14ac:dyDescent="0.2">
      <c r="A235" s="199"/>
      <c r="B235" s="199"/>
      <c r="C235" s="199"/>
      <c r="D235" s="199"/>
      <c r="E235" s="199"/>
      <c r="F235" s="199"/>
    </row>
    <row r="236" spans="1:14" x14ac:dyDescent="0.2">
      <c r="A236" s="199"/>
      <c r="B236" s="199"/>
      <c r="C236" s="199"/>
      <c r="D236" s="199"/>
      <c r="E236" s="199"/>
      <c r="F236" s="199"/>
    </row>
    <row r="237" spans="1:14" x14ac:dyDescent="0.2">
      <c r="A237" s="200" t="s">
        <v>443</v>
      </c>
      <c r="B237" s="200"/>
      <c r="C237" s="200"/>
      <c r="D237" s="200"/>
      <c r="E237" s="200"/>
      <c r="F237" s="200"/>
    </row>
    <row r="238" spans="1:14" ht="30" customHeight="1" x14ac:dyDescent="0.2">
      <c r="A238" s="16" t="s">
        <v>444</v>
      </c>
      <c r="B238" s="16" t="s">
        <v>190</v>
      </c>
      <c r="C238" s="16" t="s">
        <v>191</v>
      </c>
    </row>
    <row r="239" spans="1:14" x14ac:dyDescent="0.2">
      <c r="A239" s="41" t="str">
        <f>TEXT(DATEVALUE("2025-08-09"),"d mmm")&amp;" · "&amp;"EM-057"</f>
        <v>9 Aug · EM-057</v>
      </c>
      <c r="B239" s="43">
        <f>INDEX('DATOS LIMPIOS'!$M$5:$M$493,MATCH("EM-057",'DATOS LIMPIOS'!$A$5:$A$493,0))</f>
        <v>39.250771264874395</v>
      </c>
      <c r="C239" s="43">
        <f>INDEX('DATOS LIMPIOS'!$N$5:$N$493,MATCH("EM-057",'DATOS LIMPIOS'!$A$5:$A$493,0))</f>
        <v>14.454125278276885</v>
      </c>
    </row>
    <row r="240" spans="1:14" x14ac:dyDescent="0.2">
      <c r="A240" s="41" t="str">
        <f>TEXT(DATEVALUE("2025-08-26"),"d mmm")&amp;" · "&amp;"EM-090"</f>
        <v>26 Aug · EM-090</v>
      </c>
      <c r="B240" s="43">
        <f>INDEX('DATOS LIMPIOS'!$M$5:$M$493,MATCH("EM-090",'DATOS LIMPIOS'!$A$5:$A$493,0))</f>
        <v>42.065658919890794</v>
      </c>
      <c r="C240" s="43">
        <f>INDEX('DATOS LIMPIOS'!$N$5:$N$493,MATCH("EM-090",'DATOS LIMPIOS'!$A$5:$A$493,0))</f>
        <v>16.361457015382566</v>
      </c>
    </row>
    <row r="241" spans="1:3" x14ac:dyDescent="0.2">
      <c r="A241" s="41" t="str">
        <f>TEXT(DATEVALUE("2025-08-30"),"d mmm")&amp;" · "&amp;"EM-069"</f>
        <v>30 Aug · EM-069</v>
      </c>
      <c r="B241" s="43">
        <f>INDEX('DATOS LIMPIOS'!$M$5:$M$493,MATCH("EM-069",'DATOS LIMPIOS'!$A$5:$A$493,0))</f>
        <v>44.773187464111942</v>
      </c>
      <c r="C241" s="43">
        <f>INDEX('DATOS LIMPIOS'!$N$5:$N$493,MATCH("EM-069",'DATOS LIMPIOS'!$A$5:$A$493,0))</f>
        <v>3.6608339125792053</v>
      </c>
    </row>
    <row r="242" spans="1:3" x14ac:dyDescent="0.2">
      <c r="A242" s="41" t="str">
        <f>TEXT(DATEVALUE("2025-09-06"),"d mmm")&amp;" · "&amp;"EM-080"</f>
        <v>6 Sep · EM-080</v>
      </c>
      <c r="B242" s="43">
        <f>INDEX('DATOS LIMPIOS'!$M$5:$M$493,MATCH("EM-080",'DATOS LIMPIOS'!$A$5:$A$493,0))</f>
        <v>42.144458137661175</v>
      </c>
      <c r="C242" s="43">
        <f>INDEX('DATOS LIMPIOS'!$N$5:$N$493,MATCH("EM-080",'DATOS LIMPIOS'!$A$5:$A$493,0))</f>
        <v>2.9798224455527307</v>
      </c>
    </row>
    <row r="243" spans="1:3" x14ac:dyDescent="0.2">
      <c r="A243" s="41" t="str">
        <f>TEXT(DATEVALUE("2025-10-08"),"d mmm")&amp;" · "&amp;"EM-019"</f>
        <v>8 Oct · EM-019</v>
      </c>
      <c r="B243" s="43">
        <f>INDEX('DATOS LIMPIOS'!$M$5:$M$493,MATCH("EM-019",'DATOS LIMPIOS'!$A$5:$A$493,0))</f>
        <v>28.999873378796376</v>
      </c>
      <c r="C243" s="43">
        <f>INDEX('DATOS LIMPIOS'!$N$5:$N$493,MATCH("EM-019",'DATOS LIMPIOS'!$A$5:$A$493,0))</f>
        <v>8.4319385189453744</v>
      </c>
    </row>
    <row r="244" spans="1:3" x14ac:dyDescent="0.2">
      <c r="A244" s="41" t="str">
        <f>TEXT(DATEVALUE("2025-10-09"),"d mmm")&amp;" · "&amp;"EM-169"</f>
        <v>9 Oct · EM-169</v>
      </c>
      <c r="B244" s="43">
        <f>INDEX('DATOS LIMPIOS'!$M$5:$M$493,MATCH("EM-169",'DATOS LIMPIOS'!$A$5:$A$493,0))</f>
        <v>42.890637382881309</v>
      </c>
      <c r="C244" s="43">
        <f>INDEX('DATOS LIMPIOS'!$N$5:$N$493,MATCH("EM-169",'DATOS LIMPIOS'!$A$5:$A$493,0))</f>
        <v>3.3368921266930438</v>
      </c>
    </row>
    <row r="245" spans="1:3" x14ac:dyDescent="0.2">
      <c r="A245" s="41" t="str">
        <f>TEXT(DATEVALUE("2025-10-18"),"d mmm")&amp;" · "&amp;"EM-187"</f>
        <v>18 Oct · EM-187</v>
      </c>
      <c r="B245" s="43">
        <f>INDEX('DATOS LIMPIOS'!$M$5:$M$493,MATCH("EM-187",'DATOS LIMPIOS'!$A$5:$A$493,0))</f>
        <v>36.439702420837413</v>
      </c>
      <c r="C245" s="43">
        <f>INDEX('DATOS LIMPIOS'!$N$5:$N$493,MATCH("EM-187",'DATOS LIMPIOS'!$A$5:$A$493,0))</f>
        <v>9.2795903991203197</v>
      </c>
    </row>
    <row r="247" spans="1:3" ht="15" customHeight="1" x14ac:dyDescent="0.2">
      <c r="A247" s="201" t="s">
        <v>427</v>
      </c>
      <c r="B247" s="201"/>
      <c r="C247" s="201"/>
    </row>
  </sheetData>
  <mergeCells count="53">
    <mergeCell ref="A219:F221"/>
    <mergeCell ref="A233:N233"/>
    <mergeCell ref="A234:F236"/>
    <mergeCell ref="A237:F237"/>
    <mergeCell ref="A247:C247"/>
    <mergeCell ref="A199:F201"/>
    <mergeCell ref="A209:N209"/>
    <mergeCell ref="A210:F212"/>
    <mergeCell ref="A213:F213"/>
    <mergeCell ref="A218:C218"/>
    <mergeCell ref="D218:F218"/>
    <mergeCell ref="A162:F164"/>
    <mergeCell ref="A175:N175"/>
    <mergeCell ref="A176:F178"/>
    <mergeCell ref="A179:F179"/>
    <mergeCell ref="A198:C198"/>
    <mergeCell ref="D198:F198"/>
    <mergeCell ref="A139:F141"/>
    <mergeCell ref="A151:N151"/>
    <mergeCell ref="A152:F154"/>
    <mergeCell ref="A155:F155"/>
    <mergeCell ref="A161:C161"/>
    <mergeCell ref="A127:N127"/>
    <mergeCell ref="A128:F130"/>
    <mergeCell ref="A131:F131"/>
    <mergeCell ref="A138:C138"/>
    <mergeCell ref="D138:F138"/>
    <mergeCell ref="A103:N103"/>
    <mergeCell ref="A104:F106"/>
    <mergeCell ref="A107:F107"/>
    <mergeCell ref="A119:C119"/>
    <mergeCell ref="D119:F119"/>
    <mergeCell ref="A79:N79"/>
    <mergeCell ref="A80:F82"/>
    <mergeCell ref="A83:F83"/>
    <mergeCell ref="A93:C93"/>
    <mergeCell ref="D93:F93"/>
    <mergeCell ref="A55:N55"/>
    <mergeCell ref="A56:F58"/>
    <mergeCell ref="A59:F59"/>
    <mergeCell ref="A65:C65"/>
    <mergeCell ref="D65:F65"/>
    <mergeCell ref="A31:N31"/>
    <mergeCell ref="A32:F34"/>
    <mergeCell ref="A35:F35"/>
    <mergeCell ref="A42:C42"/>
    <mergeCell ref="D42:F42"/>
    <mergeCell ref="A4:N5"/>
    <mergeCell ref="A7:N7"/>
    <mergeCell ref="A8:F10"/>
    <mergeCell ref="A11:F11"/>
    <mergeCell ref="A18:C18"/>
    <mergeCell ref="D18:F18"/>
  </mergeCells>
  <pageMargins left="0.75" right="0.75" top="1" bottom="1" header="0.511811023622047" footer="0.511811023622047"/>
  <pageSetup paperSize="9" orientation="portrait" horizontalDpi="300" verticalDpi="30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J26"/>
  <sheetViews>
    <sheetView showGridLines="0" zoomScaleNormal="100" workbookViewId="0">
      <pane ySplit="4" topLeftCell="A5" activePane="bottomLeft" state="frozen"/>
      <selection pane="bottomLeft" activeCell="A2" sqref="A2:I2"/>
    </sheetView>
  </sheetViews>
  <sheetFormatPr baseColWidth="10" defaultColWidth="8.6640625" defaultRowHeight="15" x14ac:dyDescent="0.2"/>
  <cols>
    <col min="1" max="1" width="5" customWidth="1"/>
    <col min="2" max="3" width="52" customWidth="1"/>
    <col min="4" max="4" width="24" customWidth="1"/>
    <col min="5" max="5" width="12" customWidth="1"/>
    <col min="6" max="6" width="11" customWidth="1"/>
    <col min="7" max="10" width="21" customWidth="1"/>
  </cols>
  <sheetData>
    <row r="1" spans="1:10" ht="33.75" customHeight="1" x14ac:dyDescent="0.2">
      <c r="A1" s="14" t="s">
        <v>445</v>
      </c>
      <c r="B1" s="14"/>
      <c r="C1" s="14"/>
      <c r="D1" s="14"/>
      <c r="E1" s="14"/>
      <c r="F1" s="14"/>
      <c r="G1" s="14"/>
      <c r="H1" s="14"/>
      <c r="I1" s="14"/>
    </row>
    <row r="2" spans="1:10" ht="25.5" customHeight="1" x14ac:dyDescent="0.2">
      <c r="A2" s="13" t="s">
        <v>446</v>
      </c>
      <c r="B2" s="13"/>
      <c r="C2" s="13"/>
      <c r="D2" s="13"/>
      <c r="E2" s="13"/>
      <c r="F2" s="13"/>
      <c r="G2" s="13"/>
      <c r="H2" s="13"/>
      <c r="I2" s="13"/>
    </row>
    <row r="4" spans="1:10" ht="30" customHeight="1" x14ac:dyDescent="0.2">
      <c r="A4" s="21" t="s">
        <v>80</v>
      </c>
      <c r="B4" s="21" t="s">
        <v>366</v>
      </c>
      <c r="C4" s="21" t="s">
        <v>447</v>
      </c>
      <c r="D4" s="21" t="s">
        <v>273</v>
      </c>
      <c r="E4" s="21" t="s">
        <v>448</v>
      </c>
      <c r="F4" s="21" t="s">
        <v>189</v>
      </c>
      <c r="G4" s="21" t="s">
        <v>190</v>
      </c>
      <c r="H4" s="21" t="s">
        <v>191</v>
      </c>
      <c r="I4" s="21" t="s">
        <v>436</v>
      </c>
      <c r="J4" s="21" t="s">
        <v>449</v>
      </c>
    </row>
    <row r="5" spans="1:10" x14ac:dyDescent="0.2">
      <c r="A5" s="23">
        <v>1</v>
      </c>
      <c r="B5" s="22" t="s">
        <v>450</v>
      </c>
      <c r="C5" s="22" t="s">
        <v>451</v>
      </c>
      <c r="D5" s="23" t="s">
        <v>276</v>
      </c>
      <c r="E5" s="46">
        <v>4206020</v>
      </c>
      <c r="F5" s="23">
        <v>21</v>
      </c>
      <c r="G5" s="47">
        <v>41.593592985418503</v>
      </c>
      <c r="H5" s="47">
        <v>10.6400078621645</v>
      </c>
      <c r="I5" s="47">
        <v>26.390561646559402</v>
      </c>
      <c r="J5" s="48">
        <v>6.8709523809523798</v>
      </c>
    </row>
    <row r="6" spans="1:10" x14ac:dyDescent="0.2">
      <c r="A6" s="25">
        <v>2</v>
      </c>
      <c r="B6" s="24" t="s">
        <v>371</v>
      </c>
      <c r="C6" s="24" t="s">
        <v>452</v>
      </c>
      <c r="D6" s="25" t="s">
        <v>274</v>
      </c>
      <c r="E6" s="49">
        <v>4785531</v>
      </c>
      <c r="F6" s="25">
        <v>16</v>
      </c>
      <c r="G6" s="50">
        <v>40.721427589592501</v>
      </c>
      <c r="H6" s="50">
        <v>10.0840784997479</v>
      </c>
      <c r="I6" s="50">
        <v>25.86658856287</v>
      </c>
      <c r="J6" s="51">
        <v>5.6637500000000003</v>
      </c>
    </row>
    <row r="7" spans="1:10" x14ac:dyDescent="0.2">
      <c r="A7" s="23">
        <v>3</v>
      </c>
      <c r="B7" s="22" t="s">
        <v>453</v>
      </c>
      <c r="C7" s="22" t="s">
        <v>454</v>
      </c>
      <c r="D7" s="23" t="s">
        <v>274</v>
      </c>
      <c r="E7" s="46">
        <v>3775851</v>
      </c>
      <c r="F7" s="23">
        <v>20</v>
      </c>
      <c r="G7" s="47">
        <v>39.210446566150402</v>
      </c>
      <c r="H7" s="47">
        <v>12.290336402782399</v>
      </c>
      <c r="I7" s="47">
        <v>33.586389018273998</v>
      </c>
      <c r="J7" s="48">
        <v>4.851</v>
      </c>
    </row>
    <row r="8" spans="1:10" x14ac:dyDescent="0.2">
      <c r="A8" s="25">
        <v>4</v>
      </c>
      <c r="B8" s="24" t="s">
        <v>455</v>
      </c>
      <c r="C8" s="24" t="s">
        <v>456</v>
      </c>
      <c r="D8" s="25" t="s">
        <v>275</v>
      </c>
      <c r="E8" s="49">
        <v>3947386</v>
      </c>
      <c r="F8" s="25">
        <v>15</v>
      </c>
      <c r="G8" s="50">
        <v>38.720231784441999</v>
      </c>
      <c r="H8" s="50">
        <v>13.442773238180299</v>
      </c>
      <c r="I8" s="50">
        <v>36.400304076121003</v>
      </c>
      <c r="J8" s="51">
        <v>4.34</v>
      </c>
    </row>
    <row r="9" spans="1:10" x14ac:dyDescent="0.2">
      <c r="A9" s="23">
        <v>5</v>
      </c>
      <c r="B9" s="22" t="s">
        <v>369</v>
      </c>
      <c r="C9" s="22" t="s">
        <v>457</v>
      </c>
      <c r="D9" s="23" t="s">
        <v>279</v>
      </c>
      <c r="E9" s="46">
        <v>4444619</v>
      </c>
      <c r="F9" s="23">
        <v>19</v>
      </c>
      <c r="G9" s="47">
        <v>36.827379346292702</v>
      </c>
      <c r="H9" s="47">
        <v>11.2117943545451</v>
      </c>
      <c r="I9" s="47">
        <v>30.432396736594001</v>
      </c>
      <c r="J9" s="48">
        <v>5.3384210526315803</v>
      </c>
    </row>
    <row r="10" spans="1:10" x14ac:dyDescent="0.2">
      <c r="A10" s="25">
        <v>6</v>
      </c>
      <c r="B10" s="24" t="s">
        <v>367</v>
      </c>
      <c r="C10" s="24" t="s">
        <v>458</v>
      </c>
      <c r="D10" s="25" t="s">
        <v>278</v>
      </c>
      <c r="E10" s="49">
        <v>7052119</v>
      </c>
      <c r="F10" s="25">
        <v>25</v>
      </c>
      <c r="G10" s="50">
        <v>36.132518317209403</v>
      </c>
      <c r="H10" s="50">
        <v>12.2862799636503</v>
      </c>
      <c r="I10" s="50">
        <v>35.551095048321997</v>
      </c>
      <c r="J10" s="51">
        <v>4.4227999999999996</v>
      </c>
    </row>
    <row r="11" spans="1:10" x14ac:dyDescent="0.2">
      <c r="A11" s="23">
        <v>7</v>
      </c>
      <c r="B11" s="22" t="s">
        <v>459</v>
      </c>
      <c r="C11" s="22" t="s">
        <v>460</v>
      </c>
      <c r="D11" s="23" t="s">
        <v>277</v>
      </c>
      <c r="E11" s="46">
        <v>1868935</v>
      </c>
      <c r="F11" s="23">
        <v>9</v>
      </c>
      <c r="G11" s="47">
        <v>35.565837226891702</v>
      </c>
      <c r="H11" s="47">
        <v>9.1636304893164997</v>
      </c>
      <c r="I11" s="47">
        <v>29.8425129957912</v>
      </c>
      <c r="J11" s="48">
        <v>5.1055555555555596</v>
      </c>
    </row>
    <row r="12" spans="1:10" x14ac:dyDescent="0.2">
      <c r="A12" s="25">
        <v>8</v>
      </c>
      <c r="B12" s="24" t="s">
        <v>461</v>
      </c>
      <c r="C12" s="24" t="s">
        <v>462</v>
      </c>
      <c r="D12" s="25" t="s">
        <v>277</v>
      </c>
      <c r="E12" s="49">
        <v>8188063</v>
      </c>
      <c r="F12" s="25">
        <v>30</v>
      </c>
      <c r="G12" s="50">
        <v>35.4098867022023</v>
      </c>
      <c r="H12" s="50">
        <v>10.1802717915416</v>
      </c>
      <c r="I12" s="50">
        <v>32.355306995594503</v>
      </c>
      <c r="J12" s="51">
        <v>5.4593333333333298</v>
      </c>
    </row>
    <row r="13" spans="1:10" ht="30" customHeight="1" x14ac:dyDescent="0.2">
      <c r="A13" s="23">
        <v>9</v>
      </c>
      <c r="B13" s="22" t="s">
        <v>463</v>
      </c>
      <c r="C13" s="22" t="s">
        <v>464</v>
      </c>
      <c r="D13" s="23" t="s">
        <v>279</v>
      </c>
      <c r="E13" s="46">
        <v>5849262</v>
      </c>
      <c r="F13" s="23">
        <v>25</v>
      </c>
      <c r="G13" s="47">
        <v>33.412775116147898</v>
      </c>
      <c r="H13" s="47">
        <v>12.9828339084828</v>
      </c>
      <c r="I13" s="47">
        <v>45.000522932167499</v>
      </c>
      <c r="J13" s="48">
        <v>5.8272000000000004</v>
      </c>
    </row>
    <row r="14" spans="1:10" x14ac:dyDescent="0.2">
      <c r="A14" s="25">
        <v>10</v>
      </c>
      <c r="B14" s="24" t="s">
        <v>465</v>
      </c>
      <c r="C14" s="24" t="s">
        <v>466</v>
      </c>
      <c r="D14" s="25" t="s">
        <v>275</v>
      </c>
      <c r="E14" s="49">
        <v>5924957</v>
      </c>
      <c r="F14" s="25">
        <v>22</v>
      </c>
      <c r="G14" s="50">
        <v>33.047230763392903</v>
      </c>
      <c r="H14" s="50">
        <v>8.8191240837739802</v>
      </c>
      <c r="I14" s="50">
        <v>28.427689116991399</v>
      </c>
      <c r="J14" s="51">
        <v>5.1072727272727301</v>
      </c>
    </row>
    <row r="15" spans="1:10" x14ac:dyDescent="0.2">
      <c r="A15" s="23">
        <v>11</v>
      </c>
      <c r="B15" s="22" t="s">
        <v>467</v>
      </c>
      <c r="C15" s="22" t="s">
        <v>468</v>
      </c>
      <c r="D15" s="23" t="s">
        <v>278</v>
      </c>
      <c r="E15" s="46">
        <v>3679079</v>
      </c>
      <c r="F15" s="23">
        <v>22</v>
      </c>
      <c r="G15" s="47">
        <v>30.936882341686701</v>
      </c>
      <c r="H15" s="47">
        <v>11.9436385097718</v>
      </c>
      <c r="I15" s="47">
        <v>39.988433450333197</v>
      </c>
      <c r="J15" s="48">
        <v>5.4318181818181799</v>
      </c>
    </row>
    <row r="16" spans="1:10" x14ac:dyDescent="0.2">
      <c r="A16" s="25">
        <v>12</v>
      </c>
      <c r="B16" s="24" t="s">
        <v>469</v>
      </c>
      <c r="C16" s="24" t="s">
        <v>470</v>
      </c>
      <c r="D16" s="25" t="s">
        <v>277</v>
      </c>
      <c r="E16" s="49">
        <v>5453244</v>
      </c>
      <c r="F16" s="25">
        <v>20</v>
      </c>
      <c r="G16" s="50">
        <v>29.233022524782999</v>
      </c>
      <c r="H16" s="50">
        <v>7.9784637705697303</v>
      </c>
      <c r="I16" s="50">
        <v>33.685688111843398</v>
      </c>
      <c r="J16" s="51">
        <v>5.4690000000000003</v>
      </c>
    </row>
    <row r="17" spans="1:10" x14ac:dyDescent="0.2">
      <c r="A17" s="23">
        <v>13</v>
      </c>
      <c r="B17" s="22" t="s">
        <v>368</v>
      </c>
      <c r="C17" s="22" t="s">
        <v>471</v>
      </c>
      <c r="D17" s="23" t="s">
        <v>278</v>
      </c>
      <c r="E17" s="46">
        <v>8858314</v>
      </c>
      <c r="F17" s="23">
        <v>33</v>
      </c>
      <c r="G17" s="47">
        <v>23.315840784070001</v>
      </c>
      <c r="H17" s="47">
        <v>8.3866728214971804</v>
      </c>
      <c r="I17" s="47">
        <v>37.716426014308198</v>
      </c>
      <c r="J17" s="48">
        <v>4.8739393939393896</v>
      </c>
    </row>
    <row r="18" spans="1:10" x14ac:dyDescent="0.2">
      <c r="A18" s="25">
        <v>14</v>
      </c>
      <c r="B18" s="24" t="s">
        <v>472</v>
      </c>
      <c r="C18" s="24" t="s">
        <v>473</v>
      </c>
      <c r="D18" s="25" t="s">
        <v>279</v>
      </c>
      <c r="E18" s="49">
        <v>5030099</v>
      </c>
      <c r="F18" s="25">
        <v>22</v>
      </c>
      <c r="G18" s="50">
        <v>22.8912938254356</v>
      </c>
      <c r="H18" s="50">
        <v>8.9502193048585195</v>
      </c>
      <c r="I18" s="50">
        <v>47.003514945086899</v>
      </c>
      <c r="J18" s="51">
        <v>5.5104545454545502</v>
      </c>
    </row>
    <row r="19" spans="1:10" x14ac:dyDescent="0.2">
      <c r="A19" s="23">
        <v>15</v>
      </c>
      <c r="B19" s="22" t="s">
        <v>474</v>
      </c>
      <c r="C19" s="22" t="s">
        <v>475</v>
      </c>
      <c r="D19" s="23" t="s">
        <v>276</v>
      </c>
      <c r="E19" s="46">
        <v>5707288</v>
      </c>
      <c r="F19" s="23">
        <v>20</v>
      </c>
      <c r="G19" s="47">
        <v>22.775066640377801</v>
      </c>
      <c r="H19" s="47">
        <v>7.6719520838611004</v>
      </c>
      <c r="I19" s="47">
        <v>39.092441126694602</v>
      </c>
      <c r="J19" s="48">
        <v>4.298</v>
      </c>
    </row>
    <row r="20" spans="1:10" x14ac:dyDescent="0.2">
      <c r="A20" s="25">
        <v>16</v>
      </c>
      <c r="B20" s="24" t="s">
        <v>476</v>
      </c>
      <c r="C20" s="24" t="s">
        <v>477</v>
      </c>
      <c r="D20" s="25" t="s">
        <v>277</v>
      </c>
      <c r="E20" s="49">
        <v>2448889</v>
      </c>
      <c r="F20" s="25">
        <v>10</v>
      </c>
      <c r="G20" s="50">
        <v>21.434915192428001</v>
      </c>
      <c r="H20" s="50">
        <v>7.2719368394638604</v>
      </c>
      <c r="I20" s="50">
        <v>36.734628071173802</v>
      </c>
      <c r="J20" s="51">
        <v>4.681</v>
      </c>
    </row>
    <row r="21" spans="1:10" x14ac:dyDescent="0.2">
      <c r="A21" s="23">
        <v>17</v>
      </c>
      <c r="B21" s="22" t="s">
        <v>478</v>
      </c>
      <c r="C21" s="22" t="s">
        <v>479</v>
      </c>
      <c r="D21" s="23" t="s">
        <v>275</v>
      </c>
      <c r="E21" s="46">
        <v>1494471</v>
      </c>
      <c r="F21" s="23">
        <v>8</v>
      </c>
      <c r="G21" s="47">
        <v>21.363100647493699</v>
      </c>
      <c r="H21" s="47">
        <v>7.2412428235406798</v>
      </c>
      <c r="I21" s="47">
        <v>37.142772564494003</v>
      </c>
      <c r="J21" s="48">
        <v>6.8312499999999998</v>
      </c>
    </row>
    <row r="22" spans="1:10" x14ac:dyDescent="0.2">
      <c r="A22" s="25">
        <v>18</v>
      </c>
      <c r="B22" s="24" t="s">
        <v>372</v>
      </c>
      <c r="C22" s="24" t="s">
        <v>480</v>
      </c>
      <c r="D22" s="25" t="s">
        <v>274</v>
      </c>
      <c r="E22" s="49">
        <v>4553751</v>
      </c>
      <c r="F22" s="25">
        <v>14</v>
      </c>
      <c r="G22" s="50">
        <v>20.724631699294999</v>
      </c>
      <c r="H22" s="50">
        <v>7.8195809033385801</v>
      </c>
      <c r="I22" s="50">
        <v>41.395323355809801</v>
      </c>
      <c r="J22" s="51">
        <v>5.7757142857142902</v>
      </c>
    </row>
    <row r="23" spans="1:10" x14ac:dyDescent="0.2">
      <c r="A23" s="23">
        <v>19</v>
      </c>
      <c r="B23" s="22" t="s">
        <v>481</v>
      </c>
      <c r="C23" s="22" t="s">
        <v>482</v>
      </c>
      <c r="D23" s="23" t="s">
        <v>275</v>
      </c>
      <c r="E23" s="46">
        <v>1897111</v>
      </c>
      <c r="F23" s="23">
        <v>11</v>
      </c>
      <c r="G23" s="47">
        <v>18.4286861862401</v>
      </c>
      <c r="H23" s="47">
        <v>7.0116974908304899</v>
      </c>
      <c r="I23" s="47">
        <v>39.302330378011803</v>
      </c>
      <c r="J23" s="48">
        <v>6.1336363636363602</v>
      </c>
    </row>
    <row r="24" spans="1:10" x14ac:dyDescent="0.2">
      <c r="A24" s="25">
        <v>20</v>
      </c>
      <c r="B24" s="24" t="s">
        <v>483</v>
      </c>
      <c r="C24" s="24" t="s">
        <v>484</v>
      </c>
      <c r="D24" s="25" t="s">
        <v>276</v>
      </c>
      <c r="E24" s="49">
        <v>2176203</v>
      </c>
      <c r="F24" s="25">
        <v>9</v>
      </c>
      <c r="G24" s="50">
        <v>17.395911943759799</v>
      </c>
      <c r="H24" s="50">
        <v>9.2938358042445</v>
      </c>
      <c r="I24" s="50">
        <v>53.979585902440697</v>
      </c>
      <c r="J24" s="51">
        <v>6.1166666666666698</v>
      </c>
    </row>
    <row r="25" spans="1:10" x14ac:dyDescent="0.2">
      <c r="A25" s="23">
        <v>21</v>
      </c>
      <c r="B25" s="22" t="s">
        <v>370</v>
      </c>
      <c r="C25" s="22" t="s">
        <v>485</v>
      </c>
      <c r="D25" s="23" t="s">
        <v>279</v>
      </c>
      <c r="E25" s="46">
        <v>2800103</v>
      </c>
      <c r="F25" s="23">
        <v>10</v>
      </c>
      <c r="G25" s="47">
        <v>15.9082135397306</v>
      </c>
      <c r="H25" s="47">
        <v>8.08965498759658</v>
      </c>
      <c r="I25" s="47">
        <v>48.679420183970301</v>
      </c>
      <c r="J25" s="48">
        <v>4.8929999999999998</v>
      </c>
    </row>
    <row r="26" spans="1:10" x14ac:dyDescent="0.2">
      <c r="A26" s="25">
        <v>22</v>
      </c>
      <c r="B26" s="24" t="s">
        <v>486</v>
      </c>
      <c r="C26" s="24" t="s">
        <v>487</v>
      </c>
      <c r="D26" s="25" t="s">
        <v>275</v>
      </c>
      <c r="E26" s="49">
        <v>2045833</v>
      </c>
      <c r="F26" s="25">
        <v>8</v>
      </c>
      <c r="G26" s="50">
        <v>10.7172110217459</v>
      </c>
      <c r="H26" s="50">
        <v>7.8528886139407801</v>
      </c>
      <c r="I26" s="50">
        <v>73.494490324081497</v>
      </c>
      <c r="J26" s="51">
        <v>4.7324999999999999</v>
      </c>
    </row>
  </sheetData>
  <mergeCells count="2">
    <mergeCell ref="A1:I1"/>
    <mergeCell ref="A2:I2"/>
  </mergeCells>
  <printOptions horizontalCentered="1"/>
  <pageMargins left="0.75" right="0.75" top="1" bottom="1" header="0.511811023622047" footer="0.511811023622047"/>
  <pageSetup fitToHeight="0" orientation="landscape"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H31"/>
  <sheetViews>
    <sheetView showGridLines="0" zoomScaleNormal="100" workbookViewId="0">
      <selection sqref="A1:H1"/>
    </sheetView>
  </sheetViews>
  <sheetFormatPr baseColWidth="10" defaultColWidth="8.6640625" defaultRowHeight="15" x14ac:dyDescent="0.2"/>
  <cols>
    <col min="1" max="1" width="34" customWidth="1"/>
    <col min="2" max="3" width="16" customWidth="1"/>
    <col min="4" max="4" width="14" customWidth="1"/>
    <col min="5" max="6" width="20" customWidth="1"/>
    <col min="7" max="8" width="14" customWidth="1"/>
  </cols>
  <sheetData>
    <row r="1" spans="1:8" ht="33.75" customHeight="1" x14ac:dyDescent="0.2">
      <c r="A1" s="14" t="s">
        <v>488</v>
      </c>
      <c r="B1" s="14"/>
      <c r="C1" s="14"/>
      <c r="D1" s="14"/>
      <c r="E1" s="14"/>
      <c r="F1" s="14"/>
      <c r="G1" s="14"/>
      <c r="H1" s="14"/>
    </row>
    <row r="2" spans="1:8" ht="25.5" customHeight="1" x14ac:dyDescent="0.2">
      <c r="A2" s="13" t="s">
        <v>489</v>
      </c>
      <c r="B2" s="13"/>
      <c r="C2" s="13"/>
      <c r="D2" s="13"/>
      <c r="E2" s="13"/>
      <c r="F2" s="13"/>
      <c r="G2" s="13"/>
      <c r="H2" s="13"/>
    </row>
    <row r="4" spans="1:8" ht="15.75" customHeight="1" x14ac:dyDescent="0.2">
      <c r="A4" s="26" t="s">
        <v>490</v>
      </c>
    </row>
    <row r="5" spans="1:8" ht="45.75" customHeight="1" x14ac:dyDescent="0.2">
      <c r="A5" s="13" t="s">
        <v>491</v>
      </c>
      <c r="B5" s="13"/>
      <c r="C5" s="13"/>
      <c r="D5" s="13"/>
      <c r="E5" s="13"/>
      <c r="F5" s="13"/>
      <c r="G5" s="13"/>
      <c r="H5" s="13"/>
    </row>
    <row r="7" spans="1:8" x14ac:dyDescent="0.2">
      <c r="A7" s="52" t="s">
        <v>492</v>
      </c>
      <c r="D7" s="52" t="s">
        <v>377</v>
      </c>
      <c r="E7" s="52" t="s">
        <v>493</v>
      </c>
    </row>
    <row r="8" spans="1:8" x14ac:dyDescent="0.2">
      <c r="A8" s="53" t="s">
        <v>494</v>
      </c>
      <c r="D8" s="54">
        <v>234681</v>
      </c>
      <c r="E8" s="55" t="s">
        <v>495</v>
      </c>
    </row>
    <row r="9" spans="1:8" x14ac:dyDescent="0.2">
      <c r="A9" s="53" t="s">
        <v>496</v>
      </c>
      <c r="D9" s="56">
        <v>27.85</v>
      </c>
      <c r="E9" s="55" t="s">
        <v>497</v>
      </c>
    </row>
    <row r="10" spans="1:8" x14ac:dyDescent="0.2">
      <c r="A10" s="53" t="s">
        <v>498</v>
      </c>
      <c r="D10" s="56">
        <v>41.59</v>
      </c>
      <c r="E10" s="55" t="s">
        <v>499</v>
      </c>
    </row>
    <row r="11" spans="1:8" x14ac:dyDescent="0.2">
      <c r="A11" s="53" t="s">
        <v>500</v>
      </c>
      <c r="D11" s="56">
        <v>9.0500000000000007</v>
      </c>
      <c r="E11" s="55" t="s">
        <v>501</v>
      </c>
    </row>
    <row r="12" spans="1:8" x14ac:dyDescent="0.2">
      <c r="A12" s="53" t="s">
        <v>502</v>
      </c>
      <c r="D12" s="56">
        <v>10.64</v>
      </c>
      <c r="E12" s="55" t="s">
        <v>503</v>
      </c>
    </row>
    <row r="13" spans="1:8" x14ac:dyDescent="0.2">
      <c r="A13" s="53" t="s">
        <v>504</v>
      </c>
      <c r="D13" s="56">
        <v>8.25</v>
      </c>
      <c r="E13" s="55" t="s">
        <v>505</v>
      </c>
    </row>
    <row r="14" spans="1:8" x14ac:dyDescent="0.2">
      <c r="A14" s="53" t="s">
        <v>506</v>
      </c>
      <c r="D14" s="56">
        <v>12.95</v>
      </c>
      <c r="E14" s="55" t="s">
        <v>507</v>
      </c>
    </row>
    <row r="15" spans="1:8" x14ac:dyDescent="0.2">
      <c r="A15" s="53" t="s">
        <v>508</v>
      </c>
      <c r="D15" s="57">
        <v>2</v>
      </c>
      <c r="E15" s="55" t="s">
        <v>509</v>
      </c>
    </row>
    <row r="16" spans="1:8" x14ac:dyDescent="0.2">
      <c r="A16" s="53" t="s">
        <v>510</v>
      </c>
      <c r="D16" s="54">
        <v>180000</v>
      </c>
      <c r="E16" s="55" t="s">
        <v>509</v>
      </c>
    </row>
    <row r="17" spans="1:8" x14ac:dyDescent="0.2">
      <c r="A17" s="53" t="s">
        <v>511</v>
      </c>
      <c r="D17" s="54">
        <v>24</v>
      </c>
      <c r="E17" s="55" t="s">
        <v>512</v>
      </c>
    </row>
    <row r="19" spans="1:8" ht="15.75" customHeight="1" x14ac:dyDescent="0.2">
      <c r="A19" s="26" t="s">
        <v>513</v>
      </c>
    </row>
    <row r="20" spans="1:8" x14ac:dyDescent="0.2">
      <c r="A20" s="58" t="s">
        <v>514</v>
      </c>
      <c r="B20" s="58" t="s">
        <v>515</v>
      </c>
      <c r="C20" s="58" t="s">
        <v>516</v>
      </c>
      <c r="D20" s="58" t="s">
        <v>517</v>
      </c>
      <c r="E20" s="58" t="s">
        <v>518</v>
      </c>
      <c r="F20" s="58" t="s">
        <v>519</v>
      </c>
      <c r="G20" s="58" t="s">
        <v>520</v>
      </c>
    </row>
    <row r="21" spans="1:8" x14ac:dyDescent="0.2">
      <c r="A21" s="53" t="s">
        <v>521</v>
      </c>
      <c r="B21" s="59">
        <f>$D$8*$D$9/100</f>
        <v>65358.658500000005</v>
      </c>
      <c r="C21" s="60" t="s">
        <v>30</v>
      </c>
      <c r="D21" s="59">
        <f>$D$8*$D$11/100</f>
        <v>21238.630500000003</v>
      </c>
      <c r="E21" s="59">
        <f>D21*$D$15/100</f>
        <v>424.77261000000004</v>
      </c>
      <c r="F21" s="61">
        <f>E21*$D$16</f>
        <v>76459069.800000012</v>
      </c>
      <c r="G21" s="60" t="s">
        <v>30</v>
      </c>
    </row>
    <row r="22" spans="1:8" x14ac:dyDescent="0.2">
      <c r="A22" s="53" t="s">
        <v>522</v>
      </c>
      <c r="B22" s="59">
        <f>$D$8*$D$10/100</f>
        <v>97603.827900000004</v>
      </c>
      <c r="C22" s="62">
        <f>B22-B$21</f>
        <v>32245.169399999999</v>
      </c>
      <c r="D22" s="59">
        <f>$D$8*$D$13/100</f>
        <v>19361.182499999999</v>
      </c>
      <c r="E22" s="59">
        <f>D22*$D$15/100</f>
        <v>387.22364999999996</v>
      </c>
      <c r="F22" s="61">
        <f>E22*$D$16</f>
        <v>69700257</v>
      </c>
      <c r="G22" s="63">
        <f>F22-F$21</f>
        <v>-6758812.8000000119</v>
      </c>
    </row>
    <row r="23" spans="1:8" x14ac:dyDescent="0.2">
      <c r="A23" s="64" t="s">
        <v>523</v>
      </c>
      <c r="B23" s="65">
        <f>$D$8*$D$10/100</f>
        <v>97603.827900000004</v>
      </c>
      <c r="C23" s="66">
        <f>B23-B$21</f>
        <v>32245.169399999999</v>
      </c>
      <c r="D23" s="65">
        <f>$D$8*$D$12/100</f>
        <v>24970.058400000002</v>
      </c>
      <c r="E23" s="65">
        <f>D23*$D$15/100</f>
        <v>499.40116800000004</v>
      </c>
      <c r="F23" s="67">
        <f>E23*$D$16</f>
        <v>89892210.24000001</v>
      </c>
      <c r="G23" s="68">
        <f>F23-F$21</f>
        <v>13433140.439999998</v>
      </c>
    </row>
    <row r="24" spans="1:8" x14ac:dyDescent="0.2">
      <c r="A24" s="53" t="s">
        <v>524</v>
      </c>
      <c r="B24" s="59">
        <f>$D$8*$D$10/100</f>
        <v>97603.827900000004</v>
      </c>
      <c r="C24" s="62">
        <f>B24-B$21</f>
        <v>32245.169399999999</v>
      </c>
      <c r="D24" s="59">
        <f>$D$8*$D$14/100</f>
        <v>30391.189499999997</v>
      </c>
      <c r="E24" s="59">
        <f>D24*$D$15/100</f>
        <v>607.82378999999992</v>
      </c>
      <c r="F24" s="61">
        <f>E24*$D$16</f>
        <v>109408282.19999999</v>
      </c>
      <c r="G24" s="63">
        <f>F24-F$21</f>
        <v>32949212.399999976</v>
      </c>
    </row>
    <row r="26" spans="1:8" ht="15.75" customHeight="1" x14ac:dyDescent="0.2">
      <c r="A26" s="26" t="s">
        <v>525</v>
      </c>
    </row>
    <row r="27" spans="1:8" x14ac:dyDescent="0.2">
      <c r="A27" s="53" t="s">
        <v>526</v>
      </c>
      <c r="F27" s="69">
        <f>G22*$D$17</f>
        <v>-162211507.20000029</v>
      </c>
    </row>
    <row r="28" spans="1:8" ht="16.5" customHeight="1" x14ac:dyDescent="0.2">
      <c r="A28" s="27" t="s">
        <v>527</v>
      </c>
      <c r="F28" s="70">
        <f>G23*$D$17</f>
        <v>322395370.55999994</v>
      </c>
    </row>
    <row r="29" spans="1:8" x14ac:dyDescent="0.2">
      <c r="A29" s="53" t="s">
        <v>528</v>
      </c>
      <c r="F29" s="69">
        <f>G24*$D$17</f>
        <v>790781097.59999943</v>
      </c>
    </row>
    <row r="31" spans="1:8" ht="55.5" customHeight="1" x14ac:dyDescent="0.2">
      <c r="A31" s="205" t="s">
        <v>529</v>
      </c>
      <c r="B31" s="205"/>
      <c r="C31" s="205"/>
      <c r="D31" s="205"/>
      <c r="E31" s="205"/>
      <c r="F31" s="205"/>
      <c r="G31" s="205"/>
      <c r="H31" s="205"/>
    </row>
  </sheetData>
  <mergeCells count="4">
    <mergeCell ref="A1:H1"/>
    <mergeCell ref="A2:H2"/>
    <mergeCell ref="A5:H5"/>
    <mergeCell ref="A31:H31"/>
  </mergeCells>
  <printOptions horizontalCentered="1"/>
  <pageMargins left="0.75" right="0.75" top="1" bottom="1" header="0.511811023622047" footer="0.511811023622047"/>
  <pageSetup fitToHeight="0" orientation="landscape"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F18"/>
  <sheetViews>
    <sheetView showGridLines="0" zoomScaleNormal="100" workbookViewId="0">
      <selection activeCell="D8" sqref="D8"/>
    </sheetView>
  </sheetViews>
  <sheetFormatPr baseColWidth="10" defaultColWidth="8.6640625" defaultRowHeight="15" x14ac:dyDescent="0.2"/>
  <cols>
    <col min="1" max="1" width="42" customWidth="1"/>
    <col min="2" max="3" width="14" customWidth="1"/>
    <col min="4" max="4" width="18" customWidth="1"/>
    <col min="5" max="6" width="14" customWidth="1"/>
  </cols>
  <sheetData>
    <row r="1" spans="1:6" ht="33.75" customHeight="1" x14ac:dyDescent="0.2">
      <c r="A1" s="14" t="s">
        <v>530</v>
      </c>
      <c r="B1" s="14"/>
      <c r="C1" s="14"/>
      <c r="D1" s="14"/>
      <c r="E1" s="14"/>
      <c r="F1" s="14"/>
    </row>
    <row r="2" spans="1:6" ht="25.5" customHeight="1" x14ac:dyDescent="0.2">
      <c r="A2" s="13" t="s">
        <v>531</v>
      </c>
      <c r="B2" s="13"/>
      <c r="C2" s="13"/>
      <c r="D2" s="13"/>
      <c r="E2" s="13"/>
      <c r="F2" s="13"/>
    </row>
    <row r="4" spans="1:6" x14ac:dyDescent="0.2">
      <c r="A4" s="53" t="s">
        <v>532</v>
      </c>
      <c r="D4" s="57">
        <v>27.85</v>
      </c>
    </row>
    <row r="5" spans="1:6" x14ac:dyDescent="0.2">
      <c r="A5" s="53" t="s">
        <v>533</v>
      </c>
      <c r="D5" s="57">
        <v>2</v>
      </c>
    </row>
    <row r="6" spans="1:6" x14ac:dyDescent="0.2">
      <c r="A6" s="53" t="s">
        <v>534</v>
      </c>
      <c r="D6" s="71">
        <v>95</v>
      </c>
    </row>
    <row r="7" spans="1:6" x14ac:dyDescent="0.2">
      <c r="A7" s="53" t="s">
        <v>535</v>
      </c>
      <c r="D7" s="71">
        <v>80</v>
      </c>
    </row>
    <row r="8" spans="1:6" x14ac:dyDescent="0.2">
      <c r="A8" s="53" t="s">
        <v>536</v>
      </c>
      <c r="D8" s="54">
        <v>234681</v>
      </c>
    </row>
    <row r="10" spans="1:6" ht="15.75" customHeight="1" x14ac:dyDescent="0.2">
      <c r="A10" s="26" t="s">
        <v>537</v>
      </c>
    </row>
    <row r="11" spans="1:6" x14ac:dyDescent="0.2">
      <c r="A11" s="53" t="s">
        <v>538</v>
      </c>
      <c r="D11" s="72">
        <f>$D$4/100</f>
        <v>0.27850000000000003</v>
      </c>
    </row>
    <row r="12" spans="1:6" x14ac:dyDescent="0.2">
      <c r="A12" s="53" t="s">
        <v>539</v>
      </c>
      <c r="D12" s="72">
        <f>($D$4+$D$5)/100</f>
        <v>0.29849999999999999</v>
      </c>
    </row>
    <row r="13" spans="1:6" x14ac:dyDescent="0.2">
      <c r="A13" s="53" t="s">
        <v>540</v>
      </c>
      <c r="D13" s="72">
        <f>NORMSINV(1-(1-$D$6/100)/2)</f>
        <v>1.9599639845400536</v>
      </c>
    </row>
    <row r="14" spans="1:6" x14ac:dyDescent="0.2">
      <c r="A14" s="53" t="s">
        <v>541</v>
      </c>
      <c r="D14" s="72">
        <f>NORMSINV($D$7/100)</f>
        <v>0.84162123357291474</v>
      </c>
    </row>
    <row r="15" spans="1:6" ht="18.75" customHeight="1" x14ac:dyDescent="0.2">
      <c r="A15" s="73" t="s">
        <v>542</v>
      </c>
      <c r="D15" s="74">
        <f>($D$13+$D$14)^2*($D$11*(1-$D$11)+$D$12*(1-$D$12))/($D$12-$D$11)^2</f>
        <v>8051.6849755850317</v>
      </c>
    </row>
    <row r="16" spans="1:6" x14ac:dyDescent="0.2">
      <c r="A16" s="53" t="s">
        <v>543</v>
      </c>
      <c r="D16" s="75">
        <f>D15/$D$8*100</f>
        <v>3.4309061984502502</v>
      </c>
    </row>
    <row r="18" spans="1:6" ht="45.75" customHeight="1" x14ac:dyDescent="0.2">
      <c r="A18" s="206" t="s">
        <v>544</v>
      </c>
      <c r="B18" s="206"/>
      <c r="C18" s="206"/>
      <c r="D18" s="206"/>
      <c r="E18" s="206"/>
      <c r="F18" s="206"/>
    </row>
  </sheetData>
  <mergeCells count="3">
    <mergeCell ref="A1:F1"/>
    <mergeCell ref="A2:F2"/>
    <mergeCell ref="A18:F18"/>
  </mergeCells>
  <printOptions horizontalCentered="1"/>
  <pageMargins left="0.75" right="0.75" top="1" bottom="1" header="0.511811023622047" footer="0.511811023622047"/>
  <pageSetup fitToHeight="0" orientation="landscape"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F63"/>
  <sheetViews>
    <sheetView showGridLines="0" zoomScaleNormal="100" workbookViewId="0">
      <selection activeCell="A2" sqref="A2:F2"/>
    </sheetView>
  </sheetViews>
  <sheetFormatPr baseColWidth="10" defaultColWidth="8.6640625" defaultRowHeight="15" x14ac:dyDescent="0.2"/>
  <cols>
    <col min="1" max="1" width="30" customWidth="1"/>
    <col min="2" max="2" width="62" customWidth="1"/>
    <col min="3" max="3" width="15" customWidth="1"/>
    <col min="4" max="4" width="13" customWidth="1"/>
    <col min="5" max="5" width="12" customWidth="1"/>
  </cols>
  <sheetData>
    <row r="1" spans="1:6" ht="33.75" customHeight="1" x14ac:dyDescent="0.2">
      <c r="A1" s="14" t="s">
        <v>545</v>
      </c>
      <c r="B1" s="14"/>
      <c r="C1" s="14"/>
      <c r="D1" s="14"/>
      <c r="E1" s="14"/>
      <c r="F1" s="14"/>
    </row>
    <row r="2" spans="1:6" ht="25.5" customHeight="1" x14ac:dyDescent="0.2">
      <c r="A2" s="13" t="s">
        <v>546</v>
      </c>
      <c r="B2" s="13"/>
      <c r="C2" s="13"/>
      <c r="D2" s="13"/>
      <c r="E2" s="13"/>
      <c r="F2" s="13"/>
    </row>
    <row r="4" spans="1:6" ht="30" customHeight="1" x14ac:dyDescent="0.2">
      <c r="A4" s="21" t="s">
        <v>7</v>
      </c>
      <c r="B4" s="21" t="s">
        <v>547</v>
      </c>
      <c r="C4" s="21" t="s">
        <v>548</v>
      </c>
      <c r="D4" s="21" t="s">
        <v>549</v>
      </c>
      <c r="E4" s="21" t="s">
        <v>11</v>
      </c>
    </row>
    <row r="5" spans="1:6" ht="75" customHeight="1" x14ac:dyDescent="0.2">
      <c r="A5" s="23" t="s">
        <v>550</v>
      </c>
      <c r="B5" s="22" t="s">
        <v>551</v>
      </c>
      <c r="C5" s="22" t="s">
        <v>552</v>
      </c>
      <c r="D5" s="23" t="s">
        <v>553</v>
      </c>
      <c r="E5" s="22" t="s">
        <v>554</v>
      </c>
    </row>
    <row r="6" spans="1:6" ht="60" customHeight="1" x14ac:dyDescent="0.2">
      <c r="A6" s="25" t="s">
        <v>191</v>
      </c>
      <c r="B6" s="24" t="s">
        <v>555</v>
      </c>
      <c r="C6" s="25" t="s">
        <v>556</v>
      </c>
      <c r="D6" s="25" t="s">
        <v>557</v>
      </c>
      <c r="E6" s="24" t="s">
        <v>558</v>
      </c>
    </row>
    <row r="7" spans="1:6" ht="90" customHeight="1" x14ac:dyDescent="0.2">
      <c r="A7" s="23" t="s">
        <v>436</v>
      </c>
      <c r="B7" s="22" t="s">
        <v>559</v>
      </c>
      <c r="C7" s="23" t="s">
        <v>556</v>
      </c>
      <c r="D7" s="23" t="s">
        <v>560</v>
      </c>
      <c r="E7" s="22" t="s">
        <v>561</v>
      </c>
    </row>
    <row r="8" spans="1:6" ht="75" customHeight="1" x14ac:dyDescent="0.2">
      <c r="A8" s="25" t="s">
        <v>562</v>
      </c>
      <c r="B8" s="25" t="s">
        <v>37</v>
      </c>
      <c r="C8" s="25" t="s">
        <v>563</v>
      </c>
      <c r="D8" s="25" t="s">
        <v>560</v>
      </c>
      <c r="E8" s="24" t="s">
        <v>564</v>
      </c>
    </row>
    <row r="9" spans="1:6" ht="75" customHeight="1" x14ac:dyDescent="0.2">
      <c r="A9" s="23" t="s">
        <v>565</v>
      </c>
      <c r="B9" s="22" t="s">
        <v>566</v>
      </c>
      <c r="C9" s="22" t="s">
        <v>567</v>
      </c>
      <c r="D9" s="23" t="s">
        <v>568</v>
      </c>
      <c r="E9" s="22" t="s">
        <v>569</v>
      </c>
    </row>
    <row r="10" spans="1:6" ht="90" customHeight="1" x14ac:dyDescent="0.2">
      <c r="A10" s="25" t="s">
        <v>570</v>
      </c>
      <c r="B10" s="24" t="s">
        <v>571</v>
      </c>
      <c r="C10" s="25" t="s">
        <v>572</v>
      </c>
      <c r="D10" s="25" t="s">
        <v>568</v>
      </c>
      <c r="E10" s="24" t="s">
        <v>573</v>
      </c>
    </row>
    <row r="11" spans="1:6" ht="75" customHeight="1" x14ac:dyDescent="0.2">
      <c r="A11" s="23" t="s">
        <v>312</v>
      </c>
      <c r="B11" s="22" t="s">
        <v>574</v>
      </c>
      <c r="C11" s="23" t="s">
        <v>575</v>
      </c>
      <c r="D11" s="23" t="s">
        <v>568</v>
      </c>
      <c r="E11" s="22" t="s">
        <v>576</v>
      </c>
    </row>
    <row r="12" spans="1:6" ht="60" customHeight="1" x14ac:dyDescent="0.2">
      <c r="A12" s="25" t="s">
        <v>577</v>
      </c>
      <c r="B12" s="24" t="s">
        <v>578</v>
      </c>
      <c r="C12" s="25" t="s">
        <v>579</v>
      </c>
      <c r="D12" s="25" t="s">
        <v>580</v>
      </c>
      <c r="E12" s="24" t="s">
        <v>581</v>
      </c>
    </row>
    <row r="13" spans="1:6" ht="75" customHeight="1" x14ac:dyDescent="0.2">
      <c r="A13" s="23" t="s">
        <v>582</v>
      </c>
      <c r="B13" s="22" t="s">
        <v>583</v>
      </c>
      <c r="C13" s="22" t="s">
        <v>584</v>
      </c>
      <c r="D13" s="23" t="s">
        <v>585</v>
      </c>
      <c r="E13" s="22" t="s">
        <v>586</v>
      </c>
    </row>
    <row r="15" spans="1:6" ht="15.75" customHeight="1" x14ac:dyDescent="0.2">
      <c r="A15" s="26" t="s">
        <v>587</v>
      </c>
    </row>
    <row r="16" spans="1:6" ht="15" customHeight="1" x14ac:dyDescent="0.2">
      <c r="A16" s="13" t="s">
        <v>588</v>
      </c>
      <c r="B16" s="13"/>
      <c r="C16" s="13"/>
      <c r="D16" s="13"/>
      <c r="E16" s="13"/>
    </row>
    <row r="18" spans="1:5" x14ac:dyDescent="0.2">
      <c r="A18" s="27" t="s">
        <v>189</v>
      </c>
      <c r="C18" s="76">
        <f>COUNT('DATOS LIMPIOS'!$G$5:$G$493)</f>
        <v>489</v>
      </c>
    </row>
    <row r="19" spans="1:5" x14ac:dyDescent="0.2">
      <c r="A19" s="27" t="s">
        <v>58</v>
      </c>
      <c r="C19" s="76">
        <f>SUM('DATOS LIMPIOS'!$G$5:$G$493)</f>
        <v>120096662</v>
      </c>
    </row>
    <row r="20" spans="1:5" x14ac:dyDescent="0.2">
      <c r="A20" s="27" t="s">
        <v>589</v>
      </c>
      <c r="C20" s="76">
        <f>SUM('DATOS LIMPIOS'!$H$5:$H$493)</f>
        <v>34760801</v>
      </c>
    </row>
    <row r="21" spans="1:5" x14ac:dyDescent="0.2">
      <c r="A21" s="27" t="s">
        <v>517</v>
      </c>
      <c r="C21" s="76">
        <f>SUM('DATOS LIMPIOS'!$I$5:$I$493)</f>
        <v>11682604</v>
      </c>
    </row>
    <row r="22" spans="1:5" x14ac:dyDescent="0.2">
      <c r="A22" s="27" t="s">
        <v>590</v>
      </c>
      <c r="C22" s="77">
        <f>SUM('DATOS LIMPIOS'!$H$5:$H$493)/SUM('DATOS LIMPIOS'!$G$5:$G$493)*100</f>
        <v>28.944019276738931</v>
      </c>
    </row>
    <row r="23" spans="1:5" x14ac:dyDescent="0.2">
      <c r="A23" s="27" t="s">
        <v>591</v>
      </c>
      <c r="C23" s="77">
        <f>SUM('DATOS LIMPIOS'!$I$5:$I$493)/SUM('DATOS LIMPIOS'!$G$5:$G$493)*100</f>
        <v>9.727667535006093</v>
      </c>
    </row>
    <row r="24" spans="1:5" x14ac:dyDescent="0.2">
      <c r="A24" s="27" t="s">
        <v>592</v>
      </c>
      <c r="C24" s="77">
        <f>SUM('DATOS LIMPIOS'!$I$5:$I$493)/SUM('DATOS LIMPIOS'!$H$5:$H$493)*100</f>
        <v>33.608558099682455</v>
      </c>
    </row>
    <row r="27" spans="1:5" ht="16.5" customHeight="1" x14ac:dyDescent="0.2">
      <c r="A27" s="15" t="s">
        <v>593</v>
      </c>
    </row>
    <row r="28" spans="1:5" ht="48" customHeight="1" x14ac:dyDescent="0.2">
      <c r="A28" s="13" t="s">
        <v>594</v>
      </c>
      <c r="B28" s="13"/>
      <c r="C28" s="13"/>
      <c r="D28" s="13"/>
      <c r="E28" s="13"/>
    </row>
    <row r="30" spans="1:5" ht="25.5" customHeight="1" x14ac:dyDescent="0.2">
      <c r="A30" s="16" t="s">
        <v>595</v>
      </c>
      <c r="B30" s="16" t="s">
        <v>596</v>
      </c>
      <c r="C30" s="16" t="s">
        <v>597</v>
      </c>
      <c r="D30" s="16" t="s">
        <v>598</v>
      </c>
      <c r="E30" s="16" t="s">
        <v>599</v>
      </c>
    </row>
    <row r="31" spans="1:5" ht="45.75" customHeight="1" x14ac:dyDescent="0.2">
      <c r="A31" s="27" t="s">
        <v>600</v>
      </c>
      <c r="B31" s="78" t="s">
        <v>601</v>
      </c>
      <c r="C31" s="79">
        <f>AVERAGE('DATOS LIMPIOS'!$M$5:$M$493)</f>
        <v>29.186613608563622</v>
      </c>
      <c r="D31" s="80">
        <v>29.187000000000001</v>
      </c>
      <c r="E31" s="81" t="str">
        <f t="shared" ref="E31:E37" si="0">IF(ABS(C31-D31)&lt;0.05,"Sí","REVISAR")</f>
        <v>Sí</v>
      </c>
    </row>
    <row r="32" spans="1:5" ht="45.75" customHeight="1" x14ac:dyDescent="0.2">
      <c r="A32" s="27" t="s">
        <v>602</v>
      </c>
      <c r="B32" s="78" t="s">
        <v>603</v>
      </c>
      <c r="C32" s="79">
        <f>AVERAGEIF('DATOS LIMPIOS'!$E$5:$E$493,"*%*",'DATOS LIMPIOS'!$M$5:$M$493)</f>
        <v>41.593592985418489</v>
      </c>
      <c r="D32" s="80">
        <v>41.594000000000001</v>
      </c>
      <c r="E32" s="81" t="str">
        <f t="shared" si="0"/>
        <v>Sí</v>
      </c>
    </row>
    <row r="33" spans="1:5" ht="45.75" customHeight="1" x14ac:dyDescent="0.2">
      <c r="A33" s="27" t="s">
        <v>604</v>
      </c>
      <c r="B33" s="78" t="s">
        <v>605</v>
      </c>
      <c r="C33" s="79">
        <f>AVERAGEIF('DATOS LIMPIOS'!$E$5:$E$493,"&lt;&gt;*%*",'DATOS LIMPIOS'!$M$5:$M$493)</f>
        <v>28.629890174986805</v>
      </c>
      <c r="D33" s="80">
        <v>28.63</v>
      </c>
      <c r="E33" s="81" t="str">
        <f t="shared" si="0"/>
        <v>Sí</v>
      </c>
    </row>
    <row r="34" spans="1:5" ht="45.75" customHeight="1" x14ac:dyDescent="0.2">
      <c r="A34" s="27" t="s">
        <v>606</v>
      </c>
      <c r="B34" s="78" t="s">
        <v>607</v>
      </c>
      <c r="C34" s="82">
        <f>AVERAGEIF('DATOS LIMPIOS'!$E$5:$E$493,"*%*",'DATOS LIMPIOS'!$M$5:$M$493)-AVERAGEIF('DATOS LIMPIOS'!$E$5:$E$493,"&lt;&gt;*%*",'DATOS LIMPIOS'!$M$5:$M$493)</f>
        <v>12.963702810431684</v>
      </c>
      <c r="D34" s="83">
        <v>12.964</v>
      </c>
      <c r="E34" s="81" t="str">
        <f t="shared" si="0"/>
        <v>Sí</v>
      </c>
    </row>
    <row r="35" spans="1:5" ht="45.75" customHeight="1" x14ac:dyDescent="0.2">
      <c r="A35" s="27" t="s">
        <v>608</v>
      </c>
      <c r="B35" s="78" t="s">
        <v>609</v>
      </c>
      <c r="C35" s="84">
        <f>(SUMPRODUCT(('DATOS LIMPIOS'!$M$5:$M$493-AVERAGE('DATOS LIMPIOS'!$M$5:$M$493))^2)-SUMPRODUCT(('DATOS LIMPIOS'!$M$5:$M$493-'DATOS LIMPIOS'!$Q$5:$Q$493)^2))/SUMPRODUCT(('DATOS LIMPIOS'!$M$5:$M$493-AVERAGE('DATOS LIMPIOS'!$M$5:$M$493))^2)*100</f>
        <v>47.41037221266307</v>
      </c>
      <c r="D35" s="85">
        <v>47.41</v>
      </c>
      <c r="E35" s="81" t="str">
        <f t="shared" si="0"/>
        <v>Sí</v>
      </c>
    </row>
    <row r="36" spans="1:5" ht="45.75" customHeight="1" x14ac:dyDescent="0.2">
      <c r="A36" s="27" t="s">
        <v>610</v>
      </c>
      <c r="B36" s="78" t="s">
        <v>611</v>
      </c>
      <c r="C36" s="84">
        <f>(SUMPRODUCT(('DATOS LIMPIOS'!$M$5:$M$493-AVERAGE('DATOS LIMPIOS'!$M$5:$M$493))^2)-SUMPRODUCT(('DATOS LIMPIOS'!$M$5:$M$493-'DATOS LIMPIOS'!$R$5:$R$493)^2))/SUMPRODUCT(('DATOS LIMPIOS'!$M$5:$M$493-AVERAGE('DATOS LIMPIOS'!$M$5:$M$493))^2)*100</f>
        <v>1.3828802115824816</v>
      </c>
      <c r="D36" s="85">
        <v>1.383</v>
      </c>
      <c r="E36" s="81" t="str">
        <f t="shared" si="0"/>
        <v>Sí</v>
      </c>
    </row>
    <row r="37" spans="1:5" ht="45.75" customHeight="1" x14ac:dyDescent="0.2">
      <c r="A37" s="27" t="s">
        <v>612</v>
      </c>
      <c r="B37" s="78" t="s">
        <v>613</v>
      </c>
      <c r="C37" s="86">
        <f>CORREL('DATOS LIMPIOS'!$I$5:$I$493,'DATOS LIMPIOS'!$L$5:$L$493)</f>
        <v>3.7675971902607824E-2</v>
      </c>
      <c r="D37" s="87">
        <v>3.7999999999999999E-2</v>
      </c>
      <c r="E37" s="81" t="str">
        <f t="shared" si="0"/>
        <v>Sí</v>
      </c>
    </row>
    <row r="38" spans="1:5" ht="45.75" customHeight="1" x14ac:dyDescent="0.2">
      <c r="A38" s="27" t="s">
        <v>614</v>
      </c>
      <c r="B38" s="78" t="s">
        <v>615</v>
      </c>
      <c r="C38" s="88">
        <f>TDIST(ABS(CORREL('DATOS LIMPIOS'!$I$5:$I$493,'DATOS LIMPIOS'!$L$5:$L$493))*SQRT(489-2)/SQRT(1-CORREL('DATOS LIMPIOS'!$I$5:$I$493,'DATOS LIMPIOS'!$L$5:$L$493)^2),489-2,2)</f>
        <v>0.40580151903485739</v>
      </c>
      <c r="D38" s="89" t="s">
        <v>616</v>
      </c>
      <c r="E38" s="60" t="s">
        <v>30</v>
      </c>
    </row>
    <row r="39" spans="1:5" ht="45.75" customHeight="1" x14ac:dyDescent="0.2">
      <c r="A39" s="27" t="s">
        <v>617</v>
      </c>
      <c r="B39" s="78" t="s">
        <v>618</v>
      </c>
      <c r="C39" s="90">
        <f>MAX('RANKING ASUNTOS'!$G$5:$G$26)/MIN('RANKING ASUNTOS'!$G$5:$G$26)</f>
        <v>3.8810090517973816</v>
      </c>
      <c r="D39" s="91">
        <v>3.8809999999999998</v>
      </c>
      <c r="E39" s="81" t="str">
        <f>IF(ABS(C39-D39)&lt;0.05,"Sí","REVISAR")</f>
        <v>Sí</v>
      </c>
    </row>
    <row r="41" spans="1:5" ht="39.75" customHeight="1" x14ac:dyDescent="0.2">
      <c r="A41" s="13" t="s">
        <v>619</v>
      </c>
      <c r="B41" s="13"/>
      <c r="C41" s="13"/>
      <c r="D41" s="13"/>
      <c r="E41" s="13"/>
    </row>
    <row r="44" spans="1:5" ht="33.75" customHeight="1" x14ac:dyDescent="0.2">
      <c r="A44" s="92" t="s">
        <v>620</v>
      </c>
    </row>
    <row r="45" spans="1:5" ht="30" customHeight="1" x14ac:dyDescent="0.2">
      <c r="A45" s="16" t="s">
        <v>621</v>
      </c>
      <c r="B45" s="16" t="s">
        <v>622</v>
      </c>
      <c r="C45" s="16" t="s">
        <v>597</v>
      </c>
      <c r="D45" s="16" t="s">
        <v>598</v>
      </c>
      <c r="E45" s="16" t="s">
        <v>599</v>
      </c>
    </row>
    <row r="46" spans="1:5" x14ac:dyDescent="0.2">
      <c r="A46" s="93" t="s">
        <v>623</v>
      </c>
      <c r="B46" s="93" t="s">
        <v>624</v>
      </c>
      <c r="C46" s="45">
        <f>'H3 ASUNTO'!B34</f>
        <v>39.033106879410646</v>
      </c>
      <c r="D46" s="45">
        <v>39.03</v>
      </c>
      <c r="E46" s="94" t="str">
        <f t="shared" ref="E46:E63" si="1">IF(ABS(C46-D46)&lt;0.05,"Sí","REVISAR")</f>
        <v>Sí</v>
      </c>
    </row>
    <row r="47" spans="1:5" x14ac:dyDescent="0.2">
      <c r="A47" s="93" t="s">
        <v>625</v>
      </c>
      <c r="B47" s="93" t="s">
        <v>624</v>
      </c>
      <c r="C47" s="45">
        <f>'H3 ASUNTO'!C34</f>
        <v>20.596390593465472</v>
      </c>
      <c r="D47" s="45">
        <v>20.6</v>
      </c>
      <c r="E47" s="94" t="str">
        <f t="shared" si="1"/>
        <v>Sí</v>
      </c>
    </row>
    <row r="48" spans="1:5" x14ac:dyDescent="0.2">
      <c r="A48" s="93" t="s">
        <v>626</v>
      </c>
      <c r="B48" s="93" t="s">
        <v>624</v>
      </c>
      <c r="C48" s="45">
        <f>'H3 ASUNTO'!B35</f>
        <v>38.936538712598711</v>
      </c>
      <c r="D48" s="45">
        <v>38.94</v>
      </c>
      <c r="E48" s="94" t="str">
        <f t="shared" si="1"/>
        <v>Sí</v>
      </c>
    </row>
    <row r="49" spans="1:5" x14ac:dyDescent="0.2">
      <c r="A49" s="93" t="s">
        <v>627</v>
      </c>
      <c r="B49" s="93" t="s">
        <v>624</v>
      </c>
      <c r="C49" s="45">
        <f>'H3 ASUNTO'!C35</f>
        <v>16.313814163332356</v>
      </c>
      <c r="D49" s="45">
        <v>16.309999999999999</v>
      </c>
      <c r="E49" s="94" t="str">
        <f t="shared" si="1"/>
        <v>Sí</v>
      </c>
    </row>
    <row r="50" spans="1:5" x14ac:dyDescent="0.2">
      <c r="A50" s="93" t="s">
        <v>628</v>
      </c>
      <c r="B50" s="93" t="s">
        <v>624</v>
      </c>
      <c r="C50" s="45">
        <f>'H3 ASUNTO'!B36</f>
        <v>39.550180419753673</v>
      </c>
      <c r="D50" s="45">
        <v>39.549999999999997</v>
      </c>
      <c r="E50" s="94" t="str">
        <f t="shared" si="1"/>
        <v>Sí</v>
      </c>
    </row>
    <row r="51" spans="1:5" x14ac:dyDescent="0.2">
      <c r="A51" s="93" t="s">
        <v>629</v>
      </c>
      <c r="B51" s="93" t="s">
        <v>624</v>
      </c>
      <c r="C51" s="45">
        <f>'H3 ASUNTO'!C36</f>
        <v>16.525879046600455</v>
      </c>
      <c r="D51" s="45">
        <v>16.53</v>
      </c>
      <c r="E51" s="94" t="str">
        <f t="shared" si="1"/>
        <v>Sí</v>
      </c>
    </row>
    <row r="52" spans="1:5" x14ac:dyDescent="0.2">
      <c r="A52" s="93" t="s">
        <v>630</v>
      </c>
      <c r="B52" s="93" t="s">
        <v>631</v>
      </c>
      <c r="C52" s="45">
        <f>'H4 TEMÁTICA HOT SALE'!C135</f>
        <v>20.798269672331276</v>
      </c>
      <c r="D52" s="45">
        <v>20.8</v>
      </c>
      <c r="E52" s="94" t="str">
        <f t="shared" si="1"/>
        <v>Sí</v>
      </c>
    </row>
    <row r="53" spans="1:5" x14ac:dyDescent="0.2">
      <c r="A53" s="93" t="s">
        <v>632</v>
      </c>
      <c r="B53" s="93" t="s">
        <v>631</v>
      </c>
      <c r="C53" s="45">
        <f>'H4 TEMÁTICA HOT SALE'!C134</f>
        <v>37.555790098765478</v>
      </c>
      <c r="D53" s="45">
        <v>37.56</v>
      </c>
      <c r="E53" s="94" t="str">
        <f t="shared" si="1"/>
        <v>Sí</v>
      </c>
    </row>
    <row r="54" spans="1:5" x14ac:dyDescent="0.2">
      <c r="A54" s="93" t="s">
        <v>633</v>
      </c>
      <c r="B54" s="93" t="s">
        <v>631</v>
      </c>
      <c r="C54" s="45">
        <f>'H4 TEMÁTICA HOT SALE'!C215</f>
        <v>39.509184138436197</v>
      </c>
      <c r="D54" s="45">
        <v>39.51</v>
      </c>
      <c r="E54" s="94" t="str">
        <f t="shared" si="1"/>
        <v>Sí</v>
      </c>
    </row>
    <row r="55" spans="1:5" x14ac:dyDescent="0.2">
      <c r="A55" s="93" t="s">
        <v>634</v>
      </c>
      <c r="B55" s="93" t="s">
        <v>631</v>
      </c>
      <c r="C55" s="45">
        <f>'H4 TEMÁTICA HOT SALE'!D215</f>
        <v>8.3578085280785892</v>
      </c>
      <c r="D55" s="45">
        <v>8.36</v>
      </c>
      <c r="E55" s="94" t="str">
        <f t="shared" si="1"/>
        <v>Sí</v>
      </c>
    </row>
    <row r="56" spans="1:5" x14ac:dyDescent="0.2">
      <c r="A56" s="93" t="s">
        <v>635</v>
      </c>
      <c r="B56" s="93" t="s">
        <v>624</v>
      </c>
      <c r="C56" s="45">
        <f>'H3 ASUNTO'!C84</f>
        <v>19.532131265132833</v>
      </c>
      <c r="D56" s="45">
        <v>19.53</v>
      </c>
      <c r="E56" s="94" t="str">
        <f t="shared" si="1"/>
        <v>Sí</v>
      </c>
    </row>
    <row r="57" spans="1:5" x14ac:dyDescent="0.2">
      <c r="A57" s="93" t="s">
        <v>636</v>
      </c>
      <c r="B57" s="93" t="s">
        <v>624</v>
      </c>
      <c r="C57" s="45">
        <f>'H3 ASUNTO'!B154</f>
        <v>0.73892623181720984</v>
      </c>
      <c r="D57" s="45">
        <v>0.74</v>
      </c>
      <c r="E57" s="94" t="str">
        <f t="shared" si="1"/>
        <v>Sí</v>
      </c>
    </row>
    <row r="58" spans="1:5" x14ac:dyDescent="0.2">
      <c r="A58" s="93" t="s">
        <v>637</v>
      </c>
      <c r="B58" s="93" t="s">
        <v>638</v>
      </c>
      <c r="C58" s="45">
        <f>'H1 CALENDARIO'!C106</f>
        <v>1.760637198645618</v>
      </c>
      <c r="D58" s="45">
        <v>1.76</v>
      </c>
      <c r="E58" s="94" t="str">
        <f t="shared" si="1"/>
        <v>Sí</v>
      </c>
    </row>
    <row r="59" spans="1:5" x14ac:dyDescent="0.2">
      <c r="A59" s="93" t="s">
        <v>639</v>
      </c>
      <c r="B59" s="93" t="s">
        <v>624</v>
      </c>
      <c r="C59" s="45">
        <f>'H3 ASUNTO'!C61</f>
        <v>21.257415548708167</v>
      </c>
      <c r="D59" s="45">
        <v>21.26</v>
      </c>
      <c r="E59" s="94" t="str">
        <f t="shared" si="1"/>
        <v>Sí</v>
      </c>
    </row>
    <row r="60" spans="1:5" x14ac:dyDescent="0.2">
      <c r="A60" s="93" t="s">
        <v>640</v>
      </c>
      <c r="B60" s="93" t="s">
        <v>624</v>
      </c>
      <c r="C60" s="45">
        <f>'H3 ASUNTO'!C59</f>
        <v>29.134330954436024</v>
      </c>
      <c r="D60" s="45">
        <v>29.13</v>
      </c>
      <c r="E60" s="94" t="str">
        <f t="shared" si="1"/>
        <v>Sí</v>
      </c>
    </row>
    <row r="61" spans="1:5" x14ac:dyDescent="0.2">
      <c r="A61" s="93" t="s">
        <v>641</v>
      </c>
      <c r="B61" s="93" t="s">
        <v>631</v>
      </c>
      <c r="C61" s="45">
        <f>COUNTIF('DATOS LIMPIOS'!$AI$5:$AI$493,"Sí")</f>
        <v>287</v>
      </c>
      <c r="D61" s="45">
        <v>287</v>
      </c>
      <c r="E61" s="94" t="str">
        <f t="shared" si="1"/>
        <v>Sí</v>
      </c>
    </row>
    <row r="62" spans="1:5" x14ac:dyDescent="0.2">
      <c r="A62" s="93" t="s">
        <v>642</v>
      </c>
      <c r="B62" s="93" t="s">
        <v>643</v>
      </c>
      <c r="C62" s="45">
        <f>'H0 DATOS'!B7</f>
        <v>87</v>
      </c>
      <c r="D62" s="45">
        <v>87</v>
      </c>
      <c r="E62" s="94" t="str">
        <f t="shared" si="1"/>
        <v>Sí</v>
      </c>
    </row>
    <row r="63" spans="1:5" x14ac:dyDescent="0.2">
      <c r="A63" s="93" t="s">
        <v>644</v>
      </c>
      <c r="B63" s="93" t="s">
        <v>645</v>
      </c>
      <c r="C63" s="45">
        <f>COUNTIF(_calculos!$B$4:$B$69,"?*")</f>
        <v>66</v>
      </c>
      <c r="D63" s="45">
        <v>66</v>
      </c>
      <c r="E63" s="94" t="str">
        <f t="shared" si="1"/>
        <v>Sí</v>
      </c>
    </row>
  </sheetData>
  <mergeCells count="5">
    <mergeCell ref="A1:F1"/>
    <mergeCell ref="A2:F2"/>
    <mergeCell ref="A16:E16"/>
    <mergeCell ref="A28:E28"/>
    <mergeCell ref="A41:E41"/>
  </mergeCells>
  <printOptions horizontalCentered="1"/>
  <pageMargins left="0.75" right="0.75" top="1" bottom="1" header="0.511811023622047" footer="0.511811023622047"/>
  <pageSetup fitToHeight="0" orientation="landscape"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AT493"/>
  <sheetViews>
    <sheetView showGridLines="0" zoomScaleNormal="100" workbookViewId="0">
      <pane xSplit="1" ySplit="4" topLeftCell="B5" activePane="bottomRight" state="frozen"/>
      <selection pane="topRight" activeCell="B1" sqref="B1"/>
      <selection pane="bottomLeft" activeCell="A5" sqref="A5"/>
      <selection pane="bottomRight"/>
    </sheetView>
  </sheetViews>
  <sheetFormatPr baseColWidth="10" defaultColWidth="8.6640625" defaultRowHeight="15" x14ac:dyDescent="0.2"/>
  <cols>
    <col min="1" max="1" width="13" customWidth="1"/>
    <col min="2" max="2" width="22" customWidth="1"/>
    <col min="3" max="4" width="13" customWidth="1"/>
    <col min="5" max="6" width="44" customWidth="1"/>
    <col min="7" max="9" width="13" customWidth="1"/>
    <col min="10" max="13" width="17" customWidth="1"/>
    <col min="14" max="15" width="13" customWidth="1"/>
    <col min="16" max="16" width="17" customWidth="1"/>
    <col min="17" max="18" width="19" customWidth="1"/>
    <col min="19" max="31" width="14" customWidth="1"/>
    <col min="32" max="33" width="30" customWidth="1"/>
    <col min="34" max="46" width="14" customWidth="1"/>
  </cols>
  <sheetData>
    <row r="1" spans="1:46" ht="33.75" customHeight="1" x14ac:dyDescent="0.2">
      <c r="A1" s="14" t="s">
        <v>646</v>
      </c>
      <c r="B1" s="14"/>
      <c r="C1" s="14"/>
      <c r="D1" s="14"/>
      <c r="E1" s="14"/>
      <c r="F1" s="14"/>
      <c r="G1" s="14"/>
      <c r="H1" s="14"/>
      <c r="I1" s="14"/>
      <c r="J1" s="14"/>
      <c r="K1" s="14"/>
      <c r="L1" s="14"/>
      <c r="M1" s="14"/>
      <c r="N1" s="14"/>
      <c r="O1" s="14"/>
      <c r="P1" s="14"/>
    </row>
    <row r="2" spans="1:46" ht="25.5" customHeight="1" x14ac:dyDescent="0.2">
      <c r="A2" s="13" t="s">
        <v>647</v>
      </c>
      <c r="B2" s="13"/>
      <c r="C2" s="13"/>
      <c r="D2" s="13"/>
      <c r="E2" s="13"/>
      <c r="F2" s="13"/>
      <c r="G2" s="13"/>
      <c r="H2" s="13"/>
      <c r="I2" s="13"/>
      <c r="J2" s="13"/>
      <c r="K2" s="13"/>
      <c r="L2" s="13"/>
      <c r="M2" s="13"/>
      <c r="N2" s="13"/>
      <c r="O2" s="13"/>
      <c r="P2" s="13"/>
    </row>
    <row r="4" spans="1:46" ht="30" customHeight="1" x14ac:dyDescent="0.2">
      <c r="A4" s="16" t="s">
        <v>648</v>
      </c>
      <c r="B4" s="16" t="s">
        <v>649</v>
      </c>
      <c r="C4" s="16" t="s">
        <v>650</v>
      </c>
      <c r="D4" s="16" t="s">
        <v>651</v>
      </c>
      <c r="E4" s="16" t="s">
        <v>652</v>
      </c>
      <c r="F4" s="16" t="s">
        <v>653</v>
      </c>
      <c r="G4" s="16" t="s">
        <v>654</v>
      </c>
      <c r="H4" s="16" t="s">
        <v>655</v>
      </c>
      <c r="I4" s="16" t="s">
        <v>656</v>
      </c>
      <c r="J4" s="16" t="s">
        <v>657</v>
      </c>
      <c r="K4" s="16" t="s">
        <v>658</v>
      </c>
      <c r="L4" s="16" t="s">
        <v>659</v>
      </c>
      <c r="M4" s="95" t="s">
        <v>550</v>
      </c>
      <c r="N4" s="95" t="s">
        <v>191</v>
      </c>
      <c r="O4" s="95" t="s">
        <v>436</v>
      </c>
      <c r="P4" s="95" t="s">
        <v>562</v>
      </c>
      <c r="Q4" s="95" t="s">
        <v>660</v>
      </c>
      <c r="R4" s="95" t="s">
        <v>661</v>
      </c>
      <c r="S4" s="16" t="s">
        <v>662</v>
      </c>
      <c r="T4" s="16" t="s">
        <v>188</v>
      </c>
      <c r="U4" s="16" t="s">
        <v>663</v>
      </c>
      <c r="V4" s="16" t="s">
        <v>213</v>
      </c>
      <c r="W4" s="16" t="s">
        <v>218</v>
      </c>
      <c r="X4" s="16" t="s">
        <v>664</v>
      </c>
      <c r="Y4" s="16" t="s">
        <v>665</v>
      </c>
      <c r="Z4" s="16" t="s">
        <v>284</v>
      </c>
      <c r="AA4" s="16" t="s">
        <v>293</v>
      </c>
      <c r="AB4" s="16" t="s">
        <v>666</v>
      </c>
      <c r="AC4" s="16" t="s">
        <v>667</v>
      </c>
      <c r="AD4" s="16" t="s">
        <v>668</v>
      </c>
      <c r="AE4" s="16" t="s">
        <v>669</v>
      </c>
      <c r="AF4" s="16" t="s">
        <v>670</v>
      </c>
      <c r="AG4" s="16" t="s">
        <v>671</v>
      </c>
      <c r="AH4" s="16" t="s">
        <v>356</v>
      </c>
      <c r="AI4" s="16" t="s">
        <v>672</v>
      </c>
      <c r="AJ4" s="16" t="s">
        <v>673</v>
      </c>
      <c r="AK4" s="16" t="s">
        <v>674</v>
      </c>
      <c r="AL4" s="16" t="s">
        <v>675</v>
      </c>
      <c r="AM4" s="16" t="s">
        <v>676</v>
      </c>
      <c r="AN4" s="16" t="s">
        <v>677</v>
      </c>
      <c r="AO4" s="16" t="s">
        <v>678</v>
      </c>
      <c r="AP4" s="16" t="s">
        <v>679</v>
      </c>
      <c r="AQ4" s="16" t="s">
        <v>680</v>
      </c>
      <c r="AR4" s="16" t="s">
        <v>681</v>
      </c>
      <c r="AS4" s="16" t="s">
        <v>682</v>
      </c>
      <c r="AT4" s="16" t="s">
        <v>683</v>
      </c>
    </row>
    <row r="5" spans="1:46" x14ac:dyDescent="0.2">
      <c r="A5" s="96" t="s">
        <v>684</v>
      </c>
      <c r="B5" s="96" t="s">
        <v>274</v>
      </c>
      <c r="C5" s="96" t="s">
        <v>685</v>
      </c>
      <c r="D5" s="96" t="s">
        <v>686</v>
      </c>
      <c r="E5" s="96" t="s">
        <v>687</v>
      </c>
      <c r="F5" s="96" t="s">
        <v>688</v>
      </c>
      <c r="G5" s="97">
        <v>436375</v>
      </c>
      <c r="H5" s="97">
        <v>25439</v>
      </c>
      <c r="I5" s="97">
        <v>20073</v>
      </c>
      <c r="J5" s="98">
        <v>1.77</v>
      </c>
      <c r="K5" s="98">
        <v>2.84</v>
      </c>
      <c r="L5" s="99">
        <v>37643.980000000003</v>
      </c>
      <c r="M5" s="100">
        <f t="shared" ref="M5:M68" si="0">IFERROR(H5/G5*100,"")</f>
        <v>5.8296190203380123</v>
      </c>
      <c r="N5" s="100">
        <f t="shared" ref="N5:N68" si="1">IFERROR(I5/G5*100,"")</f>
        <v>4.5999427098252648</v>
      </c>
      <c r="O5" s="100">
        <f t="shared" ref="O5:O68" si="2">IFERROR(I5/H5*100,"")</f>
        <v>78.906403553598807</v>
      </c>
      <c r="P5" s="100">
        <f t="shared" ref="P5:P68" si="3">IFERROR(L5/G5*1000,"")</f>
        <v>86.265207676883421</v>
      </c>
      <c r="Q5" s="100">
        <f t="shared" ref="Q5:Q68" si="4">AVERAGEIF($E$5:$E$493,$E5,$M$5:$M$493)</f>
        <v>22.904078042170426</v>
      </c>
      <c r="R5" s="100">
        <f t="shared" ref="R5:R68" si="5">AVERAGEIF($B$5:$B$493,$B5,$M$5:$M$493)</f>
        <v>31.113650744455075</v>
      </c>
      <c r="S5" s="101">
        <f t="shared" ref="S5:S68" si="6">DATEVALUE(C5)</f>
        <v>45945</v>
      </c>
      <c r="T5" s="102" t="str">
        <f t="shared" ref="T5:T68" si="7">CHOOSE(MONTH(S5)-7,"Agosto","Septiembre","Octubre")</f>
        <v>Octubre</v>
      </c>
      <c r="U5" s="102" t="str">
        <f t="shared" ref="U5:U68" si="8">CHOOSE(WEEKDAY(S5,2),"Lunes","Martes","Miércoles","Jueves","Viernes","Sábado","Domingo")</f>
        <v>Miércoles</v>
      </c>
      <c r="V5" s="102">
        <f t="shared" ref="V5:V68" si="9">VALUE(LEFT(D5,2))</f>
        <v>10</v>
      </c>
      <c r="W5" s="102" t="str">
        <f t="shared" ref="W5:W68" si="10">IF(OR(AND(DAY(S5)&gt;=14,DAY(S5)&lt;=16),DAY(S5)&gt;=DAY(EOMONTH(S5,0))-1,DAY(S5)=1),"Quincena",IF(OR(AND(DAY(S5)&gt;=2,DAY(S5)&lt;=5),AND(DAY(S5)&gt;=17,DAY(S5)&lt;=20)),"Días después del pago","Resto del mes"))</f>
        <v>Quincena</v>
      </c>
      <c r="X5" s="102">
        <f t="shared" ref="X5:X68" si="11">COUNTIF($S$5:$S$493,S5)</f>
        <v>2</v>
      </c>
      <c r="Y5" s="102" t="str">
        <f t="shared" ref="Y5:Y68" si="12">IF(X5&gt;=20,"Sí","No")</f>
        <v>No</v>
      </c>
      <c r="Z5" s="102" t="str">
        <f>CHOOSE(MATCH(B5,{"Customer Appreciation","Exclusive Offers","Flash Sale","Holiday Discounts","New Product Launch","Newsletter"},0),"Fidelizar","Vender","Vender","Vender","Lanzar","Educar")</f>
        <v>Fidelizar</v>
      </c>
      <c r="AA5" s="102" t="str">
        <f t="shared" ref="AA5:AA68" si="13">IF(G5&lt;100000,"Menos de 100 mil",IF(G5&lt;200000,"100 a 200 mil",IF(G5&lt;300000,"200 a 300 mil",IF(G5&lt;400000,"300 a 400 mil","Más de 400 mil"))))</f>
        <v>Más de 400 mil</v>
      </c>
      <c r="AB5" s="102">
        <f>COUNTIFS($E$5:$E$493,E5,$S$5:$S$493,"&lt;"&amp;S5)+COUNTIFS($E$5:E5,E5,$S$5:S5,S5)</f>
        <v>2</v>
      </c>
      <c r="AC5" s="102">
        <f t="shared" ref="AC5:AC68" si="14">COUNTIF($E$5:$E$493,E5)</f>
        <v>4</v>
      </c>
      <c r="AD5" s="102" t="str">
        <f t="shared" ref="AD5:AD68" si="15">IF(AC5&lt;8,"",IF(AB5&lt;=AC5/3,"Primer tercio",IF(AB5&gt;AC5*2/3,"Último tercio","Medio")))</f>
        <v/>
      </c>
      <c r="AE5" s="103">
        <f t="shared" ref="AE5:AE68" si="16">M5-Q5</f>
        <v>-17.074459021832414</v>
      </c>
      <c r="AF5" s="102" t="str">
        <f t="shared" ref="AF5:AF68" si="17">" "&amp;LOWER(SUBSTITUTE(SUBSTITUTE(SUBSTITUTE(SUBSTITUTE(SUBSTITUTE(SUBSTITUTE(SUBSTITUTE(E5,"¡"," "),"!"," "),"¿"," "),"?"," "),":"," "),","," "),"."," "))&amp;" "</f>
        <v xml:space="preserve">  gracias por ser parte de l'oréal  ofertas para ti </v>
      </c>
      <c r="AG5" s="102" t="str">
        <f t="shared" ref="AG5:AG68" si="18">" "&amp;LOWER(SUBSTITUTE(SUBSTITUTE(SUBSTITUTE(SUBSTITUTE(SUBSTITUTE(SUBSTITUTE(SUBSTITUTE(F5,"¡"," "),"!"," "),"¿"," "),"?"," "),":"," "),","," "),"."," "))&amp;" "</f>
        <v xml:space="preserve"> descubre nuestras novedades y ofertas exclusivas para ti   te encantarán  </v>
      </c>
      <c r="AH5" s="102" t="str">
        <f>IF(SUMPRODUCT(--(LEFT(IF(LEFT(LOWER(E5),1)="¡",MID(LOWER(E5),2,300),LOWER(E5)),LEN({"actualizaci","el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5" s="102" t="str">
        <f>IF(OR(SUMPRODUCT(--ISNUMBER(SEARCH({"descuento","oferta","ahorr","precio"," sale ","flash","deals"},AF5)))&gt;0,SUMPRODUCT(--ISNUMBER(SEARCH({"descuento","oferta","ahorr","precio"," sale ","flash","deals"},AG5)))&gt;0),"Sí","No")</f>
        <v>Sí</v>
      </c>
      <c r="AJ5" s="102" t="str">
        <f>IF(SUMPRODUCT(--ISNUMBER(SEARCH({" hoy ","horas","tiempo limitado","antes de que","se acab","se agot","finalic","última oportunidad","oportunidad única","relámpago","express","no esperes","no volver","no parpadees"},AF5)))&gt;0,"Sí","No")</f>
        <v>No</v>
      </c>
      <c r="AK5" s="102" t="str">
        <f>IF(SUMPRODUCT(--ISNUMBER(SEARCH({" hoy ","horas","tiempo limitado","antes de que","se acab","se agot","finalic","última oportunidad","oportunidad única","relámpago","express","no esperes","no volver","no parpadees"},AG5)))&gt;0,"Sí","No")</f>
        <v>No</v>
      </c>
      <c r="AL5" s="102" t="str">
        <f t="shared" ref="AL5:AL68" si="19">IF(AI5="No","Sin descuento",IF(AJ5="Sí","Descuento con tiempo límite en el asunto",IF(AK5="Sí","Descuento con tiempo límite solo en el preheader","Descuento sin tiempo límite")))</f>
        <v>Descuento sin tiempo límite</v>
      </c>
      <c r="AM5" s="102" t="str">
        <f>IF(SUMPRODUCT(--ISNUMBER(SEARCH({"0","1","2","3","4","5","6","7","8","9","favorit","maquillaje","piel","cabello","productos","belleza","regalo"},E5)))&gt;0,"Sí","No")</f>
        <v>No</v>
      </c>
      <c r="AN5" s="102" t="str">
        <f>IF(SUMPRODUCT(--ISNUMBER(SEARCH({"lo que tenemos","estas ofertas","algo especial","ofertas únicas","que preparamos","no te quedes","echa un vistazo"},F5)))&gt;0,"Sí","No")</f>
        <v>No</v>
      </c>
      <c r="AO5" s="102">
        <f t="shared" ref="AO5:AO68" si="20">LEN(E5)-(LEN(E5)-LEN(SUBSTITUTE(E5,"🔥","")))/LEN("🔥")*(LEN("🔥")-1)</f>
        <v>50</v>
      </c>
      <c r="AP5" s="102">
        <f t="shared" ref="AP5:AP68" si="21">LEN(TRIM(E5))-LEN(SUBSTITUTE(TRIM(E5)," ",""))+1</f>
        <v>9</v>
      </c>
      <c r="AQ5" s="102">
        <f>SUMPRODUCT(LEN(E5)-LEN(SUBSTITUTE(E5,{"!","¡","?","¿",":",",",".","%","·","-",";"},"")))</f>
        <v>2</v>
      </c>
      <c r="AR5" s="102" t="str">
        <f t="shared" ref="AR5:AR68" si="22">IF(AND(AO5&lt;=60,AP5&lt;=9,AQ5&lt;=3,(LEN(E5)-LEN(SUBSTITUTE(E5,"🔥","")))/LEN("🔥")&lt;=1),"Sí","No")</f>
        <v>Sí</v>
      </c>
      <c r="AS5" s="102" t="str">
        <f t="shared" ref="AS5:AS68" si="23">IF(ISNUMBER(SEARCH("hot sale",E5)),"Sí","No")</f>
        <v>No</v>
      </c>
      <c r="AT5" s="102" t="str">
        <f>IF(SUMPRODUCT(--ISNUMBER(FIND({"0","1","2","3","4","5","6","7","8","9"},E5)))&gt;0,"Con cifra concreta",IF(OR(ISNUMBER(FIND("?",E5)),ISNUMBER(FIND("¿",E5))),"Pregunta abierta",IF(SUMPRODUCT(--ISNUMBER(SEARCH({" hoy ","horas","tiempo limitado","antes de que","se acab","se agot","finalic","última oportunidad","oportunidad única","relámpago","express","no esperes","no volver","no parpadees"," ya ","últimas horas","últimas unidades"," ahora "},AF5)))&gt;0,"Solo urgencia, sin cifra",IF(SUMPRODUCT(--ISNUMBER(SEARCH({"recompensa","sorpresa","regalo","lealtad","detalle","gracias","pensamos en ti","para ti"},E5)))&gt;0,"Recompensa o sorpresa","Otro: beneficio o novedad"))))</f>
        <v>Recompensa o sorpresa</v>
      </c>
    </row>
    <row r="6" spans="1:46" x14ac:dyDescent="0.2">
      <c r="A6" s="104" t="s">
        <v>689</v>
      </c>
      <c r="B6" s="104" t="s">
        <v>276</v>
      </c>
      <c r="C6" s="104" t="s">
        <v>690</v>
      </c>
      <c r="D6" s="104" t="s">
        <v>691</v>
      </c>
      <c r="E6" s="104" t="s">
        <v>692</v>
      </c>
      <c r="F6" s="104" t="s">
        <v>693</v>
      </c>
      <c r="G6" s="105">
        <v>38111</v>
      </c>
      <c r="H6" s="105">
        <v>2291</v>
      </c>
      <c r="I6" s="105">
        <v>2229</v>
      </c>
      <c r="J6" s="106">
        <v>2.0099999999999998</v>
      </c>
      <c r="K6" s="106">
        <v>4.08</v>
      </c>
      <c r="L6" s="107">
        <v>57634.13</v>
      </c>
      <c r="M6" s="108">
        <f t="shared" si="0"/>
        <v>6.0113877883025895</v>
      </c>
      <c r="N6" s="108">
        <f t="shared" si="1"/>
        <v>5.8487050982655928</v>
      </c>
      <c r="O6" s="108">
        <f t="shared" si="2"/>
        <v>97.293758184199035</v>
      </c>
      <c r="P6" s="108">
        <f t="shared" si="3"/>
        <v>1512.2702107003227</v>
      </c>
      <c r="Q6" s="108">
        <f t="shared" si="4"/>
        <v>10.812608203610466</v>
      </c>
      <c r="R6" s="108">
        <f t="shared" si="5"/>
        <v>29.440902453236173</v>
      </c>
      <c r="S6" s="101">
        <f t="shared" si="6"/>
        <v>45902</v>
      </c>
      <c r="T6" s="102" t="str">
        <f t="shared" si="7"/>
        <v>Septiembre</v>
      </c>
      <c r="U6" s="102" t="str">
        <f t="shared" si="8"/>
        <v>Martes</v>
      </c>
      <c r="V6" s="102">
        <f t="shared" si="9"/>
        <v>14</v>
      </c>
      <c r="W6" s="102" t="str">
        <f t="shared" si="10"/>
        <v>Días después del pago</v>
      </c>
      <c r="X6" s="102">
        <f t="shared" si="11"/>
        <v>1</v>
      </c>
      <c r="Y6" s="102" t="str">
        <f t="shared" si="12"/>
        <v>No</v>
      </c>
      <c r="Z6" s="102" t="str">
        <f>CHOOSE(MATCH(B6,{"Customer Appreciation","Exclusive Offers","Flash Sale","Holiday Discounts","New Product Launch","Newsletter"},0),"Fidelizar","Vender","Vender","Vender","Lanzar","Educar")</f>
        <v>Vender</v>
      </c>
      <c r="AA6" s="102" t="str">
        <f t="shared" si="13"/>
        <v>Menos de 100 mil</v>
      </c>
      <c r="AB6" s="102">
        <f>COUNTIFS($E$5:$E$493,E6,$S$5:$S$493,"&lt;"&amp;S6)+COUNTIFS($E$5:E6,E6,$S$5:S6,S6)</f>
        <v>2</v>
      </c>
      <c r="AC6" s="102">
        <f t="shared" si="14"/>
        <v>4</v>
      </c>
      <c r="AD6" s="102" t="str">
        <f t="shared" si="15"/>
        <v/>
      </c>
      <c r="AE6" s="103">
        <f t="shared" si="16"/>
        <v>-4.8012204153078768</v>
      </c>
      <c r="AF6" s="102" t="str">
        <f t="shared" si="17"/>
        <v xml:space="preserve">  últimas horas  flash sale  no te quedes sin tu descuento </v>
      </c>
      <c r="AG6" s="102" t="str">
        <f t="shared" si="18"/>
        <v xml:space="preserve"> solo por hoy  descuentos increíbles en tus favoritos   compra ahora  </v>
      </c>
      <c r="AH6" s="102" t="str">
        <f>IF(SUMPRODUCT(--(LEFT(IF(LEFT(LOWER(E6),1)="¡",MID(LOWER(E6),2,300),LOWER(E6)),LEN({"actualizaci","el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Sí</v>
      </c>
      <c r="AI6" s="102" t="str">
        <f>IF(OR(SUMPRODUCT(--ISNUMBER(SEARCH({"descuento","oferta","ahorr","precio"," sale ","flash","deals"},AF6)))&gt;0,SUMPRODUCT(--ISNUMBER(SEARCH({"descuento","oferta","ahorr","precio"," sale ","flash","deals"},AG6)))&gt;0),"Sí","No")</f>
        <v>Sí</v>
      </c>
      <c r="AJ6" s="102" t="str">
        <f>IF(SUMPRODUCT(--ISNUMBER(SEARCH({" hoy ","horas","tiempo limitado","antes de que","se acab","se agot","finalic","última oportunidad","oportunidad única","relámpago","express","no esperes","no volver","no parpadees"},AF6)))&gt;0,"Sí","No")</f>
        <v>Sí</v>
      </c>
      <c r="AK6" s="102" t="str">
        <f>IF(SUMPRODUCT(--ISNUMBER(SEARCH({" hoy ","horas","tiempo limitado","antes de que","se acab","se agot","finalic","última oportunidad","oportunidad única","relámpago","express","no esperes","no volver","no parpadees"},AG6)))&gt;0,"Sí","No")</f>
        <v>Sí</v>
      </c>
      <c r="AL6" s="102" t="str">
        <f t="shared" si="19"/>
        <v>Descuento con tiempo límite en el asunto</v>
      </c>
      <c r="AM6" s="102" t="str">
        <f>IF(SUMPRODUCT(--ISNUMBER(SEARCH({"0","1","2","3","4","5","6","7","8","9","favorit","maquillaje","piel","cabello","productos","belleza","regalo"},E6)))&gt;0,"Sí","No")</f>
        <v>No</v>
      </c>
      <c r="AN6" s="102" t="str">
        <f>IF(SUMPRODUCT(--ISNUMBER(SEARCH({"lo que tenemos","estas ofertas","algo especial","ofertas únicas","que preparamos","no te quedes","echa un vistazo"},F6)))&gt;0,"Sí","No")</f>
        <v>No</v>
      </c>
      <c r="AO6" s="102">
        <f t="shared" si="20"/>
        <v>57</v>
      </c>
      <c r="AP6" s="102">
        <f t="shared" si="21"/>
        <v>10</v>
      </c>
      <c r="AQ6" s="102">
        <f>SUMPRODUCT(LEN(E6)-LEN(SUBSTITUTE(E6,{"!","¡","?","¿",":",",",".","%","·","-",";"},"")))</f>
        <v>3</v>
      </c>
      <c r="AR6" s="102" t="str">
        <f t="shared" si="22"/>
        <v>No</v>
      </c>
      <c r="AS6" s="102" t="str">
        <f t="shared" si="23"/>
        <v>No</v>
      </c>
      <c r="AT6" s="102" t="str">
        <f>IF(SUMPRODUCT(--ISNUMBER(FIND({"0","1","2","3","4","5","6","7","8","9"},E6)))&gt;0,"Con cifra concreta",IF(OR(ISNUMBER(FIND("?",E6)),ISNUMBER(FIND("¿",E6))),"Pregunta abierta",IF(SUMPRODUCT(--ISNUMBER(SEARCH({" hoy ","horas","tiempo limitado","antes de que","se acab","se agot","finalic","última oportunidad","oportunidad única","relámpago","express","no esperes","no volver","no parpadees"," ya ","últimas horas","últimas unidades"," ahora "},AF6)))&gt;0,"Solo urgencia, sin cifra",IF(SUMPRODUCT(--ISNUMBER(SEARCH({"recompensa","sorpresa","regalo","lealtad","detalle","gracias","pensamos en ti","para ti"},E6)))&gt;0,"Recompensa o sorpresa","Otro: beneficio o novedad"))))</f>
        <v>Solo urgencia, sin cifra</v>
      </c>
    </row>
    <row r="7" spans="1:46" x14ac:dyDescent="0.2">
      <c r="A7" s="96" t="s">
        <v>694</v>
      </c>
      <c r="B7" s="96" t="s">
        <v>279</v>
      </c>
      <c r="C7" s="96" t="s">
        <v>695</v>
      </c>
      <c r="D7" s="96" t="s">
        <v>696</v>
      </c>
      <c r="E7" s="96" t="s">
        <v>472</v>
      </c>
      <c r="F7" s="96" t="s">
        <v>473</v>
      </c>
      <c r="G7" s="97">
        <v>34780</v>
      </c>
      <c r="H7" s="97">
        <v>8253</v>
      </c>
      <c r="I7" s="97">
        <v>3224</v>
      </c>
      <c r="J7" s="98">
        <v>0.55000000000000004</v>
      </c>
      <c r="K7" s="98">
        <v>0.67</v>
      </c>
      <c r="L7" s="99">
        <v>47581.07</v>
      </c>
      <c r="M7" s="100">
        <f t="shared" si="0"/>
        <v>23.729154686601493</v>
      </c>
      <c r="N7" s="100">
        <f t="shared" si="1"/>
        <v>9.2696952271420354</v>
      </c>
      <c r="O7" s="100">
        <f t="shared" si="2"/>
        <v>39.064582576032961</v>
      </c>
      <c r="P7" s="100">
        <f t="shared" si="3"/>
        <v>1368.0583668775157</v>
      </c>
      <c r="Q7" s="100">
        <f t="shared" si="4"/>
        <v>22.891293825435607</v>
      </c>
      <c r="R7" s="100">
        <f t="shared" si="5"/>
        <v>27.75136451093497</v>
      </c>
      <c r="S7" s="101">
        <f t="shared" si="6"/>
        <v>45889</v>
      </c>
      <c r="T7" s="102" t="str">
        <f t="shared" si="7"/>
        <v>Agosto</v>
      </c>
      <c r="U7" s="102" t="str">
        <f t="shared" si="8"/>
        <v>Miércoles</v>
      </c>
      <c r="V7" s="102">
        <f t="shared" si="9"/>
        <v>9</v>
      </c>
      <c r="W7" s="102" t="str">
        <f t="shared" si="10"/>
        <v>Días después del pago</v>
      </c>
      <c r="X7" s="102">
        <f t="shared" si="11"/>
        <v>2</v>
      </c>
      <c r="Y7" s="102" t="str">
        <f t="shared" si="12"/>
        <v>No</v>
      </c>
      <c r="Z7" s="102" t="str">
        <f>CHOOSE(MATCH(B7,{"Customer Appreciation","Exclusive Offers","Flash Sale","Holiday Discounts","New Product Launch","Newsletter"},0),"Fidelizar","Vender","Vender","Vender","Lanzar","Educar")</f>
        <v>Educar</v>
      </c>
      <c r="AA7" s="102" t="str">
        <f t="shared" si="13"/>
        <v>Menos de 100 mil</v>
      </c>
      <c r="AB7" s="102">
        <f>COUNTIFS($E$5:$E$493,E7,$S$5:$S$493,"&lt;"&amp;S7)+COUNTIFS($E$5:E7,E7,$S$5:S7,S7)</f>
        <v>4</v>
      </c>
      <c r="AC7" s="102">
        <f t="shared" si="14"/>
        <v>22</v>
      </c>
      <c r="AD7" s="102" t="str">
        <f t="shared" si="15"/>
        <v>Primer tercio</v>
      </c>
      <c r="AE7" s="103">
        <f t="shared" si="16"/>
        <v>0.83786086116588621</v>
      </c>
      <c r="AF7" s="102" t="str">
        <f t="shared" si="17"/>
        <v xml:space="preserve"> tu dosis semanal de belleza  novedades y tips </v>
      </c>
      <c r="AG7" s="102" t="str">
        <f t="shared" si="18"/>
        <v xml:space="preserve"> novedades  tips y más para tu rutina diaria   entra ya  </v>
      </c>
      <c r="AH7" s="102" t="str">
        <f>IF(SUMPRODUCT(--(LEFT(IF(LEFT(LOWER(E7),1)="¡",MID(LOWER(E7),2,300),LOWER(E7)),LEN({"actualizaci","el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7" s="102" t="str">
        <f>IF(OR(SUMPRODUCT(--ISNUMBER(SEARCH({"descuento","oferta","ahorr","precio"," sale ","flash","deals"},AF7)))&gt;0,SUMPRODUCT(--ISNUMBER(SEARCH({"descuento","oferta","ahorr","precio"," sale ","flash","deals"},AG7)))&gt;0),"Sí","No")</f>
        <v>No</v>
      </c>
      <c r="AJ7" s="102" t="str">
        <f>IF(SUMPRODUCT(--ISNUMBER(SEARCH({" hoy ","horas","tiempo limitado","antes de que","se acab","se agot","finalic","última oportunidad","oportunidad única","relámpago","express","no esperes","no volver","no parpadees"},AF7)))&gt;0,"Sí","No")</f>
        <v>No</v>
      </c>
      <c r="AK7" s="102" t="str">
        <f>IF(SUMPRODUCT(--ISNUMBER(SEARCH({" hoy ","horas","tiempo limitado","antes de que","se acab","se agot","finalic","última oportunidad","oportunidad única","relámpago","express","no esperes","no volver","no parpadees"},AG7)))&gt;0,"Sí","No")</f>
        <v>No</v>
      </c>
      <c r="AL7" s="102" t="str">
        <f t="shared" si="19"/>
        <v>Sin descuento</v>
      </c>
      <c r="AM7" s="102" t="str">
        <f>IF(SUMPRODUCT(--ISNUMBER(SEARCH({"0","1","2","3","4","5","6","7","8","9","favorit","maquillaje","piel","cabello","productos","belleza","regalo"},E7)))&gt;0,"Sí","No")</f>
        <v>Sí</v>
      </c>
      <c r="AN7" s="102" t="str">
        <f>IF(SUMPRODUCT(--ISNUMBER(SEARCH({"lo que tenemos","estas ofertas","algo especial","ofertas únicas","que preparamos","no te quedes","echa un vistazo"},F7)))&gt;0,"Sí","No")</f>
        <v>No</v>
      </c>
      <c r="AO7" s="102">
        <f t="shared" si="20"/>
        <v>45</v>
      </c>
      <c r="AP7" s="102">
        <f t="shared" si="21"/>
        <v>8</v>
      </c>
      <c r="AQ7" s="102">
        <f>SUMPRODUCT(LEN(E7)-LEN(SUBSTITUTE(E7,{"!","¡","?","¿",":",",",".","%","·","-",";"},"")))</f>
        <v>1</v>
      </c>
      <c r="AR7" s="102" t="str">
        <f t="shared" si="22"/>
        <v>Sí</v>
      </c>
      <c r="AS7" s="102" t="str">
        <f t="shared" si="23"/>
        <v>No</v>
      </c>
      <c r="AT7" s="102" t="str">
        <f>IF(SUMPRODUCT(--ISNUMBER(FIND({"0","1","2","3","4","5","6","7","8","9"},E7)))&gt;0,"Con cifra concreta",IF(OR(ISNUMBER(FIND("?",E7)),ISNUMBER(FIND("¿",E7))),"Pregunta abierta",IF(SUMPRODUCT(--ISNUMBER(SEARCH({" hoy ","horas","tiempo limitado","antes de que","se acab","se agot","finalic","última oportunidad","oportunidad única","relámpago","express","no esperes","no volver","no parpadees"," ya ","últimas horas","últimas unidades"," ahora "},AF7)))&gt;0,"Solo urgencia, sin cifra",IF(SUMPRODUCT(--ISNUMBER(SEARCH({"recompensa","sorpresa","regalo","lealtad","detalle","gracias","pensamos en ti","para ti"},E7)))&gt;0,"Recompensa o sorpresa","Otro: beneficio o novedad"))))</f>
        <v>Otro: beneficio o novedad</v>
      </c>
    </row>
    <row r="8" spans="1:46" x14ac:dyDescent="0.2">
      <c r="A8" s="104" t="s">
        <v>697</v>
      </c>
      <c r="B8" s="104" t="s">
        <v>276</v>
      </c>
      <c r="C8" s="104" t="s">
        <v>698</v>
      </c>
      <c r="D8" s="104" t="s">
        <v>699</v>
      </c>
      <c r="E8" s="104" t="s">
        <v>450</v>
      </c>
      <c r="F8" s="104" t="s">
        <v>451</v>
      </c>
      <c r="G8" s="105">
        <v>163962</v>
      </c>
      <c r="H8" s="105">
        <v>80696</v>
      </c>
      <c r="I8" s="105">
        <v>17739</v>
      </c>
      <c r="J8" s="106">
        <v>6.25</v>
      </c>
      <c r="K8" s="106">
        <v>3.75</v>
      </c>
      <c r="L8" s="107">
        <v>55342.07</v>
      </c>
      <c r="M8" s="108">
        <f t="shared" si="0"/>
        <v>49.216281821397637</v>
      </c>
      <c r="N8" s="108">
        <f t="shared" si="1"/>
        <v>10.818970249204083</v>
      </c>
      <c r="O8" s="108">
        <f t="shared" si="2"/>
        <v>21.982502230593834</v>
      </c>
      <c r="P8" s="108">
        <f t="shared" si="3"/>
        <v>337.52985447847669</v>
      </c>
      <c r="Q8" s="108">
        <f t="shared" si="4"/>
        <v>41.593592985418489</v>
      </c>
      <c r="R8" s="108">
        <f t="shared" si="5"/>
        <v>29.440902453236173</v>
      </c>
      <c r="S8" s="101">
        <f t="shared" si="6"/>
        <v>45958</v>
      </c>
      <c r="T8" s="102" t="str">
        <f t="shared" si="7"/>
        <v>Octubre</v>
      </c>
      <c r="U8" s="102" t="str">
        <f t="shared" si="8"/>
        <v>Martes</v>
      </c>
      <c r="V8" s="102">
        <f t="shared" si="9"/>
        <v>11</v>
      </c>
      <c r="W8" s="102" t="str">
        <f t="shared" si="10"/>
        <v>Resto del mes</v>
      </c>
      <c r="X8" s="102">
        <f t="shared" si="11"/>
        <v>2</v>
      </c>
      <c r="Y8" s="102" t="str">
        <f t="shared" si="12"/>
        <v>No</v>
      </c>
      <c r="Z8" s="102" t="str">
        <f>CHOOSE(MATCH(B8,{"Customer Appreciation","Exclusive Offers","Flash Sale","Holiday Discounts","New Product Launch","Newsletter"},0),"Fidelizar","Vender","Vender","Vender","Lanzar","Educar")</f>
        <v>Vender</v>
      </c>
      <c r="AA8" s="102" t="str">
        <f t="shared" si="13"/>
        <v>100 a 200 mil</v>
      </c>
      <c r="AB8" s="102">
        <f>COUNTIFS($E$5:$E$493,E8,$S$5:$S$493,"&lt;"&amp;S8)+COUNTIFS($E$5:E8,E8,$S$5:S8,S8)</f>
        <v>19</v>
      </c>
      <c r="AC8" s="102">
        <f t="shared" si="14"/>
        <v>21</v>
      </c>
      <c r="AD8" s="102" t="str">
        <f t="shared" si="15"/>
        <v>Último tercio</v>
      </c>
      <c r="AE8" s="103">
        <f t="shared" si="16"/>
        <v>7.6226888359791474</v>
      </c>
      <c r="AF8" s="102" t="str">
        <f t="shared" si="17"/>
        <v xml:space="preserve">  ahorra ya  flash sale  hasta 50% en tus favoritos </v>
      </c>
      <c r="AG8" s="102" t="str">
        <f t="shared" si="18"/>
        <v xml:space="preserve"> edición limitada  maquillaje  cuidado de piel y más   corre  </v>
      </c>
      <c r="AH8" s="102" t="str">
        <f>IF(SUMPRODUCT(--(LEFT(IF(LEFT(LOWER(E8),1)="¡",MID(LOWER(E8),2,300),LOWER(E8)),LEN({"actualizaci","el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8" s="102" t="str">
        <f>IF(OR(SUMPRODUCT(--ISNUMBER(SEARCH({"descuento","oferta","ahorr","precio"," sale ","flash","deals"},AF8)))&gt;0,SUMPRODUCT(--ISNUMBER(SEARCH({"descuento","oferta","ahorr","precio"," sale ","flash","deals"},AG8)))&gt;0),"Sí","No")</f>
        <v>Sí</v>
      </c>
      <c r="AJ8" s="102" t="str">
        <f>IF(SUMPRODUCT(--ISNUMBER(SEARCH({" hoy ","horas","tiempo limitado","antes de que","se acab","se agot","finalic","última oportunidad","oportunidad única","relámpago","express","no esperes","no volver","no parpadees"},AF8)))&gt;0,"Sí","No")</f>
        <v>No</v>
      </c>
      <c r="AK8" s="102" t="str">
        <f>IF(SUMPRODUCT(--ISNUMBER(SEARCH({" hoy ","horas","tiempo limitado","antes de que","se acab","se agot","finalic","última oportunidad","oportunidad única","relámpago","express","no esperes","no volver","no parpadees"},AG8)))&gt;0,"Sí","No")</f>
        <v>No</v>
      </c>
      <c r="AL8" s="102" t="str">
        <f t="shared" si="19"/>
        <v>Descuento sin tiempo límite</v>
      </c>
      <c r="AM8" s="102" t="str">
        <f>IF(SUMPRODUCT(--ISNUMBER(SEARCH({"0","1","2","3","4","5","6","7","8","9","favorit","maquillaje","piel","cabello","productos","belleza","regalo"},E8)))&gt;0,"Sí","No")</f>
        <v>Sí</v>
      </c>
      <c r="AN8" s="102" t="str">
        <f>IF(SUMPRODUCT(--ISNUMBER(SEARCH({"lo que tenemos","estas ofertas","algo especial","ofertas únicas","que preparamos","no te quedes","echa un vistazo"},F8)))&gt;0,"Sí","No")</f>
        <v>No</v>
      </c>
      <c r="AO8" s="102">
        <f t="shared" si="20"/>
        <v>50</v>
      </c>
      <c r="AP8" s="102">
        <f t="shared" si="21"/>
        <v>9</v>
      </c>
      <c r="AQ8" s="102">
        <f>SUMPRODUCT(LEN(E8)-LEN(SUBSTITUTE(E8,{"!","¡","?","¿",":",",",".","%","·","-",";"},"")))</f>
        <v>4</v>
      </c>
      <c r="AR8" s="102" t="str">
        <f t="shared" si="22"/>
        <v>No</v>
      </c>
      <c r="AS8" s="102" t="str">
        <f t="shared" si="23"/>
        <v>No</v>
      </c>
      <c r="AT8" s="102" t="str">
        <f>IF(SUMPRODUCT(--ISNUMBER(FIND({"0","1","2","3","4","5","6","7","8","9"},E8)))&gt;0,"Con cifra concreta",IF(OR(ISNUMBER(FIND("?",E8)),ISNUMBER(FIND("¿",E8))),"Pregunta abierta",IF(SUMPRODUCT(--ISNUMBER(SEARCH({" hoy ","horas","tiempo limitado","antes de que","se acab","se agot","finalic","última oportunidad","oportunidad única","relámpago","express","no esperes","no volver","no parpadees"," ya ","últimas horas","últimas unidades"," ahora "},AF8)))&gt;0,"Solo urgencia, sin cifra",IF(SUMPRODUCT(--ISNUMBER(SEARCH({"recompensa","sorpresa","regalo","lealtad","detalle","gracias","pensamos en ti","para ti"},E8)))&gt;0,"Recompensa o sorpresa","Otro: beneficio o novedad"))))</f>
        <v>Con cifra concreta</v>
      </c>
    </row>
    <row r="9" spans="1:46" x14ac:dyDescent="0.2">
      <c r="A9" s="96" t="s">
        <v>700</v>
      </c>
      <c r="B9" s="96" t="s">
        <v>274</v>
      </c>
      <c r="C9" s="96" t="s">
        <v>701</v>
      </c>
      <c r="D9" s="96" t="s">
        <v>702</v>
      </c>
      <c r="E9" s="96" t="s">
        <v>703</v>
      </c>
      <c r="F9" s="96" t="s">
        <v>704</v>
      </c>
      <c r="G9" s="97">
        <v>259551</v>
      </c>
      <c r="H9" s="97">
        <v>70275</v>
      </c>
      <c r="I9" s="97">
        <v>13237</v>
      </c>
      <c r="J9" s="98">
        <v>5.78</v>
      </c>
      <c r="K9" s="98">
        <v>2.04</v>
      </c>
      <c r="L9" s="99">
        <v>51666.46</v>
      </c>
      <c r="M9" s="100">
        <f t="shared" si="0"/>
        <v>27.075603638591261</v>
      </c>
      <c r="N9" s="100">
        <f t="shared" si="1"/>
        <v>5.0999610866457843</v>
      </c>
      <c r="O9" s="100">
        <f t="shared" si="2"/>
        <v>18.836001422981148</v>
      </c>
      <c r="P9" s="100">
        <f t="shared" si="3"/>
        <v>199.0609167369804</v>
      </c>
      <c r="Q9" s="100">
        <f t="shared" si="4"/>
        <v>27.075603638591261</v>
      </c>
      <c r="R9" s="100">
        <f t="shared" si="5"/>
        <v>31.113650744455075</v>
      </c>
      <c r="S9" s="101">
        <f t="shared" si="6"/>
        <v>45910</v>
      </c>
      <c r="T9" s="102" t="str">
        <f t="shared" si="7"/>
        <v>Septiembre</v>
      </c>
      <c r="U9" s="102" t="str">
        <f t="shared" si="8"/>
        <v>Miércoles</v>
      </c>
      <c r="V9" s="102">
        <f t="shared" si="9"/>
        <v>16</v>
      </c>
      <c r="W9" s="102" t="str">
        <f t="shared" si="10"/>
        <v>Resto del mes</v>
      </c>
      <c r="X9" s="102">
        <f t="shared" si="11"/>
        <v>2</v>
      </c>
      <c r="Y9" s="102" t="str">
        <f t="shared" si="12"/>
        <v>No</v>
      </c>
      <c r="Z9" s="102" t="str">
        <f>CHOOSE(MATCH(B9,{"Customer Appreciation","Exclusive Offers","Flash Sale","Holiday Discounts","New Product Launch","Newsletter"},0),"Fidelizar","Vender","Vender","Vender","Lanzar","Educar")</f>
        <v>Fidelizar</v>
      </c>
      <c r="AA9" s="102" t="str">
        <f t="shared" si="13"/>
        <v>200 a 300 mil</v>
      </c>
      <c r="AB9" s="102">
        <f>COUNTIFS($E$5:$E$493,E9,$S$5:$S$493,"&lt;"&amp;S9)+COUNTIFS($E$5:E9,E9,$S$5:S9,S9)</f>
        <v>1</v>
      </c>
      <c r="AC9" s="102">
        <f t="shared" si="14"/>
        <v>1</v>
      </c>
      <c r="AD9" s="102" t="str">
        <f t="shared" si="15"/>
        <v/>
      </c>
      <c r="AE9" s="103">
        <f t="shared" si="16"/>
        <v>0</v>
      </c>
      <c r="AF9" s="102" t="str">
        <f t="shared" si="17"/>
        <v xml:space="preserve"> para ti  con cariño   descubre tu regalo exclusivo  </v>
      </c>
      <c r="AG9" s="102" t="str">
        <f t="shared" si="18"/>
        <v xml:space="preserve"> tu código exclusivo te espera adentro   no te lo pierdas  </v>
      </c>
      <c r="AH9" s="102" t="str">
        <f>IF(SUMPRODUCT(--(LEFT(IF(LEFT(LOWER(E9),1)="¡",MID(LOWER(E9),2,300),LOWER(E9)),LEN({"actualizaci","el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9" s="102" t="str">
        <f>IF(OR(SUMPRODUCT(--ISNUMBER(SEARCH({"descuento","oferta","ahorr","precio"," sale ","flash","deals"},AF9)))&gt;0,SUMPRODUCT(--ISNUMBER(SEARCH({"descuento","oferta","ahorr","precio"," sale ","flash","deals"},AG9)))&gt;0),"Sí","No")</f>
        <v>No</v>
      </c>
      <c r="AJ9" s="102" t="str">
        <f>IF(SUMPRODUCT(--ISNUMBER(SEARCH({" hoy ","horas","tiempo limitado","antes de que","se acab","se agot","finalic","última oportunidad","oportunidad única","relámpago","express","no esperes","no volver","no parpadees"},AF9)))&gt;0,"Sí","No")</f>
        <v>No</v>
      </c>
      <c r="AK9" s="102" t="str">
        <f>IF(SUMPRODUCT(--ISNUMBER(SEARCH({" hoy ","horas","tiempo limitado","antes de que","se acab","se agot","finalic","última oportunidad","oportunidad única","relámpago","express","no esperes","no volver","no parpadees"},AG9)))&gt;0,"Sí","No")</f>
        <v>No</v>
      </c>
      <c r="AL9" s="102" t="str">
        <f t="shared" si="19"/>
        <v>Sin descuento</v>
      </c>
      <c r="AM9" s="102" t="str">
        <f>IF(SUMPRODUCT(--ISNUMBER(SEARCH({"0","1","2","3","4","5","6","7","8","9","favorit","maquillaje","piel","cabello","productos","belleza","regalo"},E9)))&gt;0,"Sí","No")</f>
        <v>Sí</v>
      </c>
      <c r="AN9" s="102" t="str">
        <f>IF(SUMPRODUCT(--ISNUMBER(SEARCH({"lo que tenemos","estas ofertas","algo especial","ofertas únicas","que preparamos","no te quedes","echa un vistazo"},F9)))&gt;0,"Sí","No")</f>
        <v>No</v>
      </c>
      <c r="AO9" s="102">
        <f t="shared" si="20"/>
        <v>51</v>
      </c>
      <c r="AP9" s="102">
        <f t="shared" si="21"/>
        <v>8</v>
      </c>
      <c r="AQ9" s="102">
        <f>SUMPRODUCT(LEN(E9)-LEN(SUBSTITUTE(E9,{"!","¡","?","¿",":",",",".","%","·","-",";"},"")))</f>
        <v>4</v>
      </c>
      <c r="AR9" s="102" t="str">
        <f t="shared" si="22"/>
        <v>No</v>
      </c>
      <c r="AS9" s="102" t="str">
        <f t="shared" si="23"/>
        <v>No</v>
      </c>
      <c r="AT9" s="102" t="str">
        <f>IF(SUMPRODUCT(--ISNUMBER(FIND({"0","1","2","3","4","5","6","7","8","9"},E9)))&gt;0,"Con cifra concreta",IF(OR(ISNUMBER(FIND("?",E9)),ISNUMBER(FIND("¿",E9))),"Pregunta abierta",IF(SUMPRODUCT(--ISNUMBER(SEARCH({" hoy ","horas","tiempo limitado","antes de que","se acab","se agot","finalic","última oportunidad","oportunidad única","relámpago","express","no esperes","no volver","no parpadees"," ya ","últimas horas","últimas unidades"," ahora "},AF9)))&gt;0,"Solo urgencia, sin cifra",IF(SUMPRODUCT(--ISNUMBER(SEARCH({"recompensa","sorpresa","regalo","lealtad","detalle","gracias","pensamos en ti","para ti"},E9)))&gt;0,"Recompensa o sorpresa","Otro: beneficio o novedad"))))</f>
        <v>Recompensa o sorpresa</v>
      </c>
    </row>
    <row r="10" spans="1:46" x14ac:dyDescent="0.2">
      <c r="A10" s="104" t="s">
        <v>705</v>
      </c>
      <c r="B10" s="104" t="s">
        <v>275</v>
      </c>
      <c r="C10" s="104" t="s">
        <v>706</v>
      </c>
      <c r="D10" s="104" t="s">
        <v>707</v>
      </c>
      <c r="E10" s="104" t="s">
        <v>465</v>
      </c>
      <c r="F10" s="104" t="s">
        <v>466</v>
      </c>
      <c r="G10" s="105">
        <v>266500</v>
      </c>
      <c r="H10" s="105">
        <v>72365</v>
      </c>
      <c r="I10" s="105">
        <v>42023</v>
      </c>
      <c r="J10" s="106">
        <v>5.56</v>
      </c>
      <c r="K10" s="106">
        <v>4.4800000000000004</v>
      </c>
      <c r="L10" s="107">
        <v>57418.39</v>
      </c>
      <c r="M10" s="108">
        <f t="shared" si="0"/>
        <v>27.153846153846157</v>
      </c>
      <c r="N10" s="108">
        <f t="shared" si="1"/>
        <v>15.768480300187617</v>
      </c>
      <c r="O10" s="108">
        <f t="shared" si="2"/>
        <v>58.070890623920398</v>
      </c>
      <c r="P10" s="108">
        <f t="shared" si="3"/>
        <v>215.45362101313319</v>
      </c>
      <c r="Q10" s="108">
        <f t="shared" si="4"/>
        <v>33.047230763392911</v>
      </c>
      <c r="R10" s="108">
        <f t="shared" si="5"/>
        <v>27.021447627328243</v>
      </c>
      <c r="S10" s="101">
        <f t="shared" si="6"/>
        <v>45931</v>
      </c>
      <c r="T10" s="102" t="str">
        <f t="shared" si="7"/>
        <v>Octubre</v>
      </c>
      <c r="U10" s="102" t="str">
        <f t="shared" si="8"/>
        <v>Miércoles</v>
      </c>
      <c r="V10" s="102">
        <f t="shared" si="9"/>
        <v>13</v>
      </c>
      <c r="W10" s="102" t="str">
        <f t="shared" si="10"/>
        <v>Quincena</v>
      </c>
      <c r="X10" s="102">
        <f t="shared" si="11"/>
        <v>1</v>
      </c>
      <c r="Y10" s="102" t="str">
        <f t="shared" si="12"/>
        <v>No</v>
      </c>
      <c r="Z10" s="102" t="str">
        <f>CHOOSE(MATCH(B10,{"Customer Appreciation","Exclusive Offers","Flash Sale","Holiday Discounts","New Product Launch","Newsletter"},0),"Fidelizar","Vender","Vender","Vender","Lanzar","Educar")</f>
        <v>Vender</v>
      </c>
      <c r="AA10" s="102" t="str">
        <f t="shared" si="13"/>
        <v>200 a 300 mil</v>
      </c>
      <c r="AB10" s="102">
        <f>COUNTIFS($E$5:$E$493,E10,$S$5:$S$493,"&lt;"&amp;S10)+COUNTIFS($E$5:E10,E10,$S$5:S10,S10)</f>
        <v>13</v>
      </c>
      <c r="AC10" s="102">
        <f t="shared" si="14"/>
        <v>22</v>
      </c>
      <c r="AD10" s="102" t="str">
        <f t="shared" si="15"/>
        <v>Medio</v>
      </c>
      <c r="AE10" s="103">
        <f t="shared" si="16"/>
        <v>-5.8933846095467537</v>
      </c>
      <c r="AF10" s="102" t="str">
        <f t="shared" si="17"/>
        <v xml:space="preserve">  ofertas exclusivas  solo para nuestra comunidad vip </v>
      </c>
      <c r="AG10" s="102" t="str">
        <f t="shared" si="18"/>
        <v xml:space="preserve"> productos premium con descuentos únicos   acceso limitado  </v>
      </c>
      <c r="AH10" s="102" t="str">
        <f>IF(SUMPRODUCT(--(LEFT(IF(LEFT(LOWER(E10),1)="¡",MID(LOWER(E10),2,300),LOWER(E10)),LEN({"actualizaci","el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10" s="102" t="str">
        <f>IF(OR(SUMPRODUCT(--ISNUMBER(SEARCH({"descuento","oferta","ahorr","precio"," sale ","flash","deals"},AF10)))&gt;0,SUMPRODUCT(--ISNUMBER(SEARCH({"descuento","oferta","ahorr","precio"," sale ","flash","deals"},AG10)))&gt;0),"Sí","No")</f>
        <v>Sí</v>
      </c>
      <c r="AJ10" s="102" t="str">
        <f>IF(SUMPRODUCT(--ISNUMBER(SEARCH({" hoy ","horas","tiempo limitado","antes de que","se acab","se agot","finalic","última oportunidad","oportunidad única","relámpago","express","no esperes","no volver","no parpadees"},AF10)))&gt;0,"Sí","No")</f>
        <v>No</v>
      </c>
      <c r="AK10" s="102" t="str">
        <f>IF(SUMPRODUCT(--ISNUMBER(SEARCH({" hoy ","horas","tiempo limitado","antes de que","se acab","se agot","finalic","última oportunidad","oportunidad única","relámpago","express","no esperes","no volver","no parpadees"},AG10)))&gt;0,"Sí","No")</f>
        <v>No</v>
      </c>
      <c r="AL10" s="102" t="str">
        <f t="shared" si="19"/>
        <v>Descuento sin tiempo límite</v>
      </c>
      <c r="AM10" s="102" t="str">
        <f>IF(SUMPRODUCT(--ISNUMBER(SEARCH({"0","1","2","3","4","5","6","7","8","9","favorit","maquillaje","piel","cabello","productos","belleza","regalo"},E10)))&gt;0,"Sí","No")</f>
        <v>No</v>
      </c>
      <c r="AN10" s="102" t="str">
        <f>IF(SUMPRODUCT(--ISNUMBER(SEARCH({"lo que tenemos","estas ofertas","algo especial","ofertas únicas","que preparamos","no te quedes","echa un vistazo"},F10)))&gt;0,"Sí","No")</f>
        <v>No</v>
      </c>
      <c r="AO10" s="102">
        <f t="shared" si="20"/>
        <v>52</v>
      </c>
      <c r="AP10" s="102">
        <f t="shared" si="21"/>
        <v>7</v>
      </c>
      <c r="AQ10" s="102">
        <f>SUMPRODUCT(LEN(E10)-LEN(SUBSTITUTE(E10,{"!","¡","?","¿",":",",",".","%","·","-",";"},"")))</f>
        <v>2</v>
      </c>
      <c r="AR10" s="102" t="str">
        <f t="shared" si="22"/>
        <v>Sí</v>
      </c>
      <c r="AS10" s="102" t="str">
        <f t="shared" si="23"/>
        <v>No</v>
      </c>
      <c r="AT10" s="102" t="str">
        <f>IF(SUMPRODUCT(--ISNUMBER(FIND({"0","1","2","3","4","5","6","7","8","9"},E10)))&gt;0,"Con cifra concreta",IF(OR(ISNUMBER(FIND("?",E10)),ISNUMBER(FIND("¿",E10))),"Pregunta abierta",IF(SUMPRODUCT(--ISNUMBER(SEARCH({" hoy ","horas","tiempo limitado","antes de que","se acab","se agot","finalic","última oportunidad","oportunidad única","relámpago","express","no esperes","no volver","no parpadees"," ya ","últimas horas","últimas unidades"," ahora "},AF10)))&gt;0,"Solo urgencia, sin cifra",IF(SUMPRODUCT(--ISNUMBER(SEARCH({"recompensa","sorpresa","regalo","lealtad","detalle","gracias","pensamos en ti","para ti"},E10)))&gt;0,"Recompensa o sorpresa","Otro: beneficio o novedad"))))</f>
        <v>Otro: beneficio o novedad</v>
      </c>
    </row>
    <row r="11" spans="1:46" x14ac:dyDescent="0.2">
      <c r="A11" s="96" t="s">
        <v>708</v>
      </c>
      <c r="B11" s="96" t="s">
        <v>276</v>
      </c>
      <c r="C11" s="96" t="s">
        <v>709</v>
      </c>
      <c r="D11" s="96" t="s">
        <v>710</v>
      </c>
      <c r="E11" s="96" t="s">
        <v>711</v>
      </c>
      <c r="F11" s="96" t="s">
        <v>712</v>
      </c>
      <c r="G11" s="97">
        <v>488415</v>
      </c>
      <c r="H11" s="97">
        <v>164923</v>
      </c>
      <c r="I11" s="97">
        <v>46845</v>
      </c>
      <c r="J11" s="98">
        <v>6.74</v>
      </c>
      <c r="K11" s="98">
        <v>4.3499999999999996</v>
      </c>
      <c r="L11" s="99">
        <v>78459.67</v>
      </c>
      <c r="M11" s="100">
        <f t="shared" si="0"/>
        <v>33.766980948578571</v>
      </c>
      <c r="N11" s="100">
        <f t="shared" si="1"/>
        <v>9.5912287706151531</v>
      </c>
      <c r="O11" s="100">
        <f t="shared" si="2"/>
        <v>28.404164367613976</v>
      </c>
      <c r="P11" s="100">
        <f t="shared" si="3"/>
        <v>160.64140126736484</v>
      </c>
      <c r="Q11" s="100">
        <f t="shared" si="4"/>
        <v>30.71624165289527</v>
      </c>
      <c r="R11" s="100">
        <f t="shared" si="5"/>
        <v>29.440902453236173</v>
      </c>
      <c r="S11" s="101">
        <f t="shared" si="6"/>
        <v>45918</v>
      </c>
      <c r="T11" s="102" t="str">
        <f t="shared" si="7"/>
        <v>Septiembre</v>
      </c>
      <c r="U11" s="102" t="str">
        <f t="shared" si="8"/>
        <v>Jueves</v>
      </c>
      <c r="V11" s="102">
        <f t="shared" si="9"/>
        <v>12</v>
      </c>
      <c r="W11" s="102" t="str">
        <f t="shared" si="10"/>
        <v>Días después del pago</v>
      </c>
      <c r="X11" s="102">
        <f t="shared" si="11"/>
        <v>1</v>
      </c>
      <c r="Y11" s="102" t="str">
        <f t="shared" si="12"/>
        <v>No</v>
      </c>
      <c r="Z11" s="102" t="str">
        <f>CHOOSE(MATCH(B11,{"Customer Appreciation","Exclusive Offers","Flash Sale","Holiday Discounts","New Product Launch","Newsletter"},0),"Fidelizar","Vender","Vender","Vender","Lanzar","Educar")</f>
        <v>Vender</v>
      </c>
      <c r="AA11" s="102" t="str">
        <f t="shared" si="13"/>
        <v>Más de 400 mil</v>
      </c>
      <c r="AB11" s="102">
        <f>COUNTIFS($E$5:$E$493,E11,$S$5:$S$493,"&lt;"&amp;S11)+COUNTIFS($E$5:E11,E11,$S$5:S11,S11)</f>
        <v>2</v>
      </c>
      <c r="AC11" s="102">
        <f t="shared" si="14"/>
        <v>2</v>
      </c>
      <c r="AD11" s="102" t="str">
        <f t="shared" si="15"/>
        <v/>
      </c>
      <c r="AE11" s="103">
        <f t="shared" si="16"/>
        <v>3.0507392956833002</v>
      </c>
      <c r="AF11" s="102" t="str">
        <f t="shared" si="17"/>
        <v xml:space="preserve"> prepárate para un ahorro épico   flash sale en todo  </v>
      </c>
      <c r="AG11" s="102" t="str">
        <f t="shared" si="18"/>
        <v xml:space="preserve"> tus productos favoritos con un precio que te encantará   entra ya  </v>
      </c>
      <c r="AH11" s="102" t="str">
        <f>IF(SUMPRODUCT(--(LEFT(IF(LEFT(LOWER(E11),1)="¡",MID(LOWER(E11),2,300),LOWER(E11)),LEN({"actualizaci","el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11" s="102" t="str">
        <f>IF(OR(SUMPRODUCT(--ISNUMBER(SEARCH({"descuento","oferta","ahorr","precio"," sale ","flash","deals"},AF11)))&gt;0,SUMPRODUCT(--ISNUMBER(SEARCH({"descuento","oferta","ahorr","precio"," sale ","flash","deals"},AG11)))&gt;0),"Sí","No")</f>
        <v>Sí</v>
      </c>
      <c r="AJ11" s="102" t="str">
        <f>IF(SUMPRODUCT(--ISNUMBER(SEARCH({" hoy ","horas","tiempo limitado","antes de que","se acab","se agot","finalic","última oportunidad","oportunidad única","relámpago","express","no esperes","no volver","no parpadees"},AF11)))&gt;0,"Sí","No")</f>
        <v>No</v>
      </c>
      <c r="AK11" s="102" t="str">
        <f>IF(SUMPRODUCT(--ISNUMBER(SEARCH({" hoy ","horas","tiempo limitado","antes de que","se acab","se agot","finalic","última oportunidad","oportunidad única","relámpago","express","no esperes","no volver","no parpadees"},AG11)))&gt;0,"Sí","No")</f>
        <v>No</v>
      </c>
      <c r="AL11" s="102" t="str">
        <f t="shared" si="19"/>
        <v>Descuento sin tiempo límite</v>
      </c>
      <c r="AM11" s="102" t="str">
        <f>IF(SUMPRODUCT(--ISNUMBER(SEARCH({"0","1","2","3","4","5","6","7","8","9","favorit","maquillaje","piel","cabello","productos","belleza","regalo"},E11)))&gt;0,"Sí","No")</f>
        <v>No</v>
      </c>
      <c r="AN11" s="102" t="str">
        <f>IF(SUMPRODUCT(--ISNUMBER(SEARCH({"lo que tenemos","estas ofertas","algo especial","ofertas únicas","que preparamos","no te quedes","echa un vistazo"},F11)))&gt;0,"Sí","No")</f>
        <v>No</v>
      </c>
      <c r="AO11" s="102">
        <f t="shared" si="20"/>
        <v>52</v>
      </c>
      <c r="AP11" s="102">
        <f t="shared" si="21"/>
        <v>9</v>
      </c>
      <c r="AQ11" s="102">
        <f>SUMPRODUCT(LEN(E11)-LEN(SUBSTITUTE(E11,{"!","¡","?","¿",":",",",".","%","·","-",";"},"")))</f>
        <v>3</v>
      </c>
      <c r="AR11" s="102" t="str">
        <f t="shared" si="22"/>
        <v>Sí</v>
      </c>
      <c r="AS11" s="102" t="str">
        <f t="shared" si="23"/>
        <v>No</v>
      </c>
      <c r="AT11" s="102" t="str">
        <f>IF(SUMPRODUCT(--ISNUMBER(FIND({"0","1","2","3","4","5","6","7","8","9"},E11)))&gt;0,"Con cifra concreta",IF(OR(ISNUMBER(FIND("?",E11)),ISNUMBER(FIND("¿",E11))),"Pregunta abierta",IF(SUMPRODUCT(--ISNUMBER(SEARCH({" hoy ","horas","tiempo limitado","antes de que","se acab","se agot","finalic","última oportunidad","oportunidad única","relámpago","express","no esperes","no volver","no parpadees"," ya ","últimas horas","últimas unidades"," ahora "},AF11)))&gt;0,"Solo urgencia, sin cifra",IF(SUMPRODUCT(--ISNUMBER(SEARCH({"recompensa","sorpresa","regalo","lealtad","detalle","gracias","pensamos en ti","para ti"},E11)))&gt;0,"Recompensa o sorpresa","Otro: beneficio o novedad"))))</f>
        <v>Otro: beneficio o novedad</v>
      </c>
    </row>
    <row r="12" spans="1:46" x14ac:dyDescent="0.2">
      <c r="A12" s="104" t="s">
        <v>713</v>
      </c>
      <c r="B12" s="104" t="s">
        <v>278</v>
      </c>
      <c r="C12" s="104" t="s">
        <v>714</v>
      </c>
      <c r="D12" s="104" t="s">
        <v>715</v>
      </c>
      <c r="E12" s="104" t="s">
        <v>368</v>
      </c>
      <c r="F12" s="104" t="s">
        <v>471</v>
      </c>
      <c r="G12" s="105">
        <v>87060</v>
      </c>
      <c r="H12" s="105">
        <v>16367</v>
      </c>
      <c r="I12" s="105">
        <v>7287</v>
      </c>
      <c r="J12" s="106">
        <v>3.21</v>
      </c>
      <c r="K12" s="106">
        <v>4.7699999999999996</v>
      </c>
      <c r="L12" s="107">
        <v>81300.960000000006</v>
      </c>
      <c r="M12" s="108">
        <f t="shared" si="0"/>
        <v>18.799678382724558</v>
      </c>
      <c r="N12" s="108">
        <f t="shared" si="1"/>
        <v>8.3700895933838719</v>
      </c>
      <c r="O12" s="108">
        <f t="shared" si="2"/>
        <v>44.522514816398854</v>
      </c>
      <c r="P12" s="108">
        <f t="shared" si="3"/>
        <v>933.84975878704347</v>
      </c>
      <c r="Q12" s="108">
        <f t="shared" si="4"/>
        <v>23.315840784070005</v>
      </c>
      <c r="R12" s="108">
        <f t="shared" si="5"/>
        <v>29.458247936272421</v>
      </c>
      <c r="S12" s="101">
        <f t="shared" si="6"/>
        <v>45894</v>
      </c>
      <c r="T12" s="102" t="str">
        <f t="shared" si="7"/>
        <v>Agosto</v>
      </c>
      <c r="U12" s="102" t="str">
        <f t="shared" si="8"/>
        <v>Lunes</v>
      </c>
      <c r="V12" s="102">
        <f t="shared" si="9"/>
        <v>11</v>
      </c>
      <c r="W12" s="102" t="str">
        <f t="shared" si="10"/>
        <v>Resto del mes</v>
      </c>
      <c r="X12" s="102">
        <f t="shared" si="11"/>
        <v>1</v>
      </c>
      <c r="Y12" s="102" t="str">
        <f t="shared" si="12"/>
        <v>No</v>
      </c>
      <c r="Z12" s="102" t="str">
        <f>CHOOSE(MATCH(B12,{"Customer Appreciation","Exclusive Offers","Flash Sale","Holiday Discounts","New Product Launch","Newsletter"},0),"Fidelizar","Vender","Vender","Vender","Lanzar","Educar")</f>
        <v>Lanzar</v>
      </c>
      <c r="AA12" s="102" t="str">
        <f t="shared" si="13"/>
        <v>Menos de 100 mil</v>
      </c>
      <c r="AB12" s="102">
        <f>COUNTIFS($E$5:$E$493,E12,$S$5:$S$493,"&lt;"&amp;S12)+COUNTIFS($E$5:E12,E12,$S$5:S12,S12)</f>
        <v>10</v>
      </c>
      <c r="AC12" s="102">
        <f t="shared" si="14"/>
        <v>33</v>
      </c>
      <c r="AD12" s="102" t="str">
        <f t="shared" si="15"/>
        <v>Primer tercio</v>
      </c>
      <c r="AE12" s="103">
        <f t="shared" si="16"/>
        <v>-4.5161624013454471</v>
      </c>
      <c r="AF12" s="102" t="str">
        <f t="shared" si="17"/>
        <v xml:space="preserve"> presentamos  nuestro último lanzamiento de belleza  imperdible  </v>
      </c>
      <c r="AG12" s="102" t="str">
        <f t="shared" si="18"/>
        <v xml:space="preserve"> una innovación que cambiará tu rutina   sé de los primeros  </v>
      </c>
      <c r="AH12" s="102" t="str">
        <f>IF(SUMPRODUCT(--(LEFT(IF(LEFT(LOWER(E12),1)="¡",MID(LOWER(E12),2,300),LOWER(E12)),LEN({"actualizaci","el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Sí</v>
      </c>
      <c r="AI12" s="102" t="str">
        <f>IF(OR(SUMPRODUCT(--ISNUMBER(SEARCH({"descuento","oferta","ahorr","precio"," sale ","flash","deals"},AF12)))&gt;0,SUMPRODUCT(--ISNUMBER(SEARCH({"descuento","oferta","ahorr","precio"," sale ","flash","deals"},AG12)))&gt;0),"Sí","No")</f>
        <v>No</v>
      </c>
      <c r="AJ12" s="102" t="str">
        <f>IF(SUMPRODUCT(--ISNUMBER(SEARCH({" hoy ","horas","tiempo limitado","antes de que","se acab","se agot","finalic","última oportunidad","oportunidad única","relámpago","express","no esperes","no volver","no parpadees"},AF12)))&gt;0,"Sí","No")</f>
        <v>No</v>
      </c>
      <c r="AK12" s="102" t="str">
        <f>IF(SUMPRODUCT(--ISNUMBER(SEARCH({" hoy ","horas","tiempo limitado","antes de que","se acab","se agot","finalic","última oportunidad","oportunidad única","relámpago","express","no esperes","no volver","no parpadees"},AG12)))&gt;0,"Sí","No")</f>
        <v>No</v>
      </c>
      <c r="AL12" s="102" t="str">
        <f t="shared" si="19"/>
        <v>Sin descuento</v>
      </c>
      <c r="AM12" s="102" t="str">
        <f>IF(SUMPRODUCT(--ISNUMBER(SEARCH({"0","1","2","3","4","5","6","7","8","9","favorit","maquillaje","piel","cabello","productos","belleza","regalo"},E12)))&gt;0,"Sí","No")</f>
        <v>Sí</v>
      </c>
      <c r="AN12" s="102" t="str">
        <f>IF(SUMPRODUCT(--ISNUMBER(SEARCH({"lo que tenemos","estas ofertas","algo especial","ofertas únicas","que preparamos","no te quedes","echa un vistazo"},F12)))&gt;0,"Sí","No")</f>
        <v>No</v>
      </c>
      <c r="AO12" s="102">
        <f t="shared" si="20"/>
        <v>63</v>
      </c>
      <c r="AP12" s="102">
        <f t="shared" si="21"/>
        <v>7</v>
      </c>
      <c r="AQ12" s="102">
        <f>SUMPRODUCT(LEN(E12)-LEN(SUBSTITUTE(E12,{"!","¡","?","¿",":",",",".","%","·","-",";"},"")))</f>
        <v>3</v>
      </c>
      <c r="AR12" s="102" t="str">
        <f t="shared" si="22"/>
        <v>No</v>
      </c>
      <c r="AS12" s="102" t="str">
        <f t="shared" si="23"/>
        <v>No</v>
      </c>
      <c r="AT12" s="102" t="str">
        <f>IF(SUMPRODUCT(--ISNUMBER(FIND({"0","1","2","3","4","5","6","7","8","9"},E12)))&gt;0,"Con cifra concreta",IF(OR(ISNUMBER(FIND("?",E12)),ISNUMBER(FIND("¿",E12))),"Pregunta abierta",IF(SUMPRODUCT(--ISNUMBER(SEARCH({" hoy ","horas","tiempo limitado","antes de que","se acab","se agot","finalic","última oportunidad","oportunidad única","relámpago","express","no esperes","no volver","no parpadees"," ya ","últimas horas","últimas unidades"," ahora "},AF12)))&gt;0,"Solo urgencia, sin cifra",IF(SUMPRODUCT(--ISNUMBER(SEARCH({"recompensa","sorpresa","regalo","lealtad","detalle","gracias","pensamos en ti","para ti"},E12)))&gt;0,"Recompensa o sorpresa","Otro: beneficio o novedad"))))</f>
        <v>Otro: beneficio o novedad</v>
      </c>
    </row>
    <row r="13" spans="1:46" x14ac:dyDescent="0.2">
      <c r="A13" s="96" t="s">
        <v>716</v>
      </c>
      <c r="B13" s="96" t="s">
        <v>274</v>
      </c>
      <c r="C13" s="96" t="s">
        <v>717</v>
      </c>
      <c r="D13" s="96" t="s">
        <v>718</v>
      </c>
      <c r="E13" s="96" t="s">
        <v>453</v>
      </c>
      <c r="F13" s="96" t="s">
        <v>454</v>
      </c>
      <c r="G13" s="97">
        <v>303989</v>
      </c>
      <c r="H13" s="97">
        <v>142875</v>
      </c>
      <c r="I13" s="97">
        <v>29335</v>
      </c>
      <c r="J13" s="98">
        <v>0.66</v>
      </c>
      <c r="K13" s="98">
        <v>1.52</v>
      </c>
      <c r="L13" s="99">
        <v>55378.06</v>
      </c>
      <c r="M13" s="100">
        <f t="shared" si="0"/>
        <v>47.000055923076161</v>
      </c>
      <c r="N13" s="100">
        <f t="shared" si="1"/>
        <v>9.6500202309951995</v>
      </c>
      <c r="O13" s="100">
        <f t="shared" si="2"/>
        <v>20.531933508311461</v>
      </c>
      <c r="P13" s="100">
        <f t="shared" si="3"/>
        <v>182.17126277595568</v>
      </c>
      <c r="Q13" s="100">
        <f t="shared" si="4"/>
        <v>39.210446566150395</v>
      </c>
      <c r="R13" s="100">
        <f t="shared" si="5"/>
        <v>31.113650744455075</v>
      </c>
      <c r="S13" s="101">
        <f t="shared" si="6"/>
        <v>45935</v>
      </c>
      <c r="T13" s="102" t="str">
        <f t="shared" si="7"/>
        <v>Octubre</v>
      </c>
      <c r="U13" s="102" t="str">
        <f t="shared" si="8"/>
        <v>Domingo</v>
      </c>
      <c r="V13" s="102">
        <f t="shared" si="9"/>
        <v>15</v>
      </c>
      <c r="W13" s="102" t="str">
        <f t="shared" si="10"/>
        <v>Días después del pago</v>
      </c>
      <c r="X13" s="102">
        <f t="shared" si="11"/>
        <v>2</v>
      </c>
      <c r="Y13" s="102" t="str">
        <f t="shared" si="12"/>
        <v>No</v>
      </c>
      <c r="Z13" s="102" t="str">
        <f>CHOOSE(MATCH(B13,{"Customer Appreciation","Exclusive Offers","Flash Sale","Holiday Discounts","New Product Launch","Newsletter"},0),"Fidelizar","Vender","Vender","Vender","Lanzar","Educar")</f>
        <v>Fidelizar</v>
      </c>
      <c r="AA13" s="102" t="str">
        <f t="shared" si="13"/>
        <v>300 a 400 mil</v>
      </c>
      <c r="AB13" s="102">
        <f>COUNTIFS($E$5:$E$493,E13,$S$5:$S$493,"&lt;"&amp;S13)+COUNTIFS($E$5:E13,E13,$S$5:S13,S13)</f>
        <v>18</v>
      </c>
      <c r="AC13" s="102">
        <f t="shared" si="14"/>
        <v>20</v>
      </c>
      <c r="AD13" s="102" t="str">
        <f t="shared" si="15"/>
        <v>Último tercio</v>
      </c>
      <c r="AE13" s="103">
        <f t="shared" si="16"/>
        <v>7.7896093569257658</v>
      </c>
      <c r="AF13" s="102" t="str">
        <f t="shared" si="17"/>
        <v xml:space="preserve">  pensamos en ti  descubre estas sorpresas exclusivas </v>
      </c>
      <c r="AG13" s="102" t="str">
        <f t="shared" si="18"/>
        <v xml:space="preserve"> ofertas exclusivas por tu lealtad a l'oréal   aprovecha  </v>
      </c>
      <c r="AH13" s="102" t="str">
        <f>IF(SUMPRODUCT(--(LEFT(IF(LEFT(LOWER(E13),1)="¡",MID(LOWER(E13),2,300),LOWER(E13)),LEN({"actualizaci","el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13" s="102" t="str">
        <f>IF(OR(SUMPRODUCT(--ISNUMBER(SEARCH({"descuento","oferta","ahorr","precio"," sale ","flash","deals"},AF13)))&gt;0,SUMPRODUCT(--ISNUMBER(SEARCH({"descuento","oferta","ahorr","precio"," sale ","flash","deals"},AG13)))&gt;0),"Sí","No")</f>
        <v>Sí</v>
      </c>
      <c r="AJ13" s="102" t="str">
        <f>IF(SUMPRODUCT(--ISNUMBER(SEARCH({" hoy ","horas","tiempo limitado","antes de que","se acab","se agot","finalic","última oportunidad","oportunidad única","relámpago","express","no esperes","no volver","no parpadees"},AF13)))&gt;0,"Sí","No")</f>
        <v>No</v>
      </c>
      <c r="AK13" s="102" t="str">
        <f>IF(SUMPRODUCT(--ISNUMBER(SEARCH({" hoy ","horas","tiempo limitado","antes de que","se acab","se agot","finalic","última oportunidad","oportunidad única","relámpago","express","no esperes","no volver","no parpadees"},AG13)))&gt;0,"Sí","No")</f>
        <v>No</v>
      </c>
      <c r="AL13" s="102" t="str">
        <f t="shared" si="19"/>
        <v>Descuento sin tiempo límite</v>
      </c>
      <c r="AM13" s="102" t="str">
        <f>IF(SUMPRODUCT(--ISNUMBER(SEARCH({"0","1","2","3","4","5","6","7","8","9","favorit","maquillaje","piel","cabello","productos","belleza","regalo"},E13)))&gt;0,"Sí","No")</f>
        <v>No</v>
      </c>
      <c r="AN13" s="102" t="str">
        <f>IF(SUMPRODUCT(--ISNUMBER(SEARCH({"lo que tenemos","estas ofertas","algo especial","ofertas únicas","que preparamos","no te quedes","echa un vistazo"},F13)))&gt;0,"Sí","No")</f>
        <v>No</v>
      </c>
      <c r="AO13" s="102">
        <f t="shared" si="20"/>
        <v>52</v>
      </c>
      <c r="AP13" s="102">
        <f t="shared" si="21"/>
        <v>7</v>
      </c>
      <c r="AQ13" s="102">
        <f>SUMPRODUCT(LEN(E13)-LEN(SUBSTITUTE(E13,{"!","¡","?","¿",":",",",".","%","·","-",";"},"")))</f>
        <v>2</v>
      </c>
      <c r="AR13" s="102" t="str">
        <f t="shared" si="22"/>
        <v>Sí</v>
      </c>
      <c r="AS13" s="102" t="str">
        <f t="shared" si="23"/>
        <v>No</v>
      </c>
      <c r="AT13" s="102" t="str">
        <f>IF(SUMPRODUCT(--ISNUMBER(FIND({"0","1","2","3","4","5","6","7","8","9"},E13)))&gt;0,"Con cifra concreta",IF(OR(ISNUMBER(FIND("?",E13)),ISNUMBER(FIND("¿",E13))),"Pregunta abierta",IF(SUMPRODUCT(--ISNUMBER(SEARCH({" hoy ","horas","tiempo limitado","antes de que","se acab","se agot","finalic","última oportunidad","oportunidad única","relámpago","express","no esperes","no volver","no parpadees"," ya ","últimas horas","últimas unidades"," ahora "},AF13)))&gt;0,"Solo urgencia, sin cifra",IF(SUMPRODUCT(--ISNUMBER(SEARCH({"recompensa","sorpresa","regalo","lealtad","detalle","gracias","pensamos en ti","para ti"},E13)))&gt;0,"Recompensa o sorpresa","Otro: beneficio o novedad"))))</f>
        <v>Recompensa o sorpresa</v>
      </c>
    </row>
    <row r="14" spans="1:46" x14ac:dyDescent="0.2">
      <c r="A14" s="104" t="s">
        <v>719</v>
      </c>
      <c r="B14" s="104" t="s">
        <v>279</v>
      </c>
      <c r="C14" s="104" t="s">
        <v>720</v>
      </c>
      <c r="D14" s="104" t="s">
        <v>721</v>
      </c>
      <c r="E14" s="104" t="s">
        <v>463</v>
      </c>
      <c r="F14" s="104" t="s">
        <v>464</v>
      </c>
      <c r="G14" s="105">
        <v>190560</v>
      </c>
      <c r="H14" s="105">
        <v>83707</v>
      </c>
      <c r="I14" s="105">
        <v>37424</v>
      </c>
      <c r="J14" s="106">
        <v>9.6300000000000008</v>
      </c>
      <c r="K14" s="106">
        <v>1.22</v>
      </c>
      <c r="L14" s="107">
        <v>92095.51</v>
      </c>
      <c r="M14" s="108">
        <f t="shared" si="0"/>
        <v>43.92684718723762</v>
      </c>
      <c r="N14" s="108">
        <f t="shared" si="1"/>
        <v>19.638958858102434</v>
      </c>
      <c r="O14" s="108">
        <f t="shared" si="2"/>
        <v>44.708327857885244</v>
      </c>
      <c r="P14" s="108">
        <f t="shared" si="3"/>
        <v>483.28878043660791</v>
      </c>
      <c r="Q14" s="108">
        <f t="shared" si="4"/>
        <v>33.412775116147934</v>
      </c>
      <c r="R14" s="108">
        <f t="shared" si="5"/>
        <v>27.75136451093497</v>
      </c>
      <c r="S14" s="101">
        <f t="shared" si="6"/>
        <v>45907</v>
      </c>
      <c r="T14" s="102" t="str">
        <f t="shared" si="7"/>
        <v>Septiembre</v>
      </c>
      <c r="U14" s="102" t="str">
        <f t="shared" si="8"/>
        <v>Domingo</v>
      </c>
      <c r="V14" s="102">
        <f t="shared" si="9"/>
        <v>9</v>
      </c>
      <c r="W14" s="102" t="str">
        <f t="shared" si="10"/>
        <v>Resto del mes</v>
      </c>
      <c r="X14" s="102">
        <f t="shared" si="11"/>
        <v>2</v>
      </c>
      <c r="Y14" s="102" t="str">
        <f t="shared" si="12"/>
        <v>No</v>
      </c>
      <c r="Z14" s="102" t="str">
        <f>CHOOSE(MATCH(B14,{"Customer Appreciation","Exclusive Offers","Flash Sale","Holiday Discounts","New Product Launch","Newsletter"},0),"Fidelizar","Vender","Vender","Vender","Lanzar","Educar")</f>
        <v>Educar</v>
      </c>
      <c r="AA14" s="102" t="str">
        <f t="shared" si="13"/>
        <v>100 a 200 mil</v>
      </c>
      <c r="AB14" s="102">
        <f>COUNTIFS($E$5:$E$493,E14,$S$5:$S$493,"&lt;"&amp;S14)+COUNTIFS($E$5:E14,E14,$S$5:S14,S14)</f>
        <v>11</v>
      </c>
      <c r="AC14" s="102">
        <f t="shared" si="14"/>
        <v>25</v>
      </c>
      <c r="AD14" s="102" t="str">
        <f t="shared" si="15"/>
        <v>Medio</v>
      </c>
      <c r="AE14" s="103">
        <f t="shared" si="16"/>
        <v>10.514072071089686</v>
      </c>
      <c r="AF14" s="102" t="str">
        <f t="shared" si="17"/>
        <v xml:space="preserve"> tu dosis de belleza   no te lo pierdas  tips y trucos </v>
      </c>
      <c r="AG14" s="102" t="str">
        <f t="shared" si="18"/>
        <v xml:space="preserve"> consejos expertos  tendencias y más en tu bandeja de entrada   descúbrelo  </v>
      </c>
      <c r="AH14" s="102" t="str">
        <f>IF(SUMPRODUCT(--(LEFT(IF(LEFT(LOWER(E14),1)="¡",MID(LOWER(E14),2,300),LOWER(E14)),LEN({"actualizaci","el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14" s="102" t="str">
        <f>IF(OR(SUMPRODUCT(--ISNUMBER(SEARCH({"descuento","oferta","ahorr","precio"," sale ","flash","deals"},AF14)))&gt;0,SUMPRODUCT(--ISNUMBER(SEARCH({"descuento","oferta","ahorr","precio"," sale ","flash","deals"},AG14)))&gt;0),"Sí","No")</f>
        <v>No</v>
      </c>
      <c r="AJ14" s="102" t="str">
        <f>IF(SUMPRODUCT(--ISNUMBER(SEARCH({" hoy ","horas","tiempo limitado","antes de que","se acab","se agot","finalic","última oportunidad","oportunidad única","relámpago","express","no esperes","no volver","no parpadees"},AF14)))&gt;0,"Sí","No")</f>
        <v>No</v>
      </c>
      <c r="AK14" s="102" t="str">
        <f>IF(SUMPRODUCT(--ISNUMBER(SEARCH({" hoy ","horas","tiempo limitado","antes de que","se acab","se agot","finalic","última oportunidad","oportunidad única","relámpago","express","no esperes","no volver","no parpadees"},AG14)))&gt;0,"Sí","No")</f>
        <v>No</v>
      </c>
      <c r="AL14" s="102" t="str">
        <f t="shared" si="19"/>
        <v>Sin descuento</v>
      </c>
      <c r="AM14" s="102" t="str">
        <f>IF(SUMPRODUCT(--ISNUMBER(SEARCH({"0","1","2","3","4","5","6","7","8","9","favorit","maquillaje","piel","cabello","productos","belleza","regalo"},E14)))&gt;0,"Sí","No")</f>
        <v>Sí</v>
      </c>
      <c r="AN14" s="102" t="str">
        <f>IF(SUMPRODUCT(--ISNUMBER(SEARCH({"lo que tenemos","estas ofertas","algo especial","ofertas únicas","que preparamos","no te quedes","echa un vistazo"},F14)))&gt;0,"Sí","No")</f>
        <v>No</v>
      </c>
      <c r="AO14" s="102">
        <f t="shared" si="20"/>
        <v>53</v>
      </c>
      <c r="AP14" s="102">
        <f t="shared" si="21"/>
        <v>11</v>
      </c>
      <c r="AQ14" s="102">
        <f>SUMPRODUCT(LEN(E14)-LEN(SUBSTITUTE(E14,{"!","¡","?","¿",":",",",".","%","·","-",";"},"")))</f>
        <v>3</v>
      </c>
      <c r="AR14" s="102" t="str">
        <f t="shared" si="22"/>
        <v>No</v>
      </c>
      <c r="AS14" s="102" t="str">
        <f t="shared" si="23"/>
        <v>No</v>
      </c>
      <c r="AT14" s="102" t="str">
        <f>IF(SUMPRODUCT(--ISNUMBER(FIND({"0","1","2","3","4","5","6","7","8","9"},E14)))&gt;0,"Con cifra concreta",IF(OR(ISNUMBER(FIND("?",E14)),ISNUMBER(FIND("¿",E14))),"Pregunta abierta",IF(SUMPRODUCT(--ISNUMBER(SEARCH({" hoy ","horas","tiempo limitado","antes de que","se acab","se agot","finalic","última oportunidad","oportunidad única","relámpago","express","no esperes","no volver","no parpadees"," ya ","últimas horas","últimas unidades"," ahora "},AF14)))&gt;0,"Solo urgencia, sin cifra",IF(SUMPRODUCT(--ISNUMBER(SEARCH({"recompensa","sorpresa","regalo","lealtad","detalle","gracias","pensamos en ti","para ti"},E14)))&gt;0,"Recompensa o sorpresa","Otro: beneficio o novedad"))))</f>
        <v>Otro: beneficio o novedad</v>
      </c>
    </row>
    <row r="15" spans="1:46" x14ac:dyDescent="0.2">
      <c r="A15" s="96" t="s">
        <v>722</v>
      </c>
      <c r="B15" s="96" t="s">
        <v>275</v>
      </c>
      <c r="C15" s="96" t="s">
        <v>723</v>
      </c>
      <c r="D15" s="96" t="s">
        <v>724</v>
      </c>
      <c r="E15" s="96" t="s">
        <v>725</v>
      </c>
      <c r="F15" s="96" t="s">
        <v>726</v>
      </c>
      <c r="G15" s="97">
        <v>194890</v>
      </c>
      <c r="H15" s="97">
        <v>23959</v>
      </c>
      <c r="I15" s="97">
        <v>4132</v>
      </c>
      <c r="J15" s="98">
        <v>9.64</v>
      </c>
      <c r="K15" s="98">
        <v>2.44</v>
      </c>
      <c r="L15" s="99">
        <v>6070.02</v>
      </c>
      <c r="M15" s="100">
        <f t="shared" si="0"/>
        <v>12.293601518805481</v>
      </c>
      <c r="N15" s="100">
        <f t="shared" si="1"/>
        <v>2.1201703525065421</v>
      </c>
      <c r="O15" s="100">
        <f t="shared" si="2"/>
        <v>17.246128803372429</v>
      </c>
      <c r="P15" s="100">
        <f t="shared" si="3"/>
        <v>31.145877161475706</v>
      </c>
      <c r="Q15" s="100">
        <f t="shared" si="4"/>
        <v>12.293601518805481</v>
      </c>
      <c r="R15" s="100">
        <f t="shared" si="5"/>
        <v>27.021447627328243</v>
      </c>
      <c r="S15" s="101">
        <f t="shared" si="6"/>
        <v>45881</v>
      </c>
      <c r="T15" s="102" t="str">
        <f t="shared" si="7"/>
        <v>Agosto</v>
      </c>
      <c r="U15" s="102" t="str">
        <f t="shared" si="8"/>
        <v>Martes</v>
      </c>
      <c r="V15" s="102">
        <f t="shared" si="9"/>
        <v>14</v>
      </c>
      <c r="W15" s="102" t="str">
        <f t="shared" si="10"/>
        <v>Resto del mes</v>
      </c>
      <c r="X15" s="102">
        <f t="shared" si="11"/>
        <v>1</v>
      </c>
      <c r="Y15" s="102" t="str">
        <f t="shared" si="12"/>
        <v>No</v>
      </c>
      <c r="Z15" s="102" t="str">
        <f>CHOOSE(MATCH(B15,{"Customer Appreciation","Exclusive Offers","Flash Sale","Holiday Discounts","New Product Launch","Newsletter"},0),"Fidelizar","Vender","Vender","Vender","Lanzar","Educar")</f>
        <v>Vender</v>
      </c>
      <c r="AA15" s="102" t="str">
        <f t="shared" si="13"/>
        <v>100 a 200 mil</v>
      </c>
      <c r="AB15" s="102">
        <f>COUNTIFS($E$5:$E$493,E15,$S$5:$S$493,"&lt;"&amp;S15)+COUNTIFS($E$5:E15,E15,$S$5:S15,S15)</f>
        <v>1</v>
      </c>
      <c r="AC15" s="102">
        <f t="shared" si="14"/>
        <v>1</v>
      </c>
      <c r="AD15" s="102" t="str">
        <f t="shared" si="15"/>
        <v/>
      </c>
      <c r="AE15" s="103">
        <f t="shared" si="16"/>
        <v>0</v>
      </c>
      <c r="AF15" s="102" t="str">
        <f t="shared" si="17"/>
        <v xml:space="preserve">  exclusivo para nuestros clientes vip  descuentos únicos </v>
      </c>
      <c r="AG15" s="102" t="str">
        <f t="shared" si="18"/>
        <v xml:space="preserve"> no te pierdas estas ofertas que preparamos para ti   acceso limitado  </v>
      </c>
      <c r="AH15" s="102" t="str">
        <f>IF(SUMPRODUCT(--(LEFT(IF(LEFT(LOWER(E15),1)="¡",MID(LOWER(E15),2,300),LOWER(E15)),LEN({"actualizaci","el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15" s="102" t="str">
        <f>IF(OR(SUMPRODUCT(--ISNUMBER(SEARCH({"descuento","oferta","ahorr","precio"," sale ","flash","deals"},AF15)))&gt;0,SUMPRODUCT(--ISNUMBER(SEARCH({"descuento","oferta","ahorr","precio"," sale ","flash","deals"},AG15)))&gt;0),"Sí","No")</f>
        <v>Sí</v>
      </c>
      <c r="AJ15" s="102" t="str">
        <f>IF(SUMPRODUCT(--ISNUMBER(SEARCH({" hoy ","horas","tiempo limitado","antes de que","se acab","se agot","finalic","última oportunidad","oportunidad única","relámpago","express","no esperes","no volver","no parpadees"},AF15)))&gt;0,"Sí","No")</f>
        <v>No</v>
      </c>
      <c r="AK15" s="102" t="str">
        <f>IF(SUMPRODUCT(--ISNUMBER(SEARCH({" hoy ","horas","tiempo limitado","antes de que","se acab","se agot","finalic","última oportunidad","oportunidad única","relámpago","express","no esperes","no volver","no parpadees"},AG15)))&gt;0,"Sí","No")</f>
        <v>No</v>
      </c>
      <c r="AL15" s="102" t="str">
        <f t="shared" si="19"/>
        <v>Descuento sin tiempo límite</v>
      </c>
      <c r="AM15" s="102" t="str">
        <f>IF(SUMPRODUCT(--ISNUMBER(SEARCH({"0","1","2","3","4","5","6","7","8","9","favorit","maquillaje","piel","cabello","productos","belleza","regalo"},E15)))&gt;0,"Sí","No")</f>
        <v>No</v>
      </c>
      <c r="AN15" s="102" t="str">
        <f>IF(SUMPRODUCT(--ISNUMBER(SEARCH({"lo que tenemos","estas ofertas","algo especial","ofertas únicas","que preparamos","no te quedes","echa un vistazo"},F15)))&gt;0,"Sí","No")</f>
        <v>Sí</v>
      </c>
      <c r="AO15" s="102">
        <f t="shared" si="20"/>
        <v>56</v>
      </c>
      <c r="AP15" s="102">
        <f t="shared" si="21"/>
        <v>7</v>
      </c>
      <c r="AQ15" s="102">
        <f>SUMPRODUCT(LEN(E15)-LEN(SUBSTITUTE(E15,{"!","¡","?","¿",":",",",".","%","·","-",";"},"")))</f>
        <v>2</v>
      </c>
      <c r="AR15" s="102" t="str">
        <f t="shared" si="22"/>
        <v>Sí</v>
      </c>
      <c r="AS15" s="102" t="str">
        <f t="shared" si="23"/>
        <v>No</v>
      </c>
      <c r="AT15" s="102" t="str">
        <f>IF(SUMPRODUCT(--ISNUMBER(FIND({"0","1","2","3","4","5","6","7","8","9"},E15)))&gt;0,"Con cifra concreta",IF(OR(ISNUMBER(FIND("?",E15)),ISNUMBER(FIND("¿",E15))),"Pregunta abierta",IF(SUMPRODUCT(--ISNUMBER(SEARCH({" hoy ","horas","tiempo limitado","antes de que","se acab","se agot","finalic","última oportunidad","oportunidad única","relámpago","express","no esperes","no volver","no parpadees"," ya ","últimas horas","últimas unidades"," ahora "},AF15)))&gt;0,"Solo urgencia, sin cifra",IF(SUMPRODUCT(--ISNUMBER(SEARCH({"recompensa","sorpresa","regalo","lealtad","detalle","gracias","pensamos en ti","para ti"},E15)))&gt;0,"Recompensa o sorpresa","Otro: beneficio o novedad"))))</f>
        <v>Otro: beneficio o novedad</v>
      </c>
    </row>
    <row r="16" spans="1:46" x14ac:dyDescent="0.2">
      <c r="A16" s="104" t="s">
        <v>727</v>
      </c>
      <c r="B16" s="104" t="s">
        <v>279</v>
      </c>
      <c r="C16" s="104" t="s">
        <v>728</v>
      </c>
      <c r="D16" s="104" t="s">
        <v>729</v>
      </c>
      <c r="E16" s="104" t="s">
        <v>730</v>
      </c>
      <c r="F16" s="104" t="s">
        <v>731</v>
      </c>
      <c r="G16" s="105">
        <v>208140</v>
      </c>
      <c r="H16" s="105">
        <v>16421</v>
      </c>
      <c r="I16" s="105">
        <v>14925</v>
      </c>
      <c r="J16" s="106">
        <v>5.86</v>
      </c>
      <c r="K16" s="106">
        <v>2.95</v>
      </c>
      <c r="L16" s="107">
        <v>7682.24</v>
      </c>
      <c r="M16" s="108">
        <f t="shared" si="0"/>
        <v>7.8894013644662255</v>
      </c>
      <c r="N16" s="108">
        <f t="shared" si="1"/>
        <v>7.1706543672528102</v>
      </c>
      <c r="O16" s="108">
        <f t="shared" si="2"/>
        <v>90.889714390110214</v>
      </c>
      <c r="P16" s="108">
        <f t="shared" si="3"/>
        <v>36.909003555299314</v>
      </c>
      <c r="Q16" s="108">
        <f t="shared" si="4"/>
        <v>25.803011620537188</v>
      </c>
      <c r="R16" s="108">
        <f t="shared" si="5"/>
        <v>27.75136451093497</v>
      </c>
      <c r="S16" s="101">
        <f t="shared" si="6"/>
        <v>45952</v>
      </c>
      <c r="T16" s="102" t="str">
        <f t="shared" si="7"/>
        <v>Octubre</v>
      </c>
      <c r="U16" s="102" t="str">
        <f t="shared" si="8"/>
        <v>Miércoles</v>
      </c>
      <c r="V16" s="102">
        <f t="shared" si="9"/>
        <v>10</v>
      </c>
      <c r="W16" s="102" t="str">
        <f t="shared" si="10"/>
        <v>Resto del mes</v>
      </c>
      <c r="X16" s="102">
        <f t="shared" si="11"/>
        <v>2</v>
      </c>
      <c r="Y16" s="102" t="str">
        <f t="shared" si="12"/>
        <v>No</v>
      </c>
      <c r="Z16" s="102" t="str">
        <f>CHOOSE(MATCH(B16,{"Customer Appreciation","Exclusive Offers","Flash Sale","Holiday Discounts","New Product Launch","Newsletter"},0),"Fidelizar","Vender","Vender","Vender","Lanzar","Educar")</f>
        <v>Educar</v>
      </c>
      <c r="AA16" s="102" t="str">
        <f t="shared" si="13"/>
        <v>200 a 300 mil</v>
      </c>
      <c r="AB16" s="102">
        <f>COUNTIFS($E$5:$E$493,E16,$S$5:$S$493,"&lt;"&amp;S16)+COUNTIFS($E$5:E16,E16,$S$5:S16,S16)</f>
        <v>2</v>
      </c>
      <c r="AC16" s="102">
        <f t="shared" si="14"/>
        <v>2</v>
      </c>
      <c r="AD16" s="102" t="str">
        <f t="shared" si="15"/>
        <v/>
      </c>
      <c r="AE16" s="103">
        <f t="shared" si="16"/>
        <v>-17.91361025607096</v>
      </c>
      <c r="AF16" s="102" t="str">
        <f t="shared" si="17"/>
        <v xml:space="preserve"> novedades l'oréal  mantente al día con lo último en belleza </v>
      </c>
      <c r="AG16" s="102" t="str">
        <f t="shared" si="18"/>
        <v xml:space="preserve"> tu resumen semanal de noticias de belleza   entérate ya  </v>
      </c>
      <c r="AH16" s="102" t="str">
        <f>IF(SUMPRODUCT(--(LEFT(IF(LEFT(LOWER(E16),1)="¡",MID(LOWER(E16),2,300),LOWER(E16)),LEN({"actualizaci","el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Sí</v>
      </c>
      <c r="AI16" s="102" t="str">
        <f>IF(OR(SUMPRODUCT(--ISNUMBER(SEARCH({"descuento","oferta","ahorr","precio"," sale ","flash","deals"},AF16)))&gt;0,SUMPRODUCT(--ISNUMBER(SEARCH({"descuento","oferta","ahorr","precio"," sale ","flash","deals"},AG16)))&gt;0),"Sí","No")</f>
        <v>No</v>
      </c>
      <c r="AJ16" s="102" t="str">
        <f>IF(SUMPRODUCT(--ISNUMBER(SEARCH({" hoy ","horas","tiempo limitado","antes de que","se acab","se agot","finalic","última oportunidad","oportunidad única","relámpago","express","no esperes","no volver","no parpadees"},AF16)))&gt;0,"Sí","No")</f>
        <v>No</v>
      </c>
      <c r="AK16" s="102" t="str">
        <f>IF(SUMPRODUCT(--ISNUMBER(SEARCH({" hoy ","horas","tiempo limitado","antes de que","se acab","se agot","finalic","última oportunidad","oportunidad única","relámpago","express","no esperes","no volver","no parpadees"},AG16)))&gt;0,"Sí","No")</f>
        <v>No</v>
      </c>
      <c r="AL16" s="102" t="str">
        <f t="shared" si="19"/>
        <v>Sin descuento</v>
      </c>
      <c r="AM16" s="102" t="str">
        <f>IF(SUMPRODUCT(--ISNUMBER(SEARCH({"0","1","2","3","4","5","6","7","8","9","favorit","maquillaje","piel","cabello","productos","belleza","regalo"},E16)))&gt;0,"Sí","No")</f>
        <v>Sí</v>
      </c>
      <c r="AN16" s="102" t="str">
        <f>IF(SUMPRODUCT(--ISNUMBER(SEARCH({"lo que tenemos","estas ofertas","algo especial","ofertas únicas","que preparamos","no te quedes","echa un vistazo"},F16)))&gt;0,"Sí","No")</f>
        <v>No</v>
      </c>
      <c r="AO16" s="102">
        <f t="shared" si="20"/>
        <v>59</v>
      </c>
      <c r="AP16" s="102">
        <f t="shared" si="21"/>
        <v>10</v>
      </c>
      <c r="AQ16" s="102">
        <f>SUMPRODUCT(LEN(E16)-LEN(SUBSTITUTE(E16,{"!","¡","?","¿",":",",",".","%","·","-",";"},"")))</f>
        <v>1</v>
      </c>
      <c r="AR16" s="102" t="str">
        <f t="shared" si="22"/>
        <v>No</v>
      </c>
      <c r="AS16" s="102" t="str">
        <f t="shared" si="23"/>
        <v>No</v>
      </c>
      <c r="AT16" s="102" t="str">
        <f>IF(SUMPRODUCT(--ISNUMBER(FIND({"0","1","2","3","4","5","6","7","8","9"},E16)))&gt;0,"Con cifra concreta",IF(OR(ISNUMBER(FIND("?",E16)),ISNUMBER(FIND("¿",E16))),"Pregunta abierta",IF(SUMPRODUCT(--ISNUMBER(SEARCH({" hoy ","horas","tiempo limitado","antes de que","se acab","se agot","finalic","última oportunidad","oportunidad única","relámpago","express","no esperes","no volver","no parpadees"," ya ","últimas horas","últimas unidades"," ahora "},AF16)))&gt;0,"Solo urgencia, sin cifra",IF(SUMPRODUCT(--ISNUMBER(SEARCH({"recompensa","sorpresa","regalo","lealtad","detalle","gracias","pensamos en ti","para ti"},E16)))&gt;0,"Recompensa o sorpresa","Otro: beneficio o novedad"))))</f>
        <v>Otro: beneficio o novedad</v>
      </c>
    </row>
    <row r="17" spans="1:46" x14ac:dyDescent="0.2">
      <c r="A17" s="96" t="s">
        <v>732</v>
      </c>
      <c r="B17" s="96" t="s">
        <v>278</v>
      </c>
      <c r="C17" s="96" t="s">
        <v>733</v>
      </c>
      <c r="D17" s="96" t="s">
        <v>734</v>
      </c>
      <c r="E17" s="96" t="s">
        <v>735</v>
      </c>
      <c r="F17" s="96" t="s">
        <v>458</v>
      </c>
      <c r="G17" s="97">
        <v>33940</v>
      </c>
      <c r="H17" s="97">
        <v>16590</v>
      </c>
      <c r="I17" s="97">
        <v>1934</v>
      </c>
      <c r="J17" s="98">
        <v>2.9</v>
      </c>
      <c r="K17" s="98">
        <v>4.46</v>
      </c>
      <c r="L17" s="99">
        <v>77099.27</v>
      </c>
      <c r="M17" s="100">
        <f t="shared" si="0"/>
        <v>48.880377136122569</v>
      </c>
      <c r="N17" s="100">
        <f t="shared" si="1"/>
        <v>5.6982911019446085</v>
      </c>
      <c r="O17" s="100">
        <f t="shared" si="2"/>
        <v>11.657625075346594</v>
      </c>
      <c r="P17" s="100">
        <f t="shared" si="3"/>
        <v>2271.6343547436654</v>
      </c>
      <c r="Q17" s="100">
        <f t="shared" si="4"/>
        <v>35.394522582730353</v>
      </c>
      <c r="R17" s="100">
        <f t="shared" si="5"/>
        <v>29.458247936272421</v>
      </c>
      <c r="S17" s="101">
        <f t="shared" si="6"/>
        <v>45925</v>
      </c>
      <c r="T17" s="102" t="str">
        <f t="shared" si="7"/>
        <v>Septiembre</v>
      </c>
      <c r="U17" s="102" t="str">
        <f t="shared" si="8"/>
        <v>Jueves</v>
      </c>
      <c r="V17" s="102">
        <f t="shared" si="9"/>
        <v>12</v>
      </c>
      <c r="W17" s="102" t="str">
        <f t="shared" si="10"/>
        <v>Resto del mes</v>
      </c>
      <c r="X17" s="102">
        <f t="shared" si="11"/>
        <v>1</v>
      </c>
      <c r="Y17" s="102" t="str">
        <f t="shared" si="12"/>
        <v>No</v>
      </c>
      <c r="Z17" s="102" t="str">
        <f>CHOOSE(MATCH(B17,{"Customer Appreciation","Exclusive Offers","Flash Sale","Holiday Discounts","New Product Launch","Newsletter"},0),"Fidelizar","Vender","Vender","Vender","Lanzar","Educar")</f>
        <v>Lanzar</v>
      </c>
      <c r="AA17" s="102" t="str">
        <f t="shared" si="13"/>
        <v>Menos de 100 mil</v>
      </c>
      <c r="AB17" s="102">
        <f>COUNTIFS($E$5:$E$493,E17,$S$5:$S$493,"&lt;"&amp;S17)+COUNTIFS($E$5:E17,E17,$S$5:S17,S17)</f>
        <v>3</v>
      </c>
      <c r="AC17" s="102">
        <f t="shared" si="14"/>
        <v>3</v>
      </c>
      <c r="AD17" s="102" t="str">
        <f t="shared" si="15"/>
        <v/>
      </c>
      <c r="AE17" s="103">
        <f t="shared" si="16"/>
        <v>13.485854553392215</v>
      </c>
      <c r="AF17" s="102" t="str">
        <f t="shared" si="17"/>
        <v xml:space="preserve">  el futuro de tu piel ha llegado  nuevo producto estrella </v>
      </c>
      <c r="AG17" s="102" t="str">
        <f t="shared" si="18"/>
        <v xml:space="preserve"> una fórmula revolucionaria para resultados visibles   compruébalo  </v>
      </c>
      <c r="AH17" s="102" t="str">
        <f>IF(SUMPRODUCT(--(LEFT(IF(LEFT(LOWER(E17),1)="¡",MID(LOWER(E17),2,300),LOWER(E17)),LEN({"actualizaci","el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17" s="102" t="str">
        <f>IF(OR(SUMPRODUCT(--ISNUMBER(SEARCH({"descuento","oferta","ahorr","precio"," sale ","flash","deals"},AF17)))&gt;0,SUMPRODUCT(--ISNUMBER(SEARCH({"descuento","oferta","ahorr","precio"," sale ","flash","deals"},AG17)))&gt;0),"Sí","No")</f>
        <v>No</v>
      </c>
      <c r="AJ17" s="102" t="str">
        <f>IF(SUMPRODUCT(--ISNUMBER(SEARCH({" hoy ","horas","tiempo limitado","antes de que","se acab","se agot","finalic","última oportunidad","oportunidad única","relámpago","express","no esperes","no volver","no parpadees"},AF17)))&gt;0,"Sí","No")</f>
        <v>No</v>
      </c>
      <c r="AK17" s="102" t="str">
        <f>IF(SUMPRODUCT(--ISNUMBER(SEARCH({" hoy ","horas","tiempo limitado","antes de que","se acab","se agot","finalic","última oportunidad","oportunidad única","relámpago","express","no esperes","no volver","no parpadees"},AG17)))&gt;0,"Sí","No")</f>
        <v>No</v>
      </c>
      <c r="AL17" s="102" t="str">
        <f t="shared" si="19"/>
        <v>Sin descuento</v>
      </c>
      <c r="AM17" s="102" t="str">
        <f>IF(SUMPRODUCT(--ISNUMBER(SEARCH({"0","1","2","3","4","5","6","7","8","9","favorit","maquillaje","piel","cabello","productos","belleza","regalo"},E17)))&gt;0,"Sí","No")</f>
        <v>Sí</v>
      </c>
      <c r="AN17" s="102" t="str">
        <f>IF(SUMPRODUCT(--ISNUMBER(SEARCH({"lo que tenemos","estas ofertas","algo especial","ofertas únicas","que preparamos","no te quedes","echa un vistazo"},F17)))&gt;0,"Sí","No")</f>
        <v>No</v>
      </c>
      <c r="AO17" s="102">
        <f t="shared" si="20"/>
        <v>57</v>
      </c>
      <c r="AP17" s="102">
        <f t="shared" si="21"/>
        <v>10</v>
      </c>
      <c r="AQ17" s="102">
        <f>SUMPRODUCT(LEN(E17)-LEN(SUBSTITUTE(E17,{"!","¡","?","¿",":",",",".","%","·","-",";"},"")))</f>
        <v>2</v>
      </c>
      <c r="AR17" s="102" t="str">
        <f t="shared" si="22"/>
        <v>No</v>
      </c>
      <c r="AS17" s="102" t="str">
        <f t="shared" si="23"/>
        <v>No</v>
      </c>
      <c r="AT17" s="102" t="str">
        <f>IF(SUMPRODUCT(--ISNUMBER(FIND({"0","1","2","3","4","5","6","7","8","9"},E17)))&gt;0,"Con cifra concreta",IF(OR(ISNUMBER(FIND("?",E17)),ISNUMBER(FIND("¿",E17))),"Pregunta abierta",IF(SUMPRODUCT(--ISNUMBER(SEARCH({" hoy ","horas","tiempo limitado","antes de que","se acab","se agot","finalic","última oportunidad","oportunidad única","relámpago","express","no esperes","no volver","no parpadees"," ya ","últimas horas","últimas unidades"," ahora "},AF17)))&gt;0,"Solo urgencia, sin cifra",IF(SUMPRODUCT(--ISNUMBER(SEARCH({"recompensa","sorpresa","regalo","lealtad","detalle","gracias","pensamos en ti","para ti"},E17)))&gt;0,"Recompensa o sorpresa","Otro: beneficio o novedad"))))</f>
        <v>Otro: beneficio o novedad</v>
      </c>
    </row>
    <row r="18" spans="1:46" x14ac:dyDescent="0.2">
      <c r="A18" s="104" t="s">
        <v>736</v>
      </c>
      <c r="B18" s="104" t="s">
        <v>274</v>
      </c>
      <c r="C18" s="104" t="s">
        <v>737</v>
      </c>
      <c r="D18" s="104" t="s">
        <v>738</v>
      </c>
      <c r="E18" s="104" t="s">
        <v>739</v>
      </c>
      <c r="F18" s="104" t="s">
        <v>740</v>
      </c>
      <c r="G18" s="105">
        <v>320121</v>
      </c>
      <c r="H18" s="105">
        <v>103509</v>
      </c>
      <c r="I18" s="105">
        <v>61376</v>
      </c>
      <c r="J18" s="106">
        <v>3.3</v>
      </c>
      <c r="K18" s="106">
        <v>1.77</v>
      </c>
      <c r="L18" s="107">
        <v>61885.22</v>
      </c>
      <c r="M18" s="108">
        <f t="shared" si="0"/>
        <v>32.334336079170065</v>
      </c>
      <c r="N18" s="108">
        <f t="shared" si="1"/>
        <v>19.172750303791378</v>
      </c>
      <c r="O18" s="108">
        <f t="shared" si="2"/>
        <v>59.295326976398187</v>
      </c>
      <c r="P18" s="108">
        <f t="shared" si="3"/>
        <v>193.31821405031224</v>
      </c>
      <c r="Q18" s="108">
        <f t="shared" si="4"/>
        <v>32.334336079170065</v>
      </c>
      <c r="R18" s="108">
        <f t="shared" si="5"/>
        <v>31.113650744455075</v>
      </c>
      <c r="S18" s="101">
        <f t="shared" si="6"/>
        <v>45877</v>
      </c>
      <c r="T18" s="102" t="str">
        <f t="shared" si="7"/>
        <v>Agosto</v>
      </c>
      <c r="U18" s="102" t="str">
        <f t="shared" si="8"/>
        <v>Viernes</v>
      </c>
      <c r="V18" s="102">
        <f t="shared" si="9"/>
        <v>16</v>
      </c>
      <c r="W18" s="102" t="str">
        <f t="shared" si="10"/>
        <v>Resto del mes</v>
      </c>
      <c r="X18" s="102">
        <f t="shared" si="11"/>
        <v>2</v>
      </c>
      <c r="Y18" s="102" t="str">
        <f t="shared" si="12"/>
        <v>No</v>
      </c>
      <c r="Z18" s="102" t="str">
        <f>CHOOSE(MATCH(B18,{"Customer Appreciation","Exclusive Offers","Flash Sale","Holiday Discounts","New Product Launch","Newsletter"},0),"Fidelizar","Vender","Vender","Vender","Lanzar","Educar")</f>
        <v>Fidelizar</v>
      </c>
      <c r="AA18" s="102" t="str">
        <f t="shared" si="13"/>
        <v>300 a 400 mil</v>
      </c>
      <c r="AB18" s="102">
        <f>COUNTIFS($E$5:$E$493,E18,$S$5:$S$493,"&lt;"&amp;S18)+COUNTIFS($E$5:E18,E18,$S$5:S18,S18)</f>
        <v>1</v>
      </c>
      <c r="AC18" s="102">
        <f t="shared" si="14"/>
        <v>1</v>
      </c>
      <c r="AD18" s="102" t="str">
        <f t="shared" si="15"/>
        <v/>
      </c>
      <c r="AE18" s="103">
        <f t="shared" si="16"/>
        <v>0</v>
      </c>
      <c r="AF18" s="102" t="str">
        <f t="shared" si="17"/>
        <v xml:space="preserve">  gracias por ser parte de nuestra familia  una sorpresa para ti </v>
      </c>
      <c r="AG18" s="102" t="str">
        <f t="shared" si="18"/>
        <v xml:space="preserve"> hemos seleccionado algo especial solo para ti   no te lo pierdas  </v>
      </c>
      <c r="AH18" s="102" t="str">
        <f>IF(SUMPRODUCT(--(LEFT(IF(LEFT(LOWER(E18),1)="¡",MID(LOWER(E18),2,300),LOWER(E18)),LEN({"actualizaci","el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18" s="102" t="str">
        <f>IF(OR(SUMPRODUCT(--ISNUMBER(SEARCH({"descuento","oferta","ahorr","precio"," sale ","flash","deals"},AF18)))&gt;0,SUMPRODUCT(--ISNUMBER(SEARCH({"descuento","oferta","ahorr","precio"," sale ","flash","deals"},AG18)))&gt;0),"Sí","No")</f>
        <v>No</v>
      </c>
      <c r="AJ18" s="102" t="str">
        <f>IF(SUMPRODUCT(--ISNUMBER(SEARCH({" hoy ","horas","tiempo limitado","antes de que","se acab","se agot","finalic","última oportunidad","oportunidad única","relámpago","express","no esperes","no volver","no parpadees"},AF18)))&gt;0,"Sí","No")</f>
        <v>No</v>
      </c>
      <c r="AK18" s="102" t="str">
        <f>IF(SUMPRODUCT(--ISNUMBER(SEARCH({" hoy ","horas","tiempo limitado","antes de que","se acab","se agot","finalic","última oportunidad","oportunidad única","relámpago","express","no esperes","no volver","no parpadees"},AG18)))&gt;0,"Sí","No")</f>
        <v>No</v>
      </c>
      <c r="AL18" s="102" t="str">
        <f t="shared" si="19"/>
        <v>Sin descuento</v>
      </c>
      <c r="AM18" s="102" t="str">
        <f>IF(SUMPRODUCT(--ISNUMBER(SEARCH({"0","1","2","3","4","5","6","7","8","9","favorit","maquillaje","piel","cabello","productos","belleza","regalo"},E18)))&gt;0,"Sí","No")</f>
        <v>No</v>
      </c>
      <c r="AN18" s="102" t="str">
        <f>IF(SUMPRODUCT(--ISNUMBER(SEARCH({"lo que tenemos","estas ofertas","algo especial","ofertas únicas","que preparamos","no te quedes","echa un vistazo"},F18)))&gt;0,"Sí","No")</f>
        <v>Sí</v>
      </c>
      <c r="AO18" s="102">
        <f t="shared" si="20"/>
        <v>63</v>
      </c>
      <c r="AP18" s="102">
        <f t="shared" si="21"/>
        <v>11</v>
      </c>
      <c r="AQ18" s="102">
        <f>SUMPRODUCT(LEN(E18)-LEN(SUBSTITUTE(E18,{"!","¡","?","¿",":",",",".","%","·","-",";"},"")))</f>
        <v>2</v>
      </c>
      <c r="AR18" s="102" t="str">
        <f t="shared" si="22"/>
        <v>No</v>
      </c>
      <c r="AS18" s="102" t="str">
        <f t="shared" si="23"/>
        <v>No</v>
      </c>
      <c r="AT18" s="102" t="str">
        <f>IF(SUMPRODUCT(--ISNUMBER(FIND({"0","1","2","3","4","5","6","7","8","9"},E18)))&gt;0,"Con cifra concreta",IF(OR(ISNUMBER(FIND("?",E18)),ISNUMBER(FIND("¿",E18))),"Pregunta abierta",IF(SUMPRODUCT(--ISNUMBER(SEARCH({" hoy ","horas","tiempo limitado","antes de que","se acab","se agot","finalic","última oportunidad","oportunidad única","relámpago","express","no esperes","no volver","no parpadees"," ya ","últimas horas","últimas unidades"," ahora "},AF18)))&gt;0,"Solo urgencia, sin cifra",IF(SUMPRODUCT(--ISNUMBER(SEARCH({"recompensa","sorpresa","regalo","lealtad","detalle","gracias","pensamos en ti","para ti"},E18)))&gt;0,"Recompensa o sorpresa","Otro: beneficio o novedad"))))</f>
        <v>Recompensa o sorpresa</v>
      </c>
    </row>
    <row r="19" spans="1:46" x14ac:dyDescent="0.2">
      <c r="A19" s="96" t="s">
        <v>741</v>
      </c>
      <c r="B19" s="96" t="s">
        <v>279</v>
      </c>
      <c r="C19" s="96" t="s">
        <v>742</v>
      </c>
      <c r="D19" s="96" t="s">
        <v>743</v>
      </c>
      <c r="E19" s="96" t="s">
        <v>370</v>
      </c>
      <c r="F19" s="96" t="s">
        <v>485</v>
      </c>
      <c r="G19" s="97">
        <v>10726</v>
      </c>
      <c r="H19" s="97">
        <v>2681</v>
      </c>
      <c r="I19" s="97">
        <v>1463</v>
      </c>
      <c r="J19" s="98">
        <v>4.78</v>
      </c>
      <c r="K19" s="98">
        <v>2.96</v>
      </c>
      <c r="L19" s="99">
        <v>41057.08</v>
      </c>
      <c r="M19" s="100">
        <f t="shared" si="0"/>
        <v>24.995338429983217</v>
      </c>
      <c r="N19" s="100">
        <f t="shared" si="1"/>
        <v>13.639753869103114</v>
      </c>
      <c r="O19" s="100">
        <f t="shared" si="2"/>
        <v>54.569190600522191</v>
      </c>
      <c r="P19" s="100">
        <f t="shared" si="3"/>
        <v>3827.8090620921125</v>
      </c>
      <c r="Q19" s="100">
        <f t="shared" si="4"/>
        <v>15.908213539730554</v>
      </c>
      <c r="R19" s="100">
        <f t="shared" si="5"/>
        <v>27.75136451093497</v>
      </c>
      <c r="S19" s="101">
        <f t="shared" si="6"/>
        <v>45948</v>
      </c>
      <c r="T19" s="102" t="str">
        <f t="shared" si="7"/>
        <v>Octubre</v>
      </c>
      <c r="U19" s="102" t="str">
        <f t="shared" si="8"/>
        <v>Sábado</v>
      </c>
      <c r="V19" s="102">
        <f t="shared" si="9"/>
        <v>8</v>
      </c>
      <c r="W19" s="102" t="str">
        <f t="shared" si="10"/>
        <v>Días después del pago</v>
      </c>
      <c r="X19" s="102">
        <f t="shared" si="11"/>
        <v>27</v>
      </c>
      <c r="Y19" s="102" t="str">
        <f t="shared" si="12"/>
        <v>Sí</v>
      </c>
      <c r="Z19" s="102" t="str">
        <f>CHOOSE(MATCH(B19,{"Customer Appreciation","Exclusive Offers","Flash Sale","Holiday Discounts","New Product Launch","Newsletter"},0),"Fidelizar","Vender","Vender","Vender","Lanzar","Educar")</f>
        <v>Educar</v>
      </c>
      <c r="AA19" s="102" t="str">
        <f t="shared" si="13"/>
        <v>Menos de 100 mil</v>
      </c>
      <c r="AB19" s="102">
        <f>COUNTIFS($E$5:$E$493,E19,$S$5:$S$493,"&lt;"&amp;S19)+COUNTIFS($E$5:E19,E19,$S$5:S19,S19)</f>
        <v>8</v>
      </c>
      <c r="AC19" s="102">
        <f t="shared" si="14"/>
        <v>10</v>
      </c>
      <c r="AD19" s="102" t="str">
        <f t="shared" si="15"/>
        <v>Último tercio</v>
      </c>
      <c r="AE19" s="103">
        <f t="shared" si="16"/>
        <v>9.0871248902526638</v>
      </c>
      <c r="AF19" s="102" t="str">
        <f t="shared" si="17"/>
        <v xml:space="preserve"> actualización de l'oréal   qué hay de nuevo en el mundo beauty  </v>
      </c>
      <c r="AG19" s="102" t="str">
        <f t="shared" si="18"/>
        <v xml:space="preserve"> no te quedes atrás con las últimas tendencias   descubre más  </v>
      </c>
      <c r="AH19" s="102" t="str">
        <f>IF(SUMPRODUCT(--(LEFT(IF(LEFT(LOWER(E19),1)="¡",MID(LOWER(E19),2,300),LOWER(E19)),LEN({"actualizaci","el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Sí</v>
      </c>
      <c r="AI19" s="102" t="str">
        <f>IF(OR(SUMPRODUCT(--ISNUMBER(SEARCH({"descuento","oferta","ahorr","precio"," sale ","flash","deals"},AF19)))&gt;0,SUMPRODUCT(--ISNUMBER(SEARCH({"descuento","oferta","ahorr","precio"," sale ","flash","deals"},AG19)))&gt;0),"Sí","No")</f>
        <v>No</v>
      </c>
      <c r="AJ19" s="102" t="str">
        <f>IF(SUMPRODUCT(--ISNUMBER(SEARCH({" hoy ","horas","tiempo limitado","antes de que","se acab","se agot","finalic","última oportunidad","oportunidad única","relámpago","express","no esperes","no volver","no parpadees"},AF19)))&gt;0,"Sí","No")</f>
        <v>No</v>
      </c>
      <c r="AK19" s="102" t="str">
        <f>IF(SUMPRODUCT(--ISNUMBER(SEARCH({" hoy ","horas","tiempo limitado","antes de que","se acab","se agot","finalic","última oportunidad","oportunidad única","relámpago","express","no esperes","no volver","no parpadees"},AG19)))&gt;0,"Sí","No")</f>
        <v>No</v>
      </c>
      <c r="AL19" s="102" t="str">
        <f t="shared" si="19"/>
        <v>Sin descuento</v>
      </c>
      <c r="AM19" s="102" t="str">
        <f>IF(SUMPRODUCT(--ISNUMBER(SEARCH({"0","1","2","3","4","5","6","7","8","9","favorit","maquillaje","piel","cabello","productos","belleza","regalo"},E19)))&gt;0,"Sí","No")</f>
        <v>No</v>
      </c>
      <c r="AN19" s="102" t="str">
        <f>IF(SUMPRODUCT(--ISNUMBER(SEARCH({"lo que tenemos","estas ofertas","algo especial","ofertas únicas","que preparamos","no te quedes","echa un vistazo"},F19)))&gt;0,"Sí","No")</f>
        <v>Sí</v>
      </c>
      <c r="AO19" s="102">
        <f t="shared" si="20"/>
        <v>63</v>
      </c>
      <c r="AP19" s="102">
        <f t="shared" si="21"/>
        <v>11</v>
      </c>
      <c r="AQ19" s="102">
        <f>SUMPRODUCT(LEN(E19)-LEN(SUBSTITUTE(E19,{"!","¡","?","¿",":",",",".","%","·","-",";"},"")))</f>
        <v>3</v>
      </c>
      <c r="AR19" s="102" t="str">
        <f t="shared" si="22"/>
        <v>No</v>
      </c>
      <c r="AS19" s="102" t="str">
        <f t="shared" si="23"/>
        <v>No</v>
      </c>
      <c r="AT19" s="102" t="str">
        <f>IF(SUMPRODUCT(--ISNUMBER(FIND({"0","1","2","3","4","5","6","7","8","9"},E19)))&gt;0,"Con cifra concreta",IF(OR(ISNUMBER(FIND("?",E19)),ISNUMBER(FIND("¿",E19))),"Pregunta abierta",IF(SUMPRODUCT(--ISNUMBER(SEARCH({" hoy ","horas","tiempo limitado","antes de que","se acab","se agot","finalic","última oportunidad","oportunidad única","relámpago","express","no esperes","no volver","no parpadees"," ya ","últimas horas","últimas unidades"," ahora "},AF19)))&gt;0,"Solo urgencia, sin cifra",IF(SUMPRODUCT(--ISNUMBER(SEARCH({"recompensa","sorpresa","regalo","lealtad","detalle","gracias","pensamos en ti","para ti"},E19)))&gt;0,"Recompensa o sorpresa","Otro: beneficio o novedad"))))</f>
        <v>Pregunta abierta</v>
      </c>
    </row>
    <row r="20" spans="1:46" x14ac:dyDescent="0.2">
      <c r="A20" s="104" t="s">
        <v>744</v>
      </c>
      <c r="B20" s="104" t="s">
        <v>276</v>
      </c>
      <c r="C20" s="104" t="s">
        <v>745</v>
      </c>
      <c r="D20" s="104" t="s">
        <v>746</v>
      </c>
      <c r="E20" s="104" t="s">
        <v>747</v>
      </c>
      <c r="F20" s="104" t="s">
        <v>748</v>
      </c>
      <c r="G20" s="105">
        <v>72482</v>
      </c>
      <c r="H20" s="105">
        <v>17789</v>
      </c>
      <c r="I20" s="105">
        <v>10452</v>
      </c>
      <c r="J20" s="106">
        <v>6.93</v>
      </c>
      <c r="K20" s="106">
        <v>2.23</v>
      </c>
      <c r="L20" s="107">
        <v>78024.83</v>
      </c>
      <c r="M20" s="108">
        <f t="shared" si="0"/>
        <v>24.542645070500264</v>
      </c>
      <c r="N20" s="108">
        <f t="shared" si="1"/>
        <v>14.420131894815263</v>
      </c>
      <c r="O20" s="108">
        <f t="shared" si="2"/>
        <v>58.755410647029059</v>
      </c>
      <c r="P20" s="108">
        <f t="shared" si="3"/>
        <v>1076.4718136916752</v>
      </c>
      <c r="Q20" s="108">
        <f t="shared" si="4"/>
        <v>24.542645070500264</v>
      </c>
      <c r="R20" s="108">
        <f t="shared" si="5"/>
        <v>29.440902453236173</v>
      </c>
      <c r="S20" s="101">
        <f t="shared" si="6"/>
        <v>45905</v>
      </c>
      <c r="T20" s="102" t="str">
        <f t="shared" si="7"/>
        <v>Septiembre</v>
      </c>
      <c r="U20" s="102" t="str">
        <f t="shared" si="8"/>
        <v>Viernes</v>
      </c>
      <c r="V20" s="102">
        <f t="shared" si="9"/>
        <v>14</v>
      </c>
      <c r="W20" s="102" t="str">
        <f t="shared" si="10"/>
        <v>Días después del pago</v>
      </c>
      <c r="X20" s="102">
        <f t="shared" si="11"/>
        <v>2</v>
      </c>
      <c r="Y20" s="102" t="str">
        <f t="shared" si="12"/>
        <v>No</v>
      </c>
      <c r="Z20" s="102" t="str">
        <f>CHOOSE(MATCH(B20,{"Customer Appreciation","Exclusive Offers","Flash Sale","Holiday Discounts","New Product Launch","Newsletter"},0),"Fidelizar","Vender","Vender","Vender","Lanzar","Educar")</f>
        <v>Vender</v>
      </c>
      <c r="AA20" s="102" t="str">
        <f t="shared" si="13"/>
        <v>Menos de 100 mil</v>
      </c>
      <c r="AB20" s="102">
        <f>COUNTIFS($E$5:$E$493,E20,$S$5:$S$493,"&lt;"&amp;S20)+COUNTIFS($E$5:E20,E20,$S$5:S20,S20)</f>
        <v>1</v>
      </c>
      <c r="AC20" s="102">
        <f t="shared" si="14"/>
        <v>1</v>
      </c>
      <c r="AD20" s="102" t="str">
        <f t="shared" si="15"/>
        <v/>
      </c>
      <c r="AE20" s="103">
        <f t="shared" si="16"/>
        <v>0</v>
      </c>
      <c r="AF20" s="102" t="str">
        <f t="shared" si="17"/>
        <v xml:space="preserve">  descuentos imperdibles  solo por tiempo limitado  no esperes </v>
      </c>
      <c r="AG20" s="102" t="str">
        <f t="shared" si="18"/>
        <v xml:space="preserve"> aprovecha estas ofertas antes de que se agoten   compra ahora  </v>
      </c>
      <c r="AH20" s="102" t="str">
        <f>IF(SUMPRODUCT(--(LEFT(IF(LEFT(LOWER(E20),1)="¡",MID(LOWER(E20),2,300),LOWER(E20)),LEN({"actualizaci","el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Sí</v>
      </c>
      <c r="AI20" s="102" t="str">
        <f>IF(OR(SUMPRODUCT(--ISNUMBER(SEARCH({"descuento","oferta","ahorr","precio"," sale ","flash","deals"},AF20)))&gt;0,SUMPRODUCT(--ISNUMBER(SEARCH({"descuento","oferta","ahorr","precio"," sale ","flash","deals"},AG20)))&gt;0),"Sí","No")</f>
        <v>Sí</v>
      </c>
      <c r="AJ20" s="102" t="str">
        <f>IF(SUMPRODUCT(--ISNUMBER(SEARCH({" hoy ","horas","tiempo limitado","antes de que","se acab","se agot","finalic","última oportunidad","oportunidad única","relámpago","express","no esperes","no volver","no parpadees"},AF20)))&gt;0,"Sí","No")</f>
        <v>Sí</v>
      </c>
      <c r="AK20" s="102" t="str">
        <f>IF(SUMPRODUCT(--ISNUMBER(SEARCH({" hoy ","horas","tiempo limitado","antes de que","se acab","se agot","finalic","última oportunidad","oportunidad única","relámpago","express","no esperes","no volver","no parpadees"},AG20)))&gt;0,"Sí","No")</f>
        <v>Sí</v>
      </c>
      <c r="AL20" s="102" t="str">
        <f t="shared" si="19"/>
        <v>Descuento con tiempo límite en el asunto</v>
      </c>
      <c r="AM20" s="102" t="str">
        <f>IF(SUMPRODUCT(--ISNUMBER(SEARCH({"0","1","2","3","4","5","6","7","8","9","favorit","maquillaje","piel","cabello","productos","belleza","regalo"},E20)))&gt;0,"Sí","No")</f>
        <v>No</v>
      </c>
      <c r="AN20" s="102" t="str">
        <f>IF(SUMPRODUCT(--ISNUMBER(SEARCH({"lo que tenemos","estas ofertas","algo especial","ofertas únicas","que preparamos","no te quedes","echa un vistazo"},F20)))&gt;0,"Sí","No")</f>
        <v>Sí</v>
      </c>
      <c r="AO20" s="102">
        <f t="shared" si="20"/>
        <v>61</v>
      </c>
      <c r="AP20" s="102">
        <f t="shared" si="21"/>
        <v>8</v>
      </c>
      <c r="AQ20" s="102">
        <f>SUMPRODUCT(LEN(E20)-LEN(SUBSTITUTE(E20,{"!","¡","?","¿",":",",",".","%","·","-",";"},"")))</f>
        <v>3</v>
      </c>
      <c r="AR20" s="102" t="str">
        <f t="shared" si="22"/>
        <v>No</v>
      </c>
      <c r="AS20" s="102" t="str">
        <f t="shared" si="23"/>
        <v>No</v>
      </c>
      <c r="AT20" s="102" t="str">
        <f>IF(SUMPRODUCT(--ISNUMBER(FIND({"0","1","2","3","4","5","6","7","8","9"},E20)))&gt;0,"Con cifra concreta",IF(OR(ISNUMBER(FIND("?",E20)),ISNUMBER(FIND("¿",E20))),"Pregunta abierta",IF(SUMPRODUCT(--ISNUMBER(SEARCH({" hoy ","horas","tiempo limitado","antes de que","se acab","se agot","finalic","última oportunidad","oportunidad única","relámpago","express","no esperes","no volver","no parpadees"," ya ","últimas horas","últimas unidades"," ahora "},AF20)))&gt;0,"Solo urgencia, sin cifra",IF(SUMPRODUCT(--ISNUMBER(SEARCH({"recompensa","sorpresa","regalo","lealtad","detalle","gracias","pensamos en ti","para ti"},E20)))&gt;0,"Recompensa o sorpresa","Otro: beneficio o novedad"))))</f>
        <v>Solo urgencia, sin cifra</v>
      </c>
    </row>
    <row r="21" spans="1:46" x14ac:dyDescent="0.2">
      <c r="A21" s="96" t="s">
        <v>749</v>
      </c>
      <c r="B21" s="96" t="s">
        <v>276</v>
      </c>
      <c r="C21" s="96" t="s">
        <v>750</v>
      </c>
      <c r="D21" s="96" t="s">
        <v>751</v>
      </c>
      <c r="E21" s="96" t="s">
        <v>752</v>
      </c>
      <c r="F21" s="96" t="s">
        <v>753</v>
      </c>
      <c r="G21" s="97">
        <v>32183</v>
      </c>
      <c r="H21" s="97">
        <v>7506</v>
      </c>
      <c r="I21" s="97">
        <v>1750</v>
      </c>
      <c r="J21" s="98">
        <v>1.41</v>
      </c>
      <c r="K21" s="98">
        <v>2.41</v>
      </c>
      <c r="L21" s="99">
        <v>92852.77</v>
      </c>
      <c r="M21" s="100">
        <f t="shared" si="0"/>
        <v>23.322872323897709</v>
      </c>
      <c r="N21" s="100">
        <f t="shared" si="1"/>
        <v>5.4376534195071935</v>
      </c>
      <c r="O21" s="100">
        <f t="shared" si="2"/>
        <v>23.314681588062882</v>
      </c>
      <c r="P21" s="100">
        <f t="shared" si="3"/>
        <v>2885.1496131497997</v>
      </c>
      <c r="Q21" s="100">
        <f t="shared" si="4"/>
        <v>33.635625365301983</v>
      </c>
      <c r="R21" s="100">
        <f t="shared" si="5"/>
        <v>29.440902453236173</v>
      </c>
      <c r="S21" s="101">
        <f t="shared" si="6"/>
        <v>45884</v>
      </c>
      <c r="T21" s="102" t="str">
        <f t="shared" si="7"/>
        <v>Agosto</v>
      </c>
      <c r="U21" s="102" t="str">
        <f t="shared" si="8"/>
        <v>Viernes</v>
      </c>
      <c r="V21" s="102">
        <f t="shared" si="9"/>
        <v>11</v>
      </c>
      <c r="W21" s="102" t="str">
        <f t="shared" si="10"/>
        <v>Quincena</v>
      </c>
      <c r="X21" s="102">
        <f t="shared" si="11"/>
        <v>2</v>
      </c>
      <c r="Y21" s="102" t="str">
        <f t="shared" si="12"/>
        <v>No</v>
      </c>
      <c r="Z21" s="102" t="str">
        <f>CHOOSE(MATCH(B21,{"Customer Appreciation","Exclusive Offers","Flash Sale","Holiday Discounts","New Product Launch","Newsletter"},0),"Fidelizar","Vender","Vender","Vender","Lanzar","Educar")</f>
        <v>Vender</v>
      </c>
      <c r="AA21" s="102" t="str">
        <f t="shared" si="13"/>
        <v>Menos de 100 mil</v>
      </c>
      <c r="AB21" s="102">
        <f>COUNTIFS($E$5:$E$493,E21,$S$5:$S$493,"&lt;"&amp;S21)+COUNTIFS($E$5:E21,E21,$S$5:S21,S21)</f>
        <v>1</v>
      </c>
      <c r="AC21" s="102">
        <f t="shared" si="14"/>
        <v>2</v>
      </c>
      <c r="AD21" s="102" t="str">
        <f t="shared" si="15"/>
        <v/>
      </c>
      <c r="AE21" s="103">
        <f t="shared" si="16"/>
        <v>-10.312753041404275</v>
      </c>
      <c r="AF21" s="102" t="str">
        <f t="shared" si="17"/>
        <v xml:space="preserve">  ahorra en tus favoritos  oferta flash  solo por hoy </v>
      </c>
      <c r="AG21" s="102" t="str">
        <f t="shared" si="18"/>
        <v xml:space="preserve"> tus productos esenciales con un gran descuento   no te lo pierdas  </v>
      </c>
      <c r="AH21" s="102" t="str">
        <f>IF(SUMPRODUCT(--(LEFT(IF(LEFT(LOWER(E21),1)="¡",MID(LOWER(E21),2,300),LOWER(E21)),LEN({"actualizaci","el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21" s="102" t="str">
        <f>IF(OR(SUMPRODUCT(--ISNUMBER(SEARCH({"descuento","oferta","ahorr","precio"," sale ","flash","deals"},AF21)))&gt;0,SUMPRODUCT(--ISNUMBER(SEARCH({"descuento","oferta","ahorr","precio"," sale ","flash","deals"},AG21)))&gt;0),"Sí","No")</f>
        <v>Sí</v>
      </c>
      <c r="AJ21" s="102" t="str">
        <f>IF(SUMPRODUCT(--ISNUMBER(SEARCH({" hoy ","horas","tiempo limitado","antes de que","se acab","se agot","finalic","última oportunidad","oportunidad única","relámpago","express","no esperes","no volver","no parpadees"},AF21)))&gt;0,"Sí","No")</f>
        <v>Sí</v>
      </c>
      <c r="AK21" s="102" t="str">
        <f>IF(SUMPRODUCT(--ISNUMBER(SEARCH({" hoy ","horas","tiempo limitado","antes de que","se acab","se agot","finalic","última oportunidad","oportunidad única","relámpago","express","no esperes","no volver","no parpadees"},AG21)))&gt;0,"Sí","No")</f>
        <v>No</v>
      </c>
      <c r="AL21" s="102" t="str">
        <f t="shared" si="19"/>
        <v>Descuento con tiempo límite en el asunto</v>
      </c>
      <c r="AM21" s="102" t="str">
        <f>IF(SUMPRODUCT(--ISNUMBER(SEARCH({"0","1","2","3","4","5","6","7","8","9","favorit","maquillaje","piel","cabello","productos","belleza","regalo"},E21)))&gt;0,"Sí","No")</f>
        <v>Sí</v>
      </c>
      <c r="AN21" s="102" t="str">
        <f>IF(SUMPRODUCT(--ISNUMBER(SEARCH({"lo que tenemos","estas ofertas","algo especial","ofertas únicas","que preparamos","no te quedes","echa un vistazo"},F21)))&gt;0,"Sí","No")</f>
        <v>No</v>
      </c>
      <c r="AO21" s="102">
        <f t="shared" si="20"/>
        <v>52</v>
      </c>
      <c r="AP21" s="102">
        <f t="shared" si="21"/>
        <v>9</v>
      </c>
      <c r="AQ21" s="102">
        <f>SUMPRODUCT(LEN(E21)-LEN(SUBSTITUTE(E21,{"!","¡","?","¿",":",",",".","%","·","-",";"},"")))</f>
        <v>3</v>
      </c>
      <c r="AR21" s="102" t="str">
        <f t="shared" si="22"/>
        <v>Sí</v>
      </c>
      <c r="AS21" s="102" t="str">
        <f t="shared" si="23"/>
        <v>No</v>
      </c>
      <c r="AT21" s="102" t="str">
        <f>IF(SUMPRODUCT(--ISNUMBER(FIND({"0","1","2","3","4","5","6","7","8","9"},E21)))&gt;0,"Con cifra concreta",IF(OR(ISNUMBER(FIND("?",E21)),ISNUMBER(FIND("¿",E21))),"Pregunta abierta",IF(SUMPRODUCT(--ISNUMBER(SEARCH({" hoy ","horas","tiempo limitado","antes de que","se acab","se agot","finalic","última oportunidad","oportunidad única","relámpago","express","no esperes","no volver","no parpadees"," ya ","últimas horas","últimas unidades"," ahora "},AF21)))&gt;0,"Solo urgencia, sin cifra",IF(SUMPRODUCT(--ISNUMBER(SEARCH({"recompensa","sorpresa","regalo","lealtad","detalle","gracias","pensamos en ti","para ti"},E21)))&gt;0,"Recompensa o sorpresa","Otro: beneficio o novedad"))))</f>
        <v>Solo urgencia, sin cifra</v>
      </c>
    </row>
    <row r="22" spans="1:46" x14ac:dyDescent="0.2">
      <c r="A22" s="104" t="s">
        <v>754</v>
      </c>
      <c r="B22" s="104" t="s">
        <v>276</v>
      </c>
      <c r="C22" s="104" t="s">
        <v>755</v>
      </c>
      <c r="D22" s="104" t="s">
        <v>756</v>
      </c>
      <c r="E22" s="104" t="s">
        <v>757</v>
      </c>
      <c r="F22" s="104" t="s">
        <v>758</v>
      </c>
      <c r="G22" s="105">
        <v>386981</v>
      </c>
      <c r="H22" s="105">
        <v>112224</v>
      </c>
      <c r="I22" s="105">
        <v>32630</v>
      </c>
      <c r="J22" s="106">
        <v>6.54</v>
      </c>
      <c r="K22" s="106">
        <v>2.83</v>
      </c>
      <c r="L22" s="107">
        <v>54788.94</v>
      </c>
      <c r="M22" s="108">
        <f t="shared" si="0"/>
        <v>28.999873378796376</v>
      </c>
      <c r="N22" s="108">
        <f t="shared" si="1"/>
        <v>8.4319385189453744</v>
      </c>
      <c r="O22" s="108">
        <f t="shared" si="2"/>
        <v>29.075777017393783</v>
      </c>
      <c r="P22" s="108">
        <f t="shared" si="3"/>
        <v>141.58043934973551</v>
      </c>
      <c r="Q22" s="108">
        <f t="shared" si="4"/>
        <v>28.999873378796376</v>
      </c>
      <c r="R22" s="108">
        <f t="shared" si="5"/>
        <v>29.440902453236173</v>
      </c>
      <c r="S22" s="101">
        <f t="shared" si="6"/>
        <v>45938</v>
      </c>
      <c r="T22" s="102" t="str">
        <f t="shared" si="7"/>
        <v>Octubre</v>
      </c>
      <c r="U22" s="102" t="str">
        <f t="shared" si="8"/>
        <v>Miércoles</v>
      </c>
      <c r="V22" s="102">
        <f t="shared" si="9"/>
        <v>12</v>
      </c>
      <c r="W22" s="102" t="str">
        <f t="shared" si="10"/>
        <v>Resto del mes</v>
      </c>
      <c r="X22" s="102">
        <f t="shared" si="11"/>
        <v>1</v>
      </c>
      <c r="Y22" s="102" t="str">
        <f t="shared" si="12"/>
        <v>No</v>
      </c>
      <c r="Z22" s="102" t="str">
        <f>CHOOSE(MATCH(B22,{"Customer Appreciation","Exclusive Offers","Flash Sale","Holiday Discounts","New Product Launch","Newsletter"},0),"Fidelizar","Vender","Vender","Vender","Lanzar","Educar")</f>
        <v>Vender</v>
      </c>
      <c r="AA22" s="102" t="str">
        <f t="shared" si="13"/>
        <v>300 a 400 mil</v>
      </c>
      <c r="AB22" s="102">
        <f>COUNTIFS($E$5:$E$493,E22,$S$5:$S$493,"&lt;"&amp;S22)+COUNTIFS($E$5:E22,E22,$S$5:S22,S22)</f>
        <v>1</v>
      </c>
      <c r="AC22" s="102">
        <f t="shared" si="14"/>
        <v>1</v>
      </c>
      <c r="AD22" s="102" t="str">
        <f t="shared" si="15"/>
        <v/>
      </c>
      <c r="AE22" s="103">
        <f t="shared" si="16"/>
        <v>0</v>
      </c>
      <c r="AF22" s="102" t="str">
        <f t="shared" si="17"/>
        <v xml:space="preserve"> 🔥 hot sale anticipado   precios de locura en maquillaje y más  </v>
      </c>
      <c r="AG22" s="102" t="str">
        <f t="shared" si="18"/>
        <v xml:space="preserve"> consigue tus productos soñados con descuentos exclusivos   entra ya  </v>
      </c>
      <c r="AH22" s="102" t="str">
        <f>IF(SUMPRODUCT(--(LEFT(IF(LEFT(LOWER(E22),1)="¡",MID(LOWER(E22),2,300),LOWER(E22)),LEN({"actualizaci","el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22" s="102" t="str">
        <f>IF(OR(SUMPRODUCT(--ISNUMBER(SEARCH({"descuento","oferta","ahorr","precio"," sale ","flash","deals"},AF22)))&gt;0,SUMPRODUCT(--ISNUMBER(SEARCH({"descuento","oferta","ahorr","precio"," sale ","flash","deals"},AG22)))&gt;0),"Sí","No")</f>
        <v>Sí</v>
      </c>
      <c r="AJ22" s="102" t="str">
        <f>IF(SUMPRODUCT(--ISNUMBER(SEARCH({" hoy ","horas","tiempo limitado","antes de que","se acab","se agot","finalic","última oportunidad","oportunidad única","relámpago","express","no esperes","no volver","no parpadees"},AF22)))&gt;0,"Sí","No")</f>
        <v>No</v>
      </c>
      <c r="AK22" s="102" t="str">
        <f>IF(SUMPRODUCT(--ISNUMBER(SEARCH({" hoy ","horas","tiempo limitado","antes de que","se acab","se agot","finalic","última oportunidad","oportunidad única","relámpago","express","no esperes","no volver","no parpadees"},AG22)))&gt;0,"Sí","No")</f>
        <v>No</v>
      </c>
      <c r="AL22" s="102" t="str">
        <f t="shared" si="19"/>
        <v>Descuento sin tiempo límite</v>
      </c>
      <c r="AM22" s="102" t="str">
        <f>IF(SUMPRODUCT(--ISNUMBER(SEARCH({"0","1","2","3","4","5","6","7","8","9","favorit","maquillaje","piel","cabello","productos","belleza","regalo"},E22)))&gt;0,"Sí","No")</f>
        <v>Sí</v>
      </c>
      <c r="AN22" s="102" t="str">
        <f>IF(SUMPRODUCT(--ISNUMBER(SEARCH({"lo que tenemos","estas ofertas","algo especial","ofertas únicas","que preparamos","no te quedes","echa un vistazo"},F22)))&gt;0,"Sí","No")</f>
        <v>No</v>
      </c>
      <c r="AO22" s="102">
        <f t="shared" si="20"/>
        <v>62</v>
      </c>
      <c r="AP22" s="102">
        <f t="shared" si="21"/>
        <v>11</v>
      </c>
      <c r="AQ22" s="102">
        <f>SUMPRODUCT(LEN(E22)-LEN(SUBSTITUTE(E22,{"!","¡","?","¿",":",",",".","%","·","-",";"},"")))</f>
        <v>3</v>
      </c>
      <c r="AR22" s="102" t="str">
        <f t="shared" si="22"/>
        <v>No</v>
      </c>
      <c r="AS22" s="102" t="str">
        <f t="shared" si="23"/>
        <v>Sí</v>
      </c>
      <c r="AT22" s="102" t="str">
        <f>IF(SUMPRODUCT(--ISNUMBER(FIND({"0","1","2","3","4","5","6","7","8","9"},E22)))&gt;0,"Con cifra concreta",IF(OR(ISNUMBER(FIND("?",E22)),ISNUMBER(FIND("¿",E22))),"Pregunta abierta",IF(SUMPRODUCT(--ISNUMBER(SEARCH({" hoy ","horas","tiempo limitado","antes de que","se acab","se agot","finalic","última oportunidad","oportunidad única","relámpago","express","no esperes","no volver","no parpadees"," ya ","últimas horas","últimas unidades"," ahora "},AF22)))&gt;0,"Solo urgencia, sin cifra",IF(SUMPRODUCT(--ISNUMBER(SEARCH({"recompensa","sorpresa","regalo","lealtad","detalle","gracias","pensamos en ti","para ti"},E22)))&gt;0,"Recompensa o sorpresa","Otro: beneficio o novedad"))))</f>
        <v>Otro: beneficio o novedad</v>
      </c>
    </row>
    <row r="23" spans="1:46" x14ac:dyDescent="0.2">
      <c r="A23" s="96" t="s">
        <v>759</v>
      </c>
      <c r="B23" s="96" t="s">
        <v>277</v>
      </c>
      <c r="C23" s="96" t="s">
        <v>760</v>
      </c>
      <c r="D23" s="96" t="s">
        <v>761</v>
      </c>
      <c r="E23" s="96" t="s">
        <v>469</v>
      </c>
      <c r="F23" s="96" t="s">
        <v>470</v>
      </c>
      <c r="G23" s="97">
        <v>4682</v>
      </c>
      <c r="H23" s="97">
        <v>822</v>
      </c>
      <c r="I23" s="97">
        <v>254</v>
      </c>
      <c r="J23" s="98">
        <v>2.73</v>
      </c>
      <c r="K23" s="98">
        <v>3.38</v>
      </c>
      <c r="L23" s="99">
        <v>21469.34</v>
      </c>
      <c r="M23" s="100">
        <f t="shared" si="0"/>
        <v>17.556599743699273</v>
      </c>
      <c r="N23" s="100">
        <f t="shared" si="1"/>
        <v>5.425032037590773</v>
      </c>
      <c r="O23" s="100">
        <f t="shared" si="2"/>
        <v>30.900243309002434</v>
      </c>
      <c r="P23" s="100">
        <f t="shared" si="3"/>
        <v>4585.5061939342158</v>
      </c>
      <c r="Q23" s="100">
        <f t="shared" si="4"/>
        <v>29.233022524783024</v>
      </c>
      <c r="R23" s="100">
        <f t="shared" si="5"/>
        <v>30.71114383300629</v>
      </c>
      <c r="S23" s="101">
        <f t="shared" si="6"/>
        <v>45929</v>
      </c>
      <c r="T23" s="102" t="str">
        <f t="shared" si="7"/>
        <v>Septiembre</v>
      </c>
      <c r="U23" s="102" t="str">
        <f t="shared" si="8"/>
        <v>Lunes</v>
      </c>
      <c r="V23" s="102">
        <f t="shared" si="9"/>
        <v>10</v>
      </c>
      <c r="W23" s="102" t="str">
        <f t="shared" si="10"/>
        <v>Quincena</v>
      </c>
      <c r="X23" s="102">
        <f t="shared" si="11"/>
        <v>1</v>
      </c>
      <c r="Y23" s="102" t="str">
        <f t="shared" si="12"/>
        <v>No</v>
      </c>
      <c r="Z23" s="102" t="str">
        <f>CHOOSE(MATCH(B23,{"Customer Appreciation","Exclusive Offers","Flash Sale","Holiday Discounts","New Product Launch","Newsletter"},0),"Fidelizar","Vender","Vender","Vender","Lanzar","Educar")</f>
        <v>Vender</v>
      </c>
      <c r="AA23" s="102" t="str">
        <f t="shared" si="13"/>
        <v>Menos de 100 mil</v>
      </c>
      <c r="AB23" s="102">
        <f>COUNTIFS($E$5:$E$493,E23,$S$5:$S$493,"&lt;"&amp;S23)+COUNTIFS($E$5:E23,E23,$S$5:S23,S23)</f>
        <v>11</v>
      </c>
      <c r="AC23" s="102">
        <f t="shared" si="14"/>
        <v>20</v>
      </c>
      <c r="AD23" s="102" t="str">
        <f t="shared" si="15"/>
        <v>Medio</v>
      </c>
      <c r="AE23" s="103">
        <f t="shared" si="16"/>
        <v>-11.676422781083751</v>
      </c>
      <c r="AF23" s="102" t="str">
        <f t="shared" si="17"/>
        <v xml:space="preserve">  celebra con nosotros  descuentos festivos para regalar </v>
      </c>
      <c r="AG23" s="102" t="str">
        <f t="shared" si="18"/>
        <v xml:space="preserve"> regalos perfectos y ofertas que te encantarán   descubre más  </v>
      </c>
      <c r="AH23" s="102" t="str">
        <f>IF(SUMPRODUCT(--(LEFT(IF(LEFT(LOWER(E23),1)="¡",MID(LOWER(E23),2,300),LOWER(E23)),LEN({"actualizaci","el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23" s="102" t="str">
        <f>IF(OR(SUMPRODUCT(--ISNUMBER(SEARCH({"descuento","oferta","ahorr","precio"," sale ","flash","deals"},AF23)))&gt;0,SUMPRODUCT(--ISNUMBER(SEARCH({"descuento","oferta","ahorr","precio"," sale ","flash","deals"},AG23)))&gt;0),"Sí","No")</f>
        <v>Sí</v>
      </c>
      <c r="AJ23" s="102" t="str">
        <f>IF(SUMPRODUCT(--ISNUMBER(SEARCH({" hoy ","horas","tiempo limitado","antes de que","se acab","se agot","finalic","última oportunidad","oportunidad única","relámpago","express","no esperes","no volver","no parpadees"},AF23)))&gt;0,"Sí","No")</f>
        <v>No</v>
      </c>
      <c r="AK23" s="102" t="str">
        <f>IF(SUMPRODUCT(--ISNUMBER(SEARCH({" hoy ","horas","tiempo limitado","antes de que","se acab","se agot","finalic","última oportunidad","oportunidad única","relámpago","express","no esperes","no volver","no parpadees"},AG23)))&gt;0,"Sí","No")</f>
        <v>No</v>
      </c>
      <c r="AL23" s="102" t="str">
        <f t="shared" si="19"/>
        <v>Descuento sin tiempo límite</v>
      </c>
      <c r="AM23" s="102" t="str">
        <f>IF(SUMPRODUCT(--ISNUMBER(SEARCH({"0","1","2","3","4","5","6","7","8","9","favorit","maquillaje","piel","cabello","productos","belleza","regalo"},E23)))&gt;0,"Sí","No")</f>
        <v>No</v>
      </c>
      <c r="AN23" s="102" t="str">
        <f>IF(SUMPRODUCT(--ISNUMBER(SEARCH({"lo que tenemos","estas ofertas","algo especial","ofertas únicas","que preparamos","no te quedes","echa un vistazo"},F23)))&gt;0,"Sí","No")</f>
        <v>No</v>
      </c>
      <c r="AO23" s="102">
        <f t="shared" si="20"/>
        <v>55</v>
      </c>
      <c r="AP23" s="102">
        <f t="shared" si="21"/>
        <v>7</v>
      </c>
      <c r="AQ23" s="102">
        <f>SUMPRODUCT(LEN(E23)-LEN(SUBSTITUTE(E23,{"!","¡","?","¿",":",",",".","%","·","-",";"},"")))</f>
        <v>2</v>
      </c>
      <c r="AR23" s="102" t="str">
        <f t="shared" si="22"/>
        <v>Sí</v>
      </c>
      <c r="AS23" s="102" t="str">
        <f t="shared" si="23"/>
        <v>No</v>
      </c>
      <c r="AT23" s="102" t="str">
        <f>IF(SUMPRODUCT(--ISNUMBER(FIND({"0","1","2","3","4","5","6","7","8","9"},E23)))&gt;0,"Con cifra concreta",IF(OR(ISNUMBER(FIND("?",E23)),ISNUMBER(FIND("¿",E23))),"Pregunta abierta",IF(SUMPRODUCT(--ISNUMBER(SEARCH({" hoy ","horas","tiempo limitado","antes de que","se acab","se agot","finalic","última oportunidad","oportunidad única","relámpago","express","no esperes","no volver","no parpadees"," ya ","últimas horas","últimas unidades"," ahora "},AF23)))&gt;0,"Solo urgencia, sin cifra",IF(SUMPRODUCT(--ISNUMBER(SEARCH({"recompensa","sorpresa","regalo","lealtad","detalle","gracias","pensamos en ti","para ti"},E23)))&gt;0,"Recompensa o sorpresa","Otro: beneficio o novedad"))))</f>
        <v>Otro: beneficio o novedad</v>
      </c>
    </row>
    <row r="24" spans="1:46" x14ac:dyDescent="0.2">
      <c r="A24" s="104" t="s">
        <v>762</v>
      </c>
      <c r="B24" s="104" t="s">
        <v>275</v>
      </c>
      <c r="C24" s="104" t="s">
        <v>763</v>
      </c>
      <c r="D24" s="104" t="s">
        <v>764</v>
      </c>
      <c r="E24" s="104" t="s">
        <v>765</v>
      </c>
      <c r="F24" s="104" t="s">
        <v>766</v>
      </c>
      <c r="G24" s="105">
        <v>40518</v>
      </c>
      <c r="H24" s="105">
        <v>14609</v>
      </c>
      <c r="I24" s="105">
        <v>5284</v>
      </c>
      <c r="J24" s="106">
        <v>7.02</v>
      </c>
      <c r="K24" s="106">
        <v>4.58</v>
      </c>
      <c r="L24" s="107">
        <v>7323.9</v>
      </c>
      <c r="M24" s="108">
        <f t="shared" si="0"/>
        <v>36.055580235944518</v>
      </c>
      <c r="N24" s="108">
        <f t="shared" si="1"/>
        <v>13.041117528012242</v>
      </c>
      <c r="O24" s="108">
        <f t="shared" si="2"/>
        <v>36.16948456430967</v>
      </c>
      <c r="P24" s="108">
        <f t="shared" si="3"/>
        <v>180.75670072560342</v>
      </c>
      <c r="Q24" s="108">
        <f t="shared" si="4"/>
        <v>36.055580235944518</v>
      </c>
      <c r="R24" s="108">
        <f t="shared" si="5"/>
        <v>27.021447627328243</v>
      </c>
      <c r="S24" s="101">
        <f t="shared" si="6"/>
        <v>45891</v>
      </c>
      <c r="T24" s="102" t="str">
        <f t="shared" si="7"/>
        <v>Agosto</v>
      </c>
      <c r="U24" s="102" t="str">
        <f t="shared" si="8"/>
        <v>Viernes</v>
      </c>
      <c r="V24" s="102">
        <f t="shared" si="9"/>
        <v>15</v>
      </c>
      <c r="W24" s="102" t="str">
        <f t="shared" si="10"/>
        <v>Resto del mes</v>
      </c>
      <c r="X24" s="102">
        <f t="shared" si="11"/>
        <v>2</v>
      </c>
      <c r="Y24" s="102" t="str">
        <f t="shared" si="12"/>
        <v>No</v>
      </c>
      <c r="Z24" s="102" t="str">
        <f>CHOOSE(MATCH(B24,{"Customer Appreciation","Exclusive Offers","Flash Sale","Holiday Discounts","New Product Launch","Newsletter"},0),"Fidelizar","Vender","Vender","Vender","Lanzar","Educar")</f>
        <v>Vender</v>
      </c>
      <c r="AA24" s="102" t="str">
        <f t="shared" si="13"/>
        <v>Menos de 100 mil</v>
      </c>
      <c r="AB24" s="102">
        <f>COUNTIFS($E$5:$E$493,E24,$S$5:$S$493,"&lt;"&amp;S24)+COUNTIFS($E$5:E24,E24,$S$5:S24,S24)</f>
        <v>1</v>
      </c>
      <c r="AC24" s="102">
        <f t="shared" si="14"/>
        <v>1</v>
      </c>
      <c r="AD24" s="102" t="str">
        <f t="shared" si="15"/>
        <v/>
      </c>
      <c r="AE24" s="103">
        <f t="shared" si="16"/>
        <v>0</v>
      </c>
      <c r="AF24" s="102" t="str">
        <f t="shared" si="17"/>
        <v xml:space="preserve">  acceso vip a ofertas exclusivas  solo para ti </v>
      </c>
      <c r="AG24" s="102" t="str">
        <f t="shared" si="18"/>
        <v xml:space="preserve"> no dejes pasar esta oportunidad única de ahorrar   aprovecha ya  </v>
      </c>
      <c r="AH24" s="102" t="str">
        <f>IF(SUMPRODUCT(--(LEFT(IF(LEFT(LOWER(E24),1)="¡",MID(LOWER(E24),2,300),LOWER(E24)),LEN({"actualizaci","el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24" s="102" t="str">
        <f>IF(OR(SUMPRODUCT(--ISNUMBER(SEARCH({"descuento","oferta","ahorr","precio"," sale ","flash","deals"},AF24)))&gt;0,SUMPRODUCT(--ISNUMBER(SEARCH({"descuento","oferta","ahorr","precio"," sale ","flash","deals"},AG24)))&gt;0),"Sí","No")</f>
        <v>Sí</v>
      </c>
      <c r="AJ24" s="102" t="str">
        <f>IF(SUMPRODUCT(--ISNUMBER(SEARCH({" hoy ","horas","tiempo limitado","antes de que","se acab","se agot","finalic","última oportunidad","oportunidad única","relámpago","express","no esperes","no volver","no parpadees"},AF24)))&gt;0,"Sí","No")</f>
        <v>No</v>
      </c>
      <c r="AK24" s="102" t="str">
        <f>IF(SUMPRODUCT(--ISNUMBER(SEARCH({" hoy ","horas","tiempo limitado","antes de que","se acab","se agot","finalic","última oportunidad","oportunidad única","relámpago","express","no esperes","no volver","no parpadees"},AG24)))&gt;0,"Sí","No")</f>
        <v>Sí</v>
      </c>
      <c r="AL24" s="102" t="str">
        <f t="shared" si="19"/>
        <v>Descuento con tiempo límite solo en el preheader</v>
      </c>
      <c r="AM24" s="102" t="str">
        <f>IF(SUMPRODUCT(--ISNUMBER(SEARCH({"0","1","2","3","4","5","6","7","8","9","favorit","maquillaje","piel","cabello","productos","belleza","regalo"},E24)))&gt;0,"Sí","No")</f>
        <v>No</v>
      </c>
      <c r="AN24" s="102" t="str">
        <f>IF(SUMPRODUCT(--ISNUMBER(SEARCH({"lo que tenemos","estas ofertas","algo especial","ofertas únicas","que preparamos","no te quedes","echa un vistazo"},F24)))&gt;0,"Sí","No")</f>
        <v>No</v>
      </c>
      <c r="AO24" s="102">
        <f t="shared" si="20"/>
        <v>46</v>
      </c>
      <c r="AP24" s="102">
        <f t="shared" si="21"/>
        <v>8</v>
      </c>
      <c r="AQ24" s="102">
        <f>SUMPRODUCT(LEN(E24)-LEN(SUBSTITUTE(E24,{"!","¡","?","¿",":",",",".","%","·","-",";"},"")))</f>
        <v>2</v>
      </c>
      <c r="AR24" s="102" t="str">
        <f t="shared" si="22"/>
        <v>Sí</v>
      </c>
      <c r="AS24" s="102" t="str">
        <f t="shared" si="23"/>
        <v>No</v>
      </c>
      <c r="AT24" s="102" t="str">
        <f>IF(SUMPRODUCT(--ISNUMBER(FIND({"0","1","2","3","4","5","6","7","8","9"},E24)))&gt;0,"Con cifra concreta",IF(OR(ISNUMBER(FIND("?",E24)),ISNUMBER(FIND("¿",E24))),"Pregunta abierta",IF(SUMPRODUCT(--ISNUMBER(SEARCH({" hoy ","horas","tiempo limitado","antes de que","se acab","se agot","finalic","última oportunidad","oportunidad única","relámpago","express","no esperes","no volver","no parpadees"," ya ","últimas horas","últimas unidades"," ahora "},AF24)))&gt;0,"Solo urgencia, sin cifra",IF(SUMPRODUCT(--ISNUMBER(SEARCH({"recompensa","sorpresa","regalo","lealtad","detalle","gracias","pensamos en ti","para ti"},E24)))&gt;0,"Recompensa o sorpresa","Otro: beneficio o novedad"))))</f>
        <v>Recompensa o sorpresa</v>
      </c>
    </row>
    <row r="25" spans="1:46" x14ac:dyDescent="0.2">
      <c r="A25" s="96" t="s">
        <v>767</v>
      </c>
      <c r="B25" s="96" t="s">
        <v>275</v>
      </c>
      <c r="C25" s="96" t="s">
        <v>768</v>
      </c>
      <c r="D25" s="96" t="s">
        <v>769</v>
      </c>
      <c r="E25" s="96" t="s">
        <v>770</v>
      </c>
      <c r="F25" s="96" t="s">
        <v>771</v>
      </c>
      <c r="G25" s="97">
        <v>206739</v>
      </c>
      <c r="H25" s="97">
        <v>62896</v>
      </c>
      <c r="I25" s="97">
        <v>16599</v>
      </c>
      <c r="J25" s="98">
        <v>1.6</v>
      </c>
      <c r="K25" s="98">
        <v>0.82</v>
      </c>
      <c r="L25" s="99">
        <v>73501.820000000007</v>
      </c>
      <c r="M25" s="100">
        <f t="shared" si="0"/>
        <v>30.422900371966588</v>
      </c>
      <c r="N25" s="100">
        <f t="shared" si="1"/>
        <v>8.028964056128741</v>
      </c>
      <c r="O25" s="100">
        <f t="shared" si="2"/>
        <v>26.39118544899517</v>
      </c>
      <c r="P25" s="100">
        <f t="shared" si="3"/>
        <v>355.52953240559356</v>
      </c>
      <c r="Q25" s="100">
        <f t="shared" si="4"/>
        <v>29.492294044668999</v>
      </c>
      <c r="R25" s="100">
        <f t="shared" si="5"/>
        <v>27.021447627328243</v>
      </c>
      <c r="S25" s="101">
        <f t="shared" si="6"/>
        <v>45942</v>
      </c>
      <c r="T25" s="102" t="str">
        <f t="shared" si="7"/>
        <v>Octubre</v>
      </c>
      <c r="U25" s="102" t="str">
        <f t="shared" si="8"/>
        <v>Domingo</v>
      </c>
      <c r="V25" s="102">
        <f t="shared" si="9"/>
        <v>13</v>
      </c>
      <c r="W25" s="102" t="str">
        <f t="shared" si="10"/>
        <v>Resto del mes</v>
      </c>
      <c r="X25" s="102">
        <f t="shared" si="11"/>
        <v>1</v>
      </c>
      <c r="Y25" s="102" t="str">
        <f t="shared" si="12"/>
        <v>No</v>
      </c>
      <c r="Z25" s="102" t="str">
        <f>CHOOSE(MATCH(B25,{"Customer Appreciation","Exclusive Offers","Flash Sale","Holiday Discounts","New Product Launch","Newsletter"},0),"Fidelizar","Vender","Vender","Vender","Lanzar","Educar")</f>
        <v>Vender</v>
      </c>
      <c r="AA25" s="102" t="str">
        <f t="shared" si="13"/>
        <v>200 a 300 mil</v>
      </c>
      <c r="AB25" s="102">
        <f>COUNTIFS($E$5:$E$493,E25,$S$5:$S$493,"&lt;"&amp;S25)+COUNTIFS($E$5:E25,E25,$S$5:S25,S25)</f>
        <v>2</v>
      </c>
      <c r="AC25" s="102">
        <f t="shared" si="14"/>
        <v>2</v>
      </c>
      <c r="AD25" s="102" t="str">
        <f t="shared" si="15"/>
        <v/>
      </c>
      <c r="AE25" s="103">
        <f t="shared" si="16"/>
        <v>0.93060632729758908</v>
      </c>
      <c r="AF25" s="102" t="str">
        <f t="shared" si="17"/>
        <v xml:space="preserve">  tu oportunidad de ahorro  ofertas especiales l'oréal </v>
      </c>
      <c r="AG25" s="102" t="str">
        <f t="shared" si="18"/>
        <v xml:space="preserve"> productos selectos con precios que te sorprenderán   entra y descubre  </v>
      </c>
      <c r="AH25" s="102" t="str">
        <f>IF(SUMPRODUCT(--(LEFT(IF(LEFT(LOWER(E25),1)="¡",MID(LOWER(E25),2,300),LOWER(E25)),LEN({"actualizaci","el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Sí</v>
      </c>
      <c r="AI25" s="102" t="str">
        <f>IF(OR(SUMPRODUCT(--ISNUMBER(SEARCH({"descuento","oferta","ahorr","precio"," sale ","flash","deals"},AF25)))&gt;0,SUMPRODUCT(--ISNUMBER(SEARCH({"descuento","oferta","ahorr","precio"," sale ","flash","deals"},AG25)))&gt;0),"Sí","No")</f>
        <v>Sí</v>
      </c>
      <c r="AJ25" s="102" t="str">
        <f>IF(SUMPRODUCT(--ISNUMBER(SEARCH({" hoy ","horas","tiempo limitado","antes de que","se acab","se agot","finalic","última oportunidad","oportunidad única","relámpago","express","no esperes","no volver","no parpadees"},AF25)))&gt;0,"Sí","No")</f>
        <v>No</v>
      </c>
      <c r="AK25" s="102" t="str">
        <f>IF(SUMPRODUCT(--ISNUMBER(SEARCH({" hoy ","horas","tiempo limitado","antes de que","se acab","se agot","finalic","última oportunidad","oportunidad única","relámpago","express","no esperes","no volver","no parpadees"},AG25)))&gt;0,"Sí","No")</f>
        <v>No</v>
      </c>
      <c r="AL25" s="102" t="str">
        <f t="shared" si="19"/>
        <v>Descuento sin tiempo límite</v>
      </c>
      <c r="AM25" s="102" t="str">
        <f>IF(SUMPRODUCT(--ISNUMBER(SEARCH({"0","1","2","3","4","5","6","7","8","9","favorit","maquillaje","piel","cabello","productos","belleza","regalo"},E25)))&gt;0,"Sí","No")</f>
        <v>No</v>
      </c>
      <c r="AN25" s="102" t="str">
        <f>IF(SUMPRODUCT(--ISNUMBER(SEARCH({"lo que tenemos","estas ofertas","algo especial","ofertas únicas","que preparamos","no te quedes","echa un vistazo"},F25)))&gt;0,"Sí","No")</f>
        <v>No</v>
      </c>
      <c r="AO25" s="102">
        <f t="shared" si="20"/>
        <v>53</v>
      </c>
      <c r="AP25" s="102">
        <f t="shared" si="21"/>
        <v>7</v>
      </c>
      <c r="AQ25" s="102">
        <f>SUMPRODUCT(LEN(E25)-LEN(SUBSTITUTE(E25,{"!","¡","?","¿",":",",",".","%","·","-",";"},"")))</f>
        <v>2</v>
      </c>
      <c r="AR25" s="102" t="str">
        <f t="shared" si="22"/>
        <v>Sí</v>
      </c>
      <c r="AS25" s="102" t="str">
        <f t="shared" si="23"/>
        <v>No</v>
      </c>
      <c r="AT25" s="102" t="str">
        <f>IF(SUMPRODUCT(--ISNUMBER(FIND({"0","1","2","3","4","5","6","7","8","9"},E25)))&gt;0,"Con cifra concreta",IF(OR(ISNUMBER(FIND("?",E25)),ISNUMBER(FIND("¿",E25))),"Pregunta abierta",IF(SUMPRODUCT(--ISNUMBER(SEARCH({" hoy ","horas","tiempo limitado","antes de que","se acab","se agot","finalic","última oportunidad","oportunidad única","relámpago","express","no esperes","no volver","no parpadees"," ya ","últimas horas","últimas unidades"," ahora "},AF25)))&gt;0,"Solo urgencia, sin cifra",IF(SUMPRODUCT(--ISNUMBER(SEARCH({"recompensa","sorpresa","regalo","lealtad","detalle","gracias","pensamos en ti","para ti"},E25)))&gt;0,"Recompensa o sorpresa","Otro: beneficio o novedad"))))</f>
        <v>Otro: beneficio o novedad</v>
      </c>
    </row>
    <row r="26" spans="1:46" x14ac:dyDescent="0.2">
      <c r="A26" s="104" t="s">
        <v>772</v>
      </c>
      <c r="B26" s="104" t="s">
        <v>278</v>
      </c>
      <c r="C26" s="104" t="s">
        <v>773</v>
      </c>
      <c r="D26" s="104" t="s">
        <v>774</v>
      </c>
      <c r="E26" s="104" t="s">
        <v>467</v>
      </c>
      <c r="F26" s="104" t="s">
        <v>468</v>
      </c>
      <c r="G26" s="105">
        <v>129403</v>
      </c>
      <c r="H26" s="105">
        <v>40863</v>
      </c>
      <c r="I26" s="105">
        <v>24598</v>
      </c>
      <c r="J26" s="106">
        <v>6.39</v>
      </c>
      <c r="K26" s="106">
        <v>4.38</v>
      </c>
      <c r="L26" s="107">
        <v>71686.22</v>
      </c>
      <c r="M26" s="108">
        <f t="shared" si="0"/>
        <v>31.578093243587862</v>
      </c>
      <c r="N26" s="108">
        <f t="shared" si="1"/>
        <v>19.008832870953533</v>
      </c>
      <c r="O26" s="108">
        <f t="shared" si="2"/>
        <v>60.196265570320342</v>
      </c>
      <c r="P26" s="108">
        <f t="shared" si="3"/>
        <v>553.97649204423396</v>
      </c>
      <c r="Q26" s="108">
        <f t="shared" si="4"/>
        <v>30.93688234168668</v>
      </c>
      <c r="R26" s="108">
        <f t="shared" si="5"/>
        <v>29.458247936272421</v>
      </c>
      <c r="S26" s="101">
        <f t="shared" si="6"/>
        <v>45909</v>
      </c>
      <c r="T26" s="102" t="str">
        <f t="shared" si="7"/>
        <v>Septiembre</v>
      </c>
      <c r="U26" s="102" t="str">
        <f t="shared" si="8"/>
        <v>Martes</v>
      </c>
      <c r="V26" s="102">
        <f t="shared" si="9"/>
        <v>11</v>
      </c>
      <c r="W26" s="102" t="str">
        <f t="shared" si="10"/>
        <v>Resto del mes</v>
      </c>
      <c r="X26" s="102">
        <f t="shared" si="11"/>
        <v>28</v>
      </c>
      <c r="Y26" s="102" t="str">
        <f t="shared" si="12"/>
        <v>Sí</v>
      </c>
      <c r="Z26" s="102" t="str">
        <f>CHOOSE(MATCH(B26,{"Customer Appreciation","Exclusive Offers","Flash Sale","Holiday Discounts","New Product Launch","Newsletter"},0),"Fidelizar","Vender","Vender","Vender","Lanzar","Educar")</f>
        <v>Lanzar</v>
      </c>
      <c r="AA26" s="102" t="str">
        <f t="shared" si="13"/>
        <v>100 a 200 mil</v>
      </c>
      <c r="AB26" s="102">
        <f>COUNTIFS($E$5:$E$493,E26,$S$5:$S$493,"&lt;"&amp;S26)+COUNTIFS($E$5:E26,E26,$S$5:S26,S26)</f>
        <v>12</v>
      </c>
      <c r="AC26" s="102">
        <f t="shared" si="14"/>
        <v>22</v>
      </c>
      <c r="AD26" s="102" t="str">
        <f t="shared" si="15"/>
        <v>Medio</v>
      </c>
      <c r="AE26" s="103">
        <f t="shared" si="16"/>
        <v>0.64121090190118224</v>
      </c>
      <c r="AF26" s="102" t="str">
        <f t="shared" si="17"/>
        <v xml:space="preserve">  lo nuevo de l'oréal  te va a encantar  innovación en belleza </v>
      </c>
      <c r="AG26" s="102" t="str">
        <f t="shared" si="18"/>
        <v xml:space="preserve"> prepárate para experimentar la innovación en tu belleza   descúbrela  </v>
      </c>
      <c r="AH26" s="102" t="str">
        <f>IF(SUMPRODUCT(--(LEFT(IF(LEFT(LOWER(E26),1)="¡",MID(LOWER(E26),2,300),LOWER(E26)),LEN({"actualizaci","el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26" s="102" t="str">
        <f>IF(OR(SUMPRODUCT(--ISNUMBER(SEARCH({"descuento","oferta","ahorr","precio"," sale ","flash","deals"},AF26)))&gt;0,SUMPRODUCT(--ISNUMBER(SEARCH({"descuento","oferta","ahorr","precio"," sale ","flash","deals"},AG26)))&gt;0),"Sí","No")</f>
        <v>No</v>
      </c>
      <c r="AJ26" s="102" t="str">
        <f>IF(SUMPRODUCT(--ISNUMBER(SEARCH({" hoy ","horas","tiempo limitado","antes de que","se acab","se agot","finalic","última oportunidad","oportunidad única","relámpago","express","no esperes","no volver","no parpadees"},AF26)))&gt;0,"Sí","No")</f>
        <v>No</v>
      </c>
      <c r="AK26" s="102" t="str">
        <f>IF(SUMPRODUCT(--ISNUMBER(SEARCH({" hoy ","horas","tiempo limitado","antes de que","se acab","se agot","finalic","última oportunidad","oportunidad única","relámpago","express","no esperes","no volver","no parpadees"},AG26)))&gt;0,"Sí","No")</f>
        <v>No</v>
      </c>
      <c r="AL26" s="102" t="str">
        <f t="shared" si="19"/>
        <v>Sin descuento</v>
      </c>
      <c r="AM26" s="102" t="str">
        <f>IF(SUMPRODUCT(--ISNUMBER(SEARCH({"0","1","2","3","4","5","6","7","8","9","favorit","maquillaje","piel","cabello","productos","belleza","regalo"},E26)))&gt;0,"Sí","No")</f>
        <v>Sí</v>
      </c>
      <c r="AN26" s="102" t="str">
        <f>IF(SUMPRODUCT(--ISNUMBER(SEARCH({"lo que tenemos","estas ofertas","algo especial","ofertas únicas","que preparamos","no te quedes","echa un vistazo"},F26)))&gt;0,"Sí","No")</f>
        <v>No</v>
      </c>
      <c r="AO26" s="102">
        <f t="shared" si="20"/>
        <v>61</v>
      </c>
      <c r="AP26" s="102">
        <f t="shared" si="21"/>
        <v>11</v>
      </c>
      <c r="AQ26" s="102">
        <f>SUMPRODUCT(LEN(E26)-LEN(SUBSTITUTE(E26,{"!","¡","?","¿",":",",",".","%","·","-",";"},"")))</f>
        <v>3</v>
      </c>
      <c r="AR26" s="102" t="str">
        <f t="shared" si="22"/>
        <v>No</v>
      </c>
      <c r="AS26" s="102" t="str">
        <f t="shared" si="23"/>
        <v>No</v>
      </c>
      <c r="AT26" s="102" t="str">
        <f>IF(SUMPRODUCT(--ISNUMBER(FIND({"0","1","2","3","4","5","6","7","8","9"},E26)))&gt;0,"Con cifra concreta",IF(OR(ISNUMBER(FIND("?",E26)),ISNUMBER(FIND("¿",E26))),"Pregunta abierta",IF(SUMPRODUCT(--ISNUMBER(SEARCH({" hoy ","horas","tiempo limitado","antes de que","se acab","se agot","finalic","última oportunidad","oportunidad única","relámpago","express","no esperes","no volver","no parpadees"," ya ","últimas horas","últimas unidades"," ahora "},AF26)))&gt;0,"Solo urgencia, sin cifra",IF(SUMPRODUCT(--ISNUMBER(SEARCH({"recompensa","sorpresa","regalo","lealtad","detalle","gracias","pensamos en ti","para ti"},E26)))&gt;0,"Recompensa o sorpresa","Otro: beneficio o novedad"))))</f>
        <v>Otro: beneficio o novedad</v>
      </c>
    </row>
    <row r="27" spans="1:46" x14ac:dyDescent="0.2">
      <c r="A27" s="96" t="s">
        <v>775</v>
      </c>
      <c r="B27" s="96" t="s">
        <v>277</v>
      </c>
      <c r="C27" s="96" t="s">
        <v>776</v>
      </c>
      <c r="D27" s="96" t="s">
        <v>729</v>
      </c>
      <c r="E27" s="96" t="s">
        <v>777</v>
      </c>
      <c r="F27" s="96" t="s">
        <v>778</v>
      </c>
      <c r="G27" s="97">
        <v>12062</v>
      </c>
      <c r="H27" s="97">
        <v>5887</v>
      </c>
      <c r="I27" s="97">
        <v>1501</v>
      </c>
      <c r="J27" s="98">
        <v>4.2699999999999996</v>
      </c>
      <c r="K27" s="98">
        <v>4.57</v>
      </c>
      <c r="L27" s="99">
        <v>99555.03</v>
      </c>
      <c r="M27" s="100">
        <f t="shared" si="0"/>
        <v>48.806168131321506</v>
      </c>
      <c r="N27" s="100">
        <f t="shared" si="1"/>
        <v>12.444039131155696</v>
      </c>
      <c r="O27" s="100">
        <f t="shared" si="2"/>
        <v>25.496857482588752</v>
      </c>
      <c r="P27" s="100">
        <f t="shared" si="3"/>
        <v>8253.6088542530251</v>
      </c>
      <c r="Q27" s="100">
        <f t="shared" si="4"/>
        <v>48.806168131321506</v>
      </c>
      <c r="R27" s="100">
        <f t="shared" si="5"/>
        <v>30.71114383300629</v>
      </c>
      <c r="S27" s="101">
        <f t="shared" si="6"/>
        <v>45887</v>
      </c>
      <c r="T27" s="102" t="str">
        <f t="shared" si="7"/>
        <v>Agosto</v>
      </c>
      <c r="U27" s="102" t="str">
        <f t="shared" si="8"/>
        <v>Lunes</v>
      </c>
      <c r="V27" s="102">
        <f t="shared" si="9"/>
        <v>10</v>
      </c>
      <c r="W27" s="102" t="str">
        <f t="shared" si="10"/>
        <v>Días después del pago</v>
      </c>
      <c r="X27" s="102">
        <f t="shared" si="11"/>
        <v>1</v>
      </c>
      <c r="Y27" s="102" t="str">
        <f t="shared" si="12"/>
        <v>No</v>
      </c>
      <c r="Z27" s="102" t="str">
        <f>CHOOSE(MATCH(B27,{"Customer Appreciation","Exclusive Offers","Flash Sale","Holiday Discounts","New Product Launch","Newsletter"},0),"Fidelizar","Vender","Vender","Vender","Lanzar","Educar")</f>
        <v>Vender</v>
      </c>
      <c r="AA27" s="102" t="str">
        <f t="shared" si="13"/>
        <v>Menos de 100 mil</v>
      </c>
      <c r="AB27" s="102">
        <f>COUNTIFS($E$5:$E$493,E27,$S$5:$S$493,"&lt;"&amp;S27)+COUNTIFS($E$5:E27,E27,$S$5:S27,S27)</f>
        <v>1</v>
      </c>
      <c r="AC27" s="102">
        <f t="shared" si="14"/>
        <v>1</v>
      </c>
      <c r="AD27" s="102" t="str">
        <f t="shared" si="15"/>
        <v/>
      </c>
      <c r="AE27" s="103">
        <f t="shared" si="16"/>
        <v>0</v>
      </c>
      <c r="AF27" s="102" t="str">
        <f t="shared" si="17"/>
        <v xml:space="preserve">  descuentos festivos  consigue tus regalos  ahorra ahora </v>
      </c>
      <c r="AG27" s="102" t="str">
        <f t="shared" si="18"/>
        <v xml:space="preserve"> las mejores ofertas para celebrar la temporada   no te las pierdas  </v>
      </c>
      <c r="AH27" s="102" t="str">
        <f>IF(SUMPRODUCT(--(LEFT(IF(LEFT(LOWER(E27),1)="¡",MID(LOWER(E27),2,300),LOWER(E27)),LEN({"actualizaci","el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27" s="102" t="str">
        <f>IF(OR(SUMPRODUCT(--ISNUMBER(SEARCH({"descuento","oferta","ahorr","precio"," sale ","flash","deals"},AF27)))&gt;0,SUMPRODUCT(--ISNUMBER(SEARCH({"descuento","oferta","ahorr","precio"," sale ","flash","deals"},AG27)))&gt;0),"Sí","No")</f>
        <v>Sí</v>
      </c>
      <c r="AJ27" s="102" t="str">
        <f>IF(SUMPRODUCT(--ISNUMBER(SEARCH({" hoy ","horas","tiempo limitado","antes de que","se acab","se agot","finalic","última oportunidad","oportunidad única","relámpago","express","no esperes","no volver","no parpadees"},AF27)))&gt;0,"Sí","No")</f>
        <v>No</v>
      </c>
      <c r="AK27" s="102" t="str">
        <f>IF(SUMPRODUCT(--ISNUMBER(SEARCH({" hoy ","horas","tiempo limitado","antes de que","se acab","se agot","finalic","última oportunidad","oportunidad única","relámpago","express","no esperes","no volver","no parpadees"},AG27)))&gt;0,"Sí","No")</f>
        <v>No</v>
      </c>
      <c r="AL27" s="102" t="str">
        <f t="shared" si="19"/>
        <v>Descuento sin tiempo límite</v>
      </c>
      <c r="AM27" s="102" t="str">
        <f>IF(SUMPRODUCT(--ISNUMBER(SEARCH({"0","1","2","3","4","5","6","7","8","9","favorit","maquillaje","piel","cabello","productos","belleza","regalo"},E27)))&gt;0,"Sí","No")</f>
        <v>Sí</v>
      </c>
      <c r="AN27" s="102" t="str">
        <f>IF(SUMPRODUCT(--ISNUMBER(SEARCH({"lo que tenemos","estas ofertas","algo especial","ofertas únicas","que preparamos","no te quedes","echa un vistazo"},F27)))&gt;0,"Sí","No")</f>
        <v>No</v>
      </c>
      <c r="AO27" s="102">
        <f t="shared" si="20"/>
        <v>56</v>
      </c>
      <c r="AP27" s="102">
        <f t="shared" si="21"/>
        <v>7</v>
      </c>
      <c r="AQ27" s="102">
        <f>SUMPRODUCT(LEN(E27)-LEN(SUBSTITUTE(E27,{"!","¡","?","¿",":",",",".","%","·","-",";"},"")))</f>
        <v>3</v>
      </c>
      <c r="AR27" s="102" t="str">
        <f t="shared" si="22"/>
        <v>Sí</v>
      </c>
      <c r="AS27" s="102" t="str">
        <f t="shared" si="23"/>
        <v>No</v>
      </c>
      <c r="AT27" s="102" t="str">
        <f>IF(SUMPRODUCT(--ISNUMBER(FIND({"0","1","2","3","4","5","6","7","8","9"},E27)))&gt;0,"Con cifra concreta",IF(OR(ISNUMBER(FIND("?",E27)),ISNUMBER(FIND("¿",E27))),"Pregunta abierta",IF(SUMPRODUCT(--ISNUMBER(SEARCH({" hoy ","horas","tiempo limitado","antes de que","se acab","se agot","finalic","última oportunidad","oportunidad única","relámpago","express","no esperes","no volver","no parpadees"," ya ","últimas horas","últimas unidades"," ahora "},AF27)))&gt;0,"Solo urgencia, sin cifra",IF(SUMPRODUCT(--ISNUMBER(SEARCH({"recompensa","sorpresa","regalo","lealtad","detalle","gracias","pensamos en ti","para ti"},E27)))&gt;0,"Recompensa o sorpresa","Otro: beneficio o novedad"))))</f>
        <v>Solo urgencia, sin cifra</v>
      </c>
    </row>
    <row r="28" spans="1:46" x14ac:dyDescent="0.2">
      <c r="A28" s="104" t="s">
        <v>779</v>
      </c>
      <c r="B28" s="104" t="s">
        <v>275</v>
      </c>
      <c r="C28" s="104" t="s">
        <v>780</v>
      </c>
      <c r="D28" s="104" t="s">
        <v>781</v>
      </c>
      <c r="E28" s="104" t="s">
        <v>782</v>
      </c>
      <c r="F28" s="104" t="s">
        <v>783</v>
      </c>
      <c r="G28" s="105">
        <v>160431</v>
      </c>
      <c r="H28" s="105">
        <v>70514</v>
      </c>
      <c r="I28" s="105">
        <v>12903</v>
      </c>
      <c r="J28" s="106">
        <v>1.36</v>
      </c>
      <c r="K28" s="106">
        <v>4.9000000000000004</v>
      </c>
      <c r="L28" s="107">
        <v>33369.83</v>
      </c>
      <c r="M28" s="108">
        <f t="shared" si="0"/>
        <v>43.952852004911769</v>
      </c>
      <c r="N28" s="108">
        <f t="shared" si="1"/>
        <v>8.0427099500719947</v>
      </c>
      <c r="O28" s="108">
        <f t="shared" si="2"/>
        <v>18.298493916101766</v>
      </c>
      <c r="P28" s="108">
        <f t="shared" si="3"/>
        <v>208.00113444409124</v>
      </c>
      <c r="Q28" s="108">
        <f t="shared" si="4"/>
        <v>43.952852004911769</v>
      </c>
      <c r="R28" s="108">
        <f t="shared" si="5"/>
        <v>27.021447627328243</v>
      </c>
      <c r="S28" s="101">
        <f t="shared" si="6"/>
        <v>45933</v>
      </c>
      <c r="T28" s="102" t="str">
        <f t="shared" si="7"/>
        <v>Octubre</v>
      </c>
      <c r="U28" s="102" t="str">
        <f t="shared" si="8"/>
        <v>Viernes</v>
      </c>
      <c r="V28" s="102">
        <f t="shared" si="9"/>
        <v>16</v>
      </c>
      <c r="W28" s="102" t="str">
        <f t="shared" si="10"/>
        <v>Días después del pago</v>
      </c>
      <c r="X28" s="102">
        <f t="shared" si="11"/>
        <v>1</v>
      </c>
      <c r="Y28" s="102" t="str">
        <f t="shared" si="12"/>
        <v>No</v>
      </c>
      <c r="Z28" s="102" t="str">
        <f>CHOOSE(MATCH(B28,{"Customer Appreciation","Exclusive Offers","Flash Sale","Holiday Discounts","New Product Launch","Newsletter"},0),"Fidelizar","Vender","Vender","Vender","Lanzar","Educar")</f>
        <v>Vender</v>
      </c>
      <c r="AA28" s="102" t="str">
        <f t="shared" si="13"/>
        <v>100 a 200 mil</v>
      </c>
      <c r="AB28" s="102">
        <f>COUNTIFS($E$5:$E$493,E28,$S$5:$S$493,"&lt;"&amp;S28)+COUNTIFS($E$5:E28,E28,$S$5:S28,S28)</f>
        <v>1</v>
      </c>
      <c r="AC28" s="102">
        <f t="shared" si="14"/>
        <v>1</v>
      </c>
      <c r="AD28" s="102" t="str">
        <f t="shared" si="15"/>
        <v/>
      </c>
      <c r="AE28" s="103">
        <f t="shared" si="16"/>
        <v>0</v>
      </c>
      <c r="AF28" s="102" t="str">
        <f t="shared" si="17"/>
        <v xml:space="preserve">  solo para ti  ofertas de otro nivel  imperdibles </v>
      </c>
      <c r="AG28" s="102" t="str">
        <f t="shared" si="18"/>
        <v xml:space="preserve"> aprovecha estos descuentos antes de que finalicen   últimas horas  </v>
      </c>
      <c r="AH28" s="102" t="str">
        <f>IF(SUMPRODUCT(--(LEFT(IF(LEFT(LOWER(E28),1)="¡",MID(LOWER(E28),2,300),LOWER(E28)),LEN({"actualizaci","el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28" s="102" t="str">
        <f>IF(OR(SUMPRODUCT(--ISNUMBER(SEARCH({"descuento","oferta","ahorr","precio"," sale ","flash","deals"},AF28)))&gt;0,SUMPRODUCT(--ISNUMBER(SEARCH({"descuento","oferta","ahorr","precio"," sale ","flash","deals"},AG28)))&gt;0),"Sí","No")</f>
        <v>Sí</v>
      </c>
      <c r="AJ28" s="102" t="str">
        <f>IF(SUMPRODUCT(--ISNUMBER(SEARCH({" hoy ","horas","tiempo limitado","antes de que","se acab","se agot","finalic","última oportunidad","oportunidad única","relámpago","express","no esperes","no volver","no parpadees"},AF28)))&gt;0,"Sí","No")</f>
        <v>No</v>
      </c>
      <c r="AK28" s="102" t="str">
        <f>IF(SUMPRODUCT(--ISNUMBER(SEARCH({" hoy ","horas","tiempo limitado","antes de que","se acab","se agot","finalic","última oportunidad","oportunidad única","relámpago","express","no esperes","no volver","no parpadees"},AG28)))&gt;0,"Sí","No")</f>
        <v>Sí</v>
      </c>
      <c r="AL28" s="102" t="str">
        <f t="shared" si="19"/>
        <v>Descuento con tiempo límite solo en el preheader</v>
      </c>
      <c r="AM28" s="102" t="str">
        <f>IF(SUMPRODUCT(--ISNUMBER(SEARCH({"0","1","2","3","4","5","6","7","8","9","favorit","maquillaje","piel","cabello","productos","belleza","regalo"},E28)))&gt;0,"Sí","No")</f>
        <v>No</v>
      </c>
      <c r="AN28" s="102" t="str">
        <f>IF(SUMPRODUCT(--ISNUMBER(SEARCH({"lo que tenemos","estas ofertas","algo especial","ofertas únicas","que preparamos","no te quedes","echa un vistazo"},F28)))&gt;0,"Sí","No")</f>
        <v>No</v>
      </c>
      <c r="AO28" s="102">
        <f t="shared" si="20"/>
        <v>49</v>
      </c>
      <c r="AP28" s="102">
        <f t="shared" si="21"/>
        <v>8</v>
      </c>
      <c r="AQ28" s="102">
        <f>SUMPRODUCT(LEN(E28)-LEN(SUBSTITUTE(E28,{"!","¡","?","¿",":",",",".","%","·","-",";"},"")))</f>
        <v>3</v>
      </c>
      <c r="AR28" s="102" t="str">
        <f t="shared" si="22"/>
        <v>Sí</v>
      </c>
      <c r="AS28" s="102" t="str">
        <f t="shared" si="23"/>
        <v>No</v>
      </c>
      <c r="AT28" s="102" t="str">
        <f>IF(SUMPRODUCT(--ISNUMBER(FIND({"0","1","2","3","4","5","6","7","8","9"},E28)))&gt;0,"Con cifra concreta",IF(OR(ISNUMBER(FIND("?",E28)),ISNUMBER(FIND("¿",E28))),"Pregunta abierta",IF(SUMPRODUCT(--ISNUMBER(SEARCH({" hoy ","horas","tiempo limitado","antes de que","se acab","se agot","finalic","última oportunidad","oportunidad única","relámpago","express","no esperes","no volver","no parpadees"," ya ","últimas horas","últimas unidades"," ahora "},AF28)))&gt;0,"Solo urgencia, sin cifra",IF(SUMPRODUCT(--ISNUMBER(SEARCH({"recompensa","sorpresa","regalo","lealtad","detalle","gracias","pensamos en ti","para ti"},E28)))&gt;0,"Recompensa o sorpresa","Otro: beneficio o novedad"))))</f>
        <v>Recompensa o sorpresa</v>
      </c>
    </row>
    <row r="29" spans="1:46" x14ac:dyDescent="0.2">
      <c r="A29" s="96" t="s">
        <v>784</v>
      </c>
      <c r="B29" s="96" t="s">
        <v>275</v>
      </c>
      <c r="C29" s="96" t="s">
        <v>785</v>
      </c>
      <c r="D29" s="96" t="s">
        <v>786</v>
      </c>
      <c r="E29" s="96" t="s">
        <v>481</v>
      </c>
      <c r="F29" s="96" t="s">
        <v>482</v>
      </c>
      <c r="G29" s="97">
        <v>7527</v>
      </c>
      <c r="H29" s="97">
        <v>2298</v>
      </c>
      <c r="I29" s="97">
        <v>290</v>
      </c>
      <c r="J29" s="98">
        <v>4.83</v>
      </c>
      <c r="K29" s="98">
        <v>1.51</v>
      </c>
      <c r="L29" s="99">
        <v>27543.42</v>
      </c>
      <c r="M29" s="100">
        <f t="shared" si="0"/>
        <v>30.530091669988042</v>
      </c>
      <c r="N29" s="100">
        <f t="shared" si="1"/>
        <v>3.8527965989105883</v>
      </c>
      <c r="O29" s="100">
        <f t="shared" si="2"/>
        <v>12.619669277632726</v>
      </c>
      <c r="P29" s="100">
        <f t="shared" si="3"/>
        <v>3659.2825827022716</v>
      </c>
      <c r="Q29" s="100">
        <f t="shared" si="4"/>
        <v>18.428686186240089</v>
      </c>
      <c r="R29" s="100">
        <f t="shared" si="5"/>
        <v>27.021447627328243</v>
      </c>
      <c r="S29" s="101">
        <f t="shared" si="6"/>
        <v>45870</v>
      </c>
      <c r="T29" s="102" t="str">
        <f t="shared" si="7"/>
        <v>Agosto</v>
      </c>
      <c r="U29" s="102" t="str">
        <f t="shared" si="8"/>
        <v>Viernes</v>
      </c>
      <c r="V29" s="102">
        <f t="shared" si="9"/>
        <v>15</v>
      </c>
      <c r="W29" s="102" t="str">
        <f t="shared" si="10"/>
        <v>Quincena</v>
      </c>
      <c r="X29" s="102">
        <f t="shared" si="11"/>
        <v>2</v>
      </c>
      <c r="Y29" s="102" t="str">
        <f t="shared" si="12"/>
        <v>No</v>
      </c>
      <c r="Z29" s="102" t="str">
        <f>CHOOSE(MATCH(B29,{"Customer Appreciation","Exclusive Offers","Flash Sale","Holiday Discounts","New Product Launch","Newsletter"},0),"Fidelizar","Vender","Vender","Vender","Lanzar","Educar")</f>
        <v>Vender</v>
      </c>
      <c r="AA29" s="102" t="str">
        <f t="shared" si="13"/>
        <v>Menos de 100 mil</v>
      </c>
      <c r="AB29" s="102">
        <f>COUNTIFS($E$5:$E$493,E29,$S$5:$S$493,"&lt;"&amp;S29)+COUNTIFS($E$5:E29,E29,$S$5:S29,S29)</f>
        <v>1</v>
      </c>
      <c r="AC29" s="102">
        <f t="shared" si="14"/>
        <v>11</v>
      </c>
      <c r="AD29" s="102" t="str">
        <f t="shared" si="15"/>
        <v>Primer tercio</v>
      </c>
      <c r="AE29" s="103">
        <f t="shared" si="16"/>
        <v>12.101405483747953</v>
      </c>
      <c r="AF29" s="102" t="str">
        <f t="shared" si="17"/>
        <v xml:space="preserve">  oportunidad única  solo por hoy  tus favoritos a un clic </v>
      </c>
      <c r="AG29" s="102" t="str">
        <f t="shared" si="18"/>
        <v xml:space="preserve"> tus productos favoritos con un precio que no volverás a ver   aprovecha  </v>
      </c>
      <c r="AH29" s="102" t="str">
        <f>IF(SUMPRODUCT(--(LEFT(IF(LEFT(LOWER(E29),1)="¡",MID(LOWER(E29),2,300),LOWER(E29)),LEN({"actualizaci","el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Sí</v>
      </c>
      <c r="AI29" s="102" t="str">
        <f>IF(OR(SUMPRODUCT(--ISNUMBER(SEARCH({"descuento","oferta","ahorr","precio"," sale ","flash","deals"},AF29)))&gt;0,SUMPRODUCT(--ISNUMBER(SEARCH({"descuento","oferta","ahorr","precio"," sale ","flash","deals"},AG29)))&gt;0),"Sí","No")</f>
        <v>Sí</v>
      </c>
      <c r="AJ29" s="102" t="str">
        <f>IF(SUMPRODUCT(--ISNUMBER(SEARCH({" hoy ","horas","tiempo limitado","antes de que","se acab","se agot","finalic","última oportunidad","oportunidad única","relámpago","express","no esperes","no volver","no parpadees"},AF29)))&gt;0,"Sí","No")</f>
        <v>Sí</v>
      </c>
      <c r="AK29" s="102" t="str">
        <f>IF(SUMPRODUCT(--ISNUMBER(SEARCH({" hoy ","horas","tiempo limitado","antes de que","se acab","se agot","finalic","última oportunidad","oportunidad única","relámpago","express","no esperes","no volver","no parpadees"},AG29)))&gt;0,"Sí","No")</f>
        <v>Sí</v>
      </c>
      <c r="AL29" s="102" t="str">
        <f t="shared" si="19"/>
        <v>Descuento con tiempo límite en el asunto</v>
      </c>
      <c r="AM29" s="102" t="str">
        <f>IF(SUMPRODUCT(--ISNUMBER(SEARCH({"0","1","2","3","4","5","6","7","8","9","favorit","maquillaje","piel","cabello","productos","belleza","regalo"},E29)))&gt;0,"Sí","No")</f>
        <v>Sí</v>
      </c>
      <c r="AN29" s="102" t="str">
        <f>IF(SUMPRODUCT(--ISNUMBER(SEARCH({"lo que tenemos","estas ofertas","algo especial","ofertas únicas","que preparamos","no te quedes","echa un vistazo"},F29)))&gt;0,"Sí","No")</f>
        <v>No</v>
      </c>
      <c r="AO29" s="102">
        <f t="shared" si="20"/>
        <v>57</v>
      </c>
      <c r="AP29" s="102">
        <f t="shared" si="21"/>
        <v>10</v>
      </c>
      <c r="AQ29" s="102">
        <f>SUMPRODUCT(LEN(E29)-LEN(SUBSTITUTE(E29,{"!","¡","?","¿",":",",",".","%","·","-",";"},"")))</f>
        <v>3</v>
      </c>
      <c r="AR29" s="102" t="str">
        <f t="shared" si="22"/>
        <v>No</v>
      </c>
      <c r="AS29" s="102" t="str">
        <f t="shared" si="23"/>
        <v>No</v>
      </c>
      <c r="AT29" s="102" t="str">
        <f>IF(SUMPRODUCT(--ISNUMBER(FIND({"0","1","2","3","4","5","6","7","8","9"},E29)))&gt;0,"Con cifra concreta",IF(OR(ISNUMBER(FIND("?",E29)),ISNUMBER(FIND("¿",E29))),"Pregunta abierta",IF(SUMPRODUCT(--ISNUMBER(SEARCH({" hoy ","horas","tiempo limitado","antes de que","se acab","se agot","finalic","última oportunidad","oportunidad única","relámpago","express","no esperes","no volver","no parpadees"," ya ","últimas horas","últimas unidades"," ahora "},AF29)))&gt;0,"Solo urgencia, sin cifra",IF(SUMPRODUCT(--ISNUMBER(SEARCH({"recompensa","sorpresa","regalo","lealtad","detalle","gracias","pensamos en ti","para ti"},E29)))&gt;0,"Recompensa o sorpresa","Otro: beneficio o novedad"))))</f>
        <v>Solo urgencia, sin cifra</v>
      </c>
    </row>
    <row r="30" spans="1:46" x14ac:dyDescent="0.2">
      <c r="A30" s="104" t="s">
        <v>787</v>
      </c>
      <c r="B30" s="104" t="s">
        <v>275</v>
      </c>
      <c r="C30" s="104" t="s">
        <v>788</v>
      </c>
      <c r="D30" s="104" t="s">
        <v>789</v>
      </c>
      <c r="E30" s="104" t="s">
        <v>790</v>
      </c>
      <c r="F30" s="104" t="s">
        <v>791</v>
      </c>
      <c r="G30" s="105">
        <v>129533</v>
      </c>
      <c r="H30" s="105">
        <v>59850</v>
      </c>
      <c r="I30" s="105">
        <v>13010</v>
      </c>
      <c r="J30" s="106">
        <v>3.43</v>
      </c>
      <c r="K30" s="106">
        <v>3.82</v>
      </c>
      <c r="L30" s="107">
        <v>4496.2299999999996</v>
      </c>
      <c r="M30" s="108">
        <f t="shared" si="0"/>
        <v>46.204442111276663</v>
      </c>
      <c r="N30" s="108">
        <f t="shared" si="1"/>
        <v>10.043772629368577</v>
      </c>
      <c r="O30" s="108">
        <f t="shared" si="2"/>
        <v>21.737677527151213</v>
      </c>
      <c r="P30" s="108">
        <f t="shared" si="3"/>
        <v>34.711077486046022</v>
      </c>
      <c r="Q30" s="108">
        <f t="shared" si="4"/>
        <v>46.204442111276663</v>
      </c>
      <c r="R30" s="108">
        <f t="shared" si="5"/>
        <v>27.021447627328243</v>
      </c>
      <c r="S30" s="101">
        <f t="shared" si="6"/>
        <v>45955</v>
      </c>
      <c r="T30" s="102" t="str">
        <f t="shared" si="7"/>
        <v>Octubre</v>
      </c>
      <c r="U30" s="102" t="str">
        <f t="shared" si="8"/>
        <v>Sábado</v>
      </c>
      <c r="V30" s="102">
        <f t="shared" si="9"/>
        <v>13</v>
      </c>
      <c r="W30" s="102" t="str">
        <f t="shared" si="10"/>
        <v>Resto del mes</v>
      </c>
      <c r="X30" s="102">
        <f t="shared" si="11"/>
        <v>1</v>
      </c>
      <c r="Y30" s="102" t="str">
        <f t="shared" si="12"/>
        <v>No</v>
      </c>
      <c r="Z30" s="102" t="str">
        <f>CHOOSE(MATCH(B30,{"Customer Appreciation","Exclusive Offers","Flash Sale","Holiday Discounts","New Product Launch","Newsletter"},0),"Fidelizar","Vender","Vender","Vender","Lanzar","Educar")</f>
        <v>Vender</v>
      </c>
      <c r="AA30" s="102" t="str">
        <f t="shared" si="13"/>
        <v>100 a 200 mil</v>
      </c>
      <c r="AB30" s="102">
        <f>COUNTIFS($E$5:$E$493,E30,$S$5:$S$493,"&lt;"&amp;S30)+COUNTIFS($E$5:E30,E30,$S$5:S30,S30)</f>
        <v>1</v>
      </c>
      <c r="AC30" s="102">
        <f t="shared" si="14"/>
        <v>1</v>
      </c>
      <c r="AD30" s="102" t="str">
        <f t="shared" si="15"/>
        <v/>
      </c>
      <c r="AE30" s="103">
        <f t="shared" si="16"/>
        <v>0</v>
      </c>
      <c r="AF30" s="102" t="str">
        <f t="shared" si="17"/>
        <v xml:space="preserve">  descubre tu oferta especial  productos l'oréal </v>
      </c>
      <c r="AG30" s="102" t="str">
        <f t="shared" si="18"/>
        <v xml:space="preserve"> precios que no puedes dejar pasar   entra ya y renueva tu beauty  </v>
      </c>
      <c r="AH30" s="102" t="str">
        <f>IF(SUMPRODUCT(--(LEFT(IF(LEFT(LOWER(E30),1)="¡",MID(LOWER(E30),2,300),LOWER(E30)),LEN({"actualizaci","el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30" s="102" t="str">
        <f>IF(OR(SUMPRODUCT(--ISNUMBER(SEARCH({"descuento","oferta","ahorr","precio"," sale ","flash","deals"},AF30)))&gt;0,SUMPRODUCT(--ISNUMBER(SEARCH({"descuento","oferta","ahorr","precio"," sale ","flash","deals"},AG30)))&gt;0),"Sí","No")</f>
        <v>Sí</v>
      </c>
      <c r="AJ30" s="102" t="str">
        <f>IF(SUMPRODUCT(--ISNUMBER(SEARCH({" hoy ","horas","tiempo limitado","antes de que","se acab","se agot","finalic","última oportunidad","oportunidad única","relámpago","express","no esperes","no volver","no parpadees"},AF30)))&gt;0,"Sí","No")</f>
        <v>No</v>
      </c>
      <c r="AK30" s="102" t="str">
        <f>IF(SUMPRODUCT(--ISNUMBER(SEARCH({" hoy ","horas","tiempo limitado","antes de que","se acab","se agot","finalic","última oportunidad","oportunidad única","relámpago","express","no esperes","no volver","no parpadees"},AG30)))&gt;0,"Sí","No")</f>
        <v>No</v>
      </c>
      <c r="AL30" s="102" t="str">
        <f t="shared" si="19"/>
        <v>Descuento sin tiempo límite</v>
      </c>
      <c r="AM30" s="102" t="str">
        <f>IF(SUMPRODUCT(--ISNUMBER(SEARCH({"0","1","2","3","4","5","6","7","8","9","favorit","maquillaje","piel","cabello","productos","belleza","regalo"},E30)))&gt;0,"Sí","No")</f>
        <v>Sí</v>
      </c>
      <c r="AN30" s="102" t="str">
        <f>IF(SUMPRODUCT(--ISNUMBER(SEARCH({"lo que tenemos","estas ofertas","algo especial","ofertas únicas","que preparamos","no te quedes","echa un vistazo"},F30)))&gt;0,"Sí","No")</f>
        <v>No</v>
      </c>
      <c r="AO30" s="102">
        <f t="shared" si="20"/>
        <v>47</v>
      </c>
      <c r="AP30" s="102">
        <f t="shared" si="21"/>
        <v>6</v>
      </c>
      <c r="AQ30" s="102">
        <f>SUMPRODUCT(LEN(E30)-LEN(SUBSTITUTE(E30,{"!","¡","?","¿",":",",",".","%","·","-",";"},"")))</f>
        <v>2</v>
      </c>
      <c r="AR30" s="102" t="str">
        <f t="shared" si="22"/>
        <v>Sí</v>
      </c>
      <c r="AS30" s="102" t="str">
        <f t="shared" si="23"/>
        <v>No</v>
      </c>
      <c r="AT30" s="102" t="str">
        <f>IF(SUMPRODUCT(--ISNUMBER(FIND({"0","1","2","3","4","5","6","7","8","9"},E30)))&gt;0,"Con cifra concreta",IF(OR(ISNUMBER(FIND("?",E30)),ISNUMBER(FIND("¿",E30))),"Pregunta abierta",IF(SUMPRODUCT(--ISNUMBER(SEARCH({" hoy ","horas","tiempo limitado","antes de que","se acab","se agot","finalic","última oportunidad","oportunidad única","relámpago","express","no esperes","no volver","no parpadees"," ya ","últimas horas","últimas unidades"," ahora "},AF30)))&gt;0,"Solo urgencia, sin cifra",IF(SUMPRODUCT(--ISNUMBER(SEARCH({"recompensa","sorpresa","regalo","lealtad","detalle","gracias","pensamos en ti","para ti"},E30)))&gt;0,"Recompensa o sorpresa","Otro: beneficio o novedad"))))</f>
        <v>Otro: beneficio o novedad</v>
      </c>
    </row>
    <row r="31" spans="1:46" x14ac:dyDescent="0.2">
      <c r="A31" s="96" t="s">
        <v>792</v>
      </c>
      <c r="B31" s="96" t="s">
        <v>277</v>
      </c>
      <c r="C31" s="96" t="s">
        <v>793</v>
      </c>
      <c r="D31" s="96" t="s">
        <v>794</v>
      </c>
      <c r="E31" s="96" t="s">
        <v>461</v>
      </c>
      <c r="F31" s="96" t="s">
        <v>462</v>
      </c>
      <c r="G31" s="97">
        <v>328832</v>
      </c>
      <c r="H31" s="97">
        <v>122367</v>
      </c>
      <c r="I31" s="97">
        <v>52796</v>
      </c>
      <c r="J31" s="98">
        <v>4.12</v>
      </c>
      <c r="K31" s="98">
        <v>4.42</v>
      </c>
      <c r="L31" s="99">
        <v>15388.5</v>
      </c>
      <c r="M31" s="100">
        <f t="shared" si="0"/>
        <v>37.212619209809269</v>
      </c>
      <c r="N31" s="100">
        <f t="shared" si="1"/>
        <v>16.055615025301673</v>
      </c>
      <c r="O31" s="100">
        <f t="shared" si="2"/>
        <v>43.145619325471735</v>
      </c>
      <c r="P31" s="100">
        <f t="shared" si="3"/>
        <v>46.797452802646944</v>
      </c>
      <c r="Q31" s="100">
        <f t="shared" si="4"/>
        <v>35.409886702202286</v>
      </c>
      <c r="R31" s="100">
        <f t="shared" si="5"/>
        <v>30.71114383300629</v>
      </c>
      <c r="S31" s="101">
        <f t="shared" si="6"/>
        <v>45939</v>
      </c>
      <c r="T31" s="102" t="str">
        <f t="shared" si="7"/>
        <v>Octubre</v>
      </c>
      <c r="U31" s="102" t="str">
        <f t="shared" si="8"/>
        <v>Jueves</v>
      </c>
      <c r="V31" s="102">
        <f t="shared" si="9"/>
        <v>12</v>
      </c>
      <c r="W31" s="102" t="str">
        <f t="shared" si="10"/>
        <v>Resto del mes</v>
      </c>
      <c r="X31" s="102">
        <f t="shared" si="11"/>
        <v>27</v>
      </c>
      <c r="Y31" s="102" t="str">
        <f t="shared" si="12"/>
        <v>Sí</v>
      </c>
      <c r="Z31" s="102" t="str">
        <f>CHOOSE(MATCH(B31,{"Customer Appreciation","Exclusive Offers","Flash Sale","Holiday Discounts","New Product Launch","Newsletter"},0),"Fidelizar","Vender","Vender","Vender","Lanzar","Educar")</f>
        <v>Vender</v>
      </c>
      <c r="AA31" s="102" t="str">
        <f t="shared" si="13"/>
        <v>300 a 400 mil</v>
      </c>
      <c r="AB31" s="102">
        <f>COUNTIFS($E$5:$E$493,E31,$S$5:$S$493,"&lt;"&amp;S31)+COUNTIFS($E$5:E31,E31,$S$5:S31,S31)</f>
        <v>23</v>
      </c>
      <c r="AC31" s="102">
        <f t="shared" si="14"/>
        <v>30</v>
      </c>
      <c r="AD31" s="102" t="str">
        <f t="shared" si="15"/>
        <v>Último tercio</v>
      </c>
      <c r="AE31" s="103">
        <f t="shared" si="16"/>
        <v>1.8027325076069829</v>
      </c>
      <c r="AF31" s="102" t="str">
        <f t="shared" si="17"/>
        <v xml:space="preserve">  regalos perfectos te esperan  descuentos de lujo  l'oréal </v>
      </c>
      <c r="AG31" s="102" t="str">
        <f t="shared" si="18"/>
        <v xml:space="preserve"> encuentra ese detalle especial para ti o tus seres queridos   descubre  </v>
      </c>
      <c r="AH31" s="102" t="str">
        <f>IF(SUMPRODUCT(--(LEFT(IF(LEFT(LOWER(E31),1)="¡",MID(LOWER(E31),2,300),LOWER(E31)),LEN({"actualizaci","el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31" s="102" t="str">
        <f>IF(OR(SUMPRODUCT(--ISNUMBER(SEARCH({"descuento","oferta","ahorr","precio"," sale ","flash","deals"},AF31)))&gt;0,SUMPRODUCT(--ISNUMBER(SEARCH({"descuento","oferta","ahorr","precio"," sale ","flash","deals"},AG31)))&gt;0),"Sí","No")</f>
        <v>Sí</v>
      </c>
      <c r="AJ31" s="102" t="str">
        <f>IF(SUMPRODUCT(--ISNUMBER(SEARCH({" hoy ","horas","tiempo limitado","antes de que","se acab","se agot","finalic","última oportunidad","oportunidad única","relámpago","express","no esperes","no volver","no parpadees"},AF31)))&gt;0,"Sí","No")</f>
        <v>No</v>
      </c>
      <c r="AK31" s="102" t="str">
        <f>IF(SUMPRODUCT(--ISNUMBER(SEARCH({" hoy ","horas","tiempo limitado","antes de que","se acab","se agot","finalic","última oportunidad","oportunidad única","relámpago","express","no esperes","no volver","no parpadees"},AG31)))&gt;0,"Sí","No")</f>
        <v>No</v>
      </c>
      <c r="AL31" s="102" t="str">
        <f t="shared" si="19"/>
        <v>Descuento sin tiempo límite</v>
      </c>
      <c r="AM31" s="102" t="str">
        <f>IF(SUMPRODUCT(--ISNUMBER(SEARCH({"0","1","2","3","4","5","6","7","8","9","favorit","maquillaje","piel","cabello","productos","belleza","regalo"},E31)))&gt;0,"Sí","No")</f>
        <v>Sí</v>
      </c>
      <c r="AN31" s="102" t="str">
        <f>IF(SUMPRODUCT(--ISNUMBER(SEARCH({"lo que tenemos","estas ofertas","algo especial","ofertas únicas","que preparamos","no te quedes","echa un vistazo"},F31)))&gt;0,"Sí","No")</f>
        <v>No</v>
      </c>
      <c r="AO31" s="102">
        <f t="shared" si="20"/>
        <v>58</v>
      </c>
      <c r="AP31" s="102">
        <f t="shared" si="21"/>
        <v>8</v>
      </c>
      <c r="AQ31" s="102">
        <f>SUMPRODUCT(LEN(E31)-LEN(SUBSTITUTE(E31,{"!","¡","?","¿",":",",",".","%","·","-",";"},"")))</f>
        <v>3</v>
      </c>
      <c r="AR31" s="102" t="str">
        <f t="shared" si="22"/>
        <v>Sí</v>
      </c>
      <c r="AS31" s="102" t="str">
        <f t="shared" si="23"/>
        <v>No</v>
      </c>
      <c r="AT31" s="102" t="str">
        <f>IF(SUMPRODUCT(--ISNUMBER(FIND({"0","1","2","3","4","5","6","7","8","9"},E31)))&gt;0,"Con cifra concreta",IF(OR(ISNUMBER(FIND("?",E31)),ISNUMBER(FIND("¿",E31))),"Pregunta abierta",IF(SUMPRODUCT(--ISNUMBER(SEARCH({" hoy ","horas","tiempo limitado","antes de que","se acab","se agot","finalic","última oportunidad","oportunidad única","relámpago","express","no esperes","no volver","no parpadees"," ya ","últimas horas","últimas unidades"," ahora "},AF31)))&gt;0,"Solo urgencia, sin cifra",IF(SUMPRODUCT(--ISNUMBER(SEARCH({"recompensa","sorpresa","regalo","lealtad","detalle","gracias","pensamos en ti","para ti"},E31)))&gt;0,"Recompensa o sorpresa","Otro: beneficio o novedad"))))</f>
        <v>Recompensa o sorpresa</v>
      </c>
    </row>
    <row r="32" spans="1:46" x14ac:dyDescent="0.2">
      <c r="A32" s="104" t="s">
        <v>795</v>
      </c>
      <c r="B32" s="104" t="s">
        <v>277</v>
      </c>
      <c r="C32" s="104" t="s">
        <v>796</v>
      </c>
      <c r="D32" s="104" t="s">
        <v>715</v>
      </c>
      <c r="E32" s="104" t="s">
        <v>797</v>
      </c>
      <c r="F32" s="104" t="s">
        <v>460</v>
      </c>
      <c r="G32" s="105">
        <v>400602</v>
      </c>
      <c r="H32" s="105">
        <v>163615</v>
      </c>
      <c r="I32" s="105">
        <v>49514</v>
      </c>
      <c r="J32" s="106">
        <v>3.41</v>
      </c>
      <c r="K32" s="106">
        <v>4.45</v>
      </c>
      <c r="L32" s="107">
        <v>14635.06</v>
      </c>
      <c r="M32" s="108">
        <f t="shared" si="0"/>
        <v>40.842282365040617</v>
      </c>
      <c r="N32" s="108">
        <f t="shared" si="1"/>
        <v>12.359898352978767</v>
      </c>
      <c r="O32" s="108">
        <f t="shared" si="2"/>
        <v>30.26250649390337</v>
      </c>
      <c r="P32" s="108">
        <f t="shared" si="3"/>
        <v>36.532668334157094</v>
      </c>
      <c r="Q32" s="108">
        <f t="shared" si="4"/>
        <v>34.834213314430471</v>
      </c>
      <c r="R32" s="108">
        <f t="shared" si="5"/>
        <v>30.71114383300629</v>
      </c>
      <c r="S32" s="101">
        <f t="shared" si="6"/>
        <v>45904</v>
      </c>
      <c r="T32" s="102" t="str">
        <f t="shared" si="7"/>
        <v>Septiembre</v>
      </c>
      <c r="U32" s="102" t="str">
        <f t="shared" si="8"/>
        <v>Jueves</v>
      </c>
      <c r="V32" s="102">
        <f t="shared" si="9"/>
        <v>11</v>
      </c>
      <c r="W32" s="102" t="str">
        <f t="shared" si="10"/>
        <v>Días después del pago</v>
      </c>
      <c r="X32" s="102">
        <f t="shared" si="11"/>
        <v>2</v>
      </c>
      <c r="Y32" s="102" t="str">
        <f t="shared" si="12"/>
        <v>No</v>
      </c>
      <c r="Z32" s="102" t="str">
        <f>CHOOSE(MATCH(B32,{"Customer Appreciation","Exclusive Offers","Flash Sale","Holiday Discounts","New Product Launch","Newsletter"},0),"Fidelizar","Vender","Vender","Vender","Lanzar","Educar")</f>
        <v>Vender</v>
      </c>
      <c r="AA32" s="102" t="str">
        <f t="shared" si="13"/>
        <v>Más de 400 mil</v>
      </c>
      <c r="AB32" s="102">
        <f>COUNTIFS($E$5:$E$493,E32,$S$5:$S$493,"&lt;"&amp;S32)+COUNTIFS($E$5:E32,E32,$S$5:S32,S32)</f>
        <v>1</v>
      </c>
      <c r="AC32" s="102">
        <f t="shared" si="14"/>
        <v>2</v>
      </c>
      <c r="AD32" s="102" t="str">
        <f t="shared" si="15"/>
        <v/>
      </c>
      <c r="AE32" s="103">
        <f t="shared" si="16"/>
        <v>6.0080690506101462</v>
      </c>
      <c r="AF32" s="102" t="str">
        <f t="shared" si="17"/>
        <v xml:space="preserve">  aprovecha los descuentos  temporada de fiestas  belleza y más </v>
      </c>
      <c r="AG32" s="102" t="str">
        <f t="shared" si="18"/>
        <v xml:space="preserve"> tus productos favoritos con precios festivos   no te los pierdas  </v>
      </c>
      <c r="AH32" s="102" t="str">
        <f>IF(SUMPRODUCT(--(LEFT(IF(LEFT(LOWER(E32),1)="¡",MID(LOWER(E32),2,300),LOWER(E32)),LEN({"actualizaci","el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32" s="102" t="str">
        <f>IF(OR(SUMPRODUCT(--ISNUMBER(SEARCH({"descuento","oferta","ahorr","precio"," sale ","flash","deals"},AF32)))&gt;0,SUMPRODUCT(--ISNUMBER(SEARCH({"descuento","oferta","ahorr","precio"," sale ","flash","deals"},AG32)))&gt;0),"Sí","No")</f>
        <v>Sí</v>
      </c>
      <c r="AJ32" s="102" t="str">
        <f>IF(SUMPRODUCT(--ISNUMBER(SEARCH({" hoy ","horas","tiempo limitado","antes de que","se acab","se agot","finalic","última oportunidad","oportunidad única","relámpago","express","no esperes","no volver","no parpadees"},AF32)))&gt;0,"Sí","No")</f>
        <v>No</v>
      </c>
      <c r="AK32" s="102" t="str">
        <f>IF(SUMPRODUCT(--ISNUMBER(SEARCH({" hoy ","horas","tiempo limitado","antes de que","se acab","se agot","finalic","última oportunidad","oportunidad única","relámpago","express","no esperes","no volver","no parpadees"},AG32)))&gt;0,"Sí","No")</f>
        <v>No</v>
      </c>
      <c r="AL32" s="102" t="str">
        <f t="shared" si="19"/>
        <v>Descuento sin tiempo límite</v>
      </c>
      <c r="AM32" s="102" t="str">
        <f>IF(SUMPRODUCT(--ISNUMBER(SEARCH({"0","1","2","3","4","5","6","7","8","9","favorit","maquillaje","piel","cabello","productos","belleza","regalo"},E32)))&gt;0,"Sí","No")</f>
        <v>Sí</v>
      </c>
      <c r="AN32" s="102" t="str">
        <f>IF(SUMPRODUCT(--ISNUMBER(SEARCH({"lo que tenemos","estas ofertas","algo especial","ofertas únicas","que preparamos","no te quedes","echa un vistazo"},F32)))&gt;0,"Sí","No")</f>
        <v>No</v>
      </c>
      <c r="AO32" s="102">
        <f t="shared" si="20"/>
        <v>62</v>
      </c>
      <c r="AP32" s="102">
        <f t="shared" si="21"/>
        <v>9</v>
      </c>
      <c r="AQ32" s="102">
        <f>SUMPRODUCT(LEN(E32)-LEN(SUBSTITUTE(E32,{"!","¡","?","¿",":",",",".","%","·","-",";"},"")))</f>
        <v>3</v>
      </c>
      <c r="AR32" s="102" t="str">
        <f t="shared" si="22"/>
        <v>No</v>
      </c>
      <c r="AS32" s="102" t="str">
        <f t="shared" si="23"/>
        <v>No</v>
      </c>
      <c r="AT32" s="102" t="str">
        <f>IF(SUMPRODUCT(--ISNUMBER(FIND({"0","1","2","3","4","5","6","7","8","9"},E32)))&gt;0,"Con cifra concreta",IF(OR(ISNUMBER(FIND("?",E32)),ISNUMBER(FIND("¿",E32))),"Pregunta abierta",IF(SUMPRODUCT(--ISNUMBER(SEARCH({" hoy ","horas","tiempo limitado","antes de que","se acab","se agot","finalic","última oportunidad","oportunidad única","relámpago","express","no esperes","no volver","no parpadees"," ya ","últimas horas","últimas unidades"," ahora "},AF32)))&gt;0,"Solo urgencia, sin cifra",IF(SUMPRODUCT(--ISNUMBER(SEARCH({"recompensa","sorpresa","regalo","lealtad","detalle","gracias","pensamos en ti","para ti"},E32)))&gt;0,"Recompensa o sorpresa","Otro: beneficio o novedad"))))</f>
        <v>Otro: beneficio o novedad</v>
      </c>
    </row>
    <row r="33" spans="1:46" x14ac:dyDescent="0.2">
      <c r="A33" s="96" t="s">
        <v>798</v>
      </c>
      <c r="B33" s="96" t="s">
        <v>279</v>
      </c>
      <c r="C33" s="96" t="s">
        <v>799</v>
      </c>
      <c r="D33" s="96" t="s">
        <v>800</v>
      </c>
      <c r="E33" s="96" t="s">
        <v>801</v>
      </c>
      <c r="F33" s="96" t="s">
        <v>802</v>
      </c>
      <c r="G33" s="97">
        <v>44289</v>
      </c>
      <c r="H33" s="97">
        <v>16474</v>
      </c>
      <c r="I33" s="97">
        <v>4734</v>
      </c>
      <c r="J33" s="98">
        <v>6.26</v>
      </c>
      <c r="K33" s="98">
        <v>1.45</v>
      </c>
      <c r="L33" s="99">
        <v>62749.3</v>
      </c>
      <c r="M33" s="100">
        <f t="shared" si="0"/>
        <v>37.196595091331936</v>
      </c>
      <c r="N33" s="100">
        <f t="shared" si="1"/>
        <v>10.688884373094899</v>
      </c>
      <c r="O33" s="100">
        <f t="shared" si="2"/>
        <v>28.73619036056817</v>
      </c>
      <c r="P33" s="100">
        <f t="shared" si="3"/>
        <v>1416.8145589198223</v>
      </c>
      <c r="Q33" s="100">
        <f t="shared" si="4"/>
        <v>32.57726336512259</v>
      </c>
      <c r="R33" s="100">
        <f t="shared" si="5"/>
        <v>27.75136451093497</v>
      </c>
      <c r="S33" s="101">
        <f t="shared" si="6"/>
        <v>45879</v>
      </c>
      <c r="T33" s="102" t="str">
        <f t="shared" si="7"/>
        <v>Agosto</v>
      </c>
      <c r="U33" s="102" t="str">
        <f t="shared" si="8"/>
        <v>Domingo</v>
      </c>
      <c r="V33" s="102">
        <f t="shared" si="9"/>
        <v>9</v>
      </c>
      <c r="W33" s="102" t="str">
        <f t="shared" si="10"/>
        <v>Resto del mes</v>
      </c>
      <c r="X33" s="102">
        <f t="shared" si="11"/>
        <v>1</v>
      </c>
      <c r="Y33" s="102" t="str">
        <f t="shared" si="12"/>
        <v>No</v>
      </c>
      <c r="Z33" s="102" t="str">
        <f>CHOOSE(MATCH(B33,{"Customer Appreciation","Exclusive Offers","Flash Sale","Holiday Discounts","New Product Launch","Newsletter"},0),"Fidelizar","Vender","Vender","Vender","Lanzar","Educar")</f>
        <v>Educar</v>
      </c>
      <c r="AA33" s="102" t="str">
        <f t="shared" si="13"/>
        <v>Menos de 100 mil</v>
      </c>
      <c r="AB33" s="102">
        <f>COUNTIFS($E$5:$E$493,E33,$S$5:$S$493,"&lt;"&amp;S33)+COUNTIFS($E$5:E33,E33,$S$5:S33,S33)</f>
        <v>1</v>
      </c>
      <c r="AC33" s="102">
        <f t="shared" si="14"/>
        <v>2</v>
      </c>
      <c r="AD33" s="102" t="str">
        <f t="shared" si="15"/>
        <v/>
      </c>
      <c r="AE33" s="103">
        <f t="shared" si="16"/>
        <v>4.6193317262093458</v>
      </c>
      <c r="AF33" s="102" t="str">
        <f t="shared" si="17"/>
        <v xml:space="preserve"> descubre las últimas tendencias en belleza y cuidado personal </v>
      </c>
      <c r="AG33" s="102" t="str">
        <f t="shared" si="18"/>
        <v xml:space="preserve"> tu guía completa para un look perfecto   entra ya  </v>
      </c>
      <c r="AH33" s="102" t="str">
        <f>IF(SUMPRODUCT(--(LEFT(IF(LEFT(LOWER(E33),1)="¡",MID(LOWER(E33),2,300),LOWER(E33)),LEN({"actualizaci","el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33" s="102" t="str">
        <f>IF(OR(SUMPRODUCT(--ISNUMBER(SEARCH({"descuento","oferta","ahorr","precio"," sale ","flash","deals"},AF33)))&gt;0,SUMPRODUCT(--ISNUMBER(SEARCH({"descuento","oferta","ahorr","precio"," sale ","flash","deals"},AG33)))&gt;0),"Sí","No")</f>
        <v>No</v>
      </c>
      <c r="AJ33" s="102" t="str">
        <f>IF(SUMPRODUCT(--ISNUMBER(SEARCH({" hoy ","horas","tiempo limitado","antes de que","se acab","se agot","finalic","última oportunidad","oportunidad única","relámpago","express","no esperes","no volver","no parpadees"},AF33)))&gt;0,"Sí","No")</f>
        <v>No</v>
      </c>
      <c r="AK33" s="102" t="str">
        <f>IF(SUMPRODUCT(--ISNUMBER(SEARCH({" hoy ","horas","tiempo limitado","antes de que","se acab","se agot","finalic","última oportunidad","oportunidad única","relámpago","express","no esperes","no volver","no parpadees"},AG33)))&gt;0,"Sí","No")</f>
        <v>No</v>
      </c>
      <c r="AL33" s="102" t="str">
        <f t="shared" si="19"/>
        <v>Sin descuento</v>
      </c>
      <c r="AM33" s="102" t="str">
        <f>IF(SUMPRODUCT(--ISNUMBER(SEARCH({"0","1","2","3","4","5","6","7","8","9","favorit","maquillaje","piel","cabello","productos","belleza","regalo"},E33)))&gt;0,"Sí","No")</f>
        <v>Sí</v>
      </c>
      <c r="AN33" s="102" t="str">
        <f>IF(SUMPRODUCT(--ISNUMBER(SEARCH({"lo que tenemos","estas ofertas","algo especial","ofertas únicas","que preparamos","no te quedes","echa un vistazo"},F33)))&gt;0,"Sí","No")</f>
        <v>No</v>
      </c>
      <c r="AO33" s="102">
        <f t="shared" si="20"/>
        <v>61</v>
      </c>
      <c r="AP33" s="102">
        <f t="shared" si="21"/>
        <v>9</v>
      </c>
      <c r="AQ33" s="102">
        <f>SUMPRODUCT(LEN(E33)-LEN(SUBSTITUTE(E33,{"!","¡","?","¿",":",",",".","%","·","-",";"},"")))</f>
        <v>0</v>
      </c>
      <c r="AR33" s="102" t="str">
        <f t="shared" si="22"/>
        <v>No</v>
      </c>
      <c r="AS33" s="102" t="str">
        <f t="shared" si="23"/>
        <v>No</v>
      </c>
      <c r="AT33" s="102" t="str">
        <f>IF(SUMPRODUCT(--ISNUMBER(FIND({"0","1","2","3","4","5","6","7","8","9"},E33)))&gt;0,"Con cifra concreta",IF(OR(ISNUMBER(FIND("?",E33)),ISNUMBER(FIND("¿",E33))),"Pregunta abierta",IF(SUMPRODUCT(--ISNUMBER(SEARCH({" hoy ","horas","tiempo limitado","antes de que","se acab","se agot","finalic","última oportunidad","oportunidad única","relámpago","express","no esperes","no volver","no parpadees"," ya ","últimas horas","últimas unidades"," ahora "},AF33)))&gt;0,"Solo urgencia, sin cifra",IF(SUMPRODUCT(--ISNUMBER(SEARCH({"recompensa","sorpresa","regalo","lealtad","detalle","gracias","pensamos en ti","para ti"},E33)))&gt;0,"Recompensa o sorpresa","Otro: beneficio o novedad"))))</f>
        <v>Otro: beneficio o novedad</v>
      </c>
    </row>
    <row r="34" spans="1:46" x14ac:dyDescent="0.2">
      <c r="A34" s="104" t="s">
        <v>803</v>
      </c>
      <c r="B34" s="104" t="s">
        <v>275</v>
      </c>
      <c r="C34" s="104" t="s">
        <v>804</v>
      </c>
      <c r="D34" s="104" t="s">
        <v>805</v>
      </c>
      <c r="E34" s="104" t="s">
        <v>455</v>
      </c>
      <c r="F34" s="104" t="s">
        <v>456</v>
      </c>
      <c r="G34" s="105">
        <v>369768</v>
      </c>
      <c r="H34" s="105">
        <v>167098</v>
      </c>
      <c r="I34" s="105">
        <v>35754</v>
      </c>
      <c r="J34" s="106">
        <v>3.23</v>
      </c>
      <c r="K34" s="106">
        <v>4.95</v>
      </c>
      <c r="L34" s="107">
        <v>63259.55</v>
      </c>
      <c r="M34" s="108">
        <f t="shared" si="0"/>
        <v>45.189956945976938</v>
      </c>
      <c r="N34" s="108">
        <f t="shared" si="1"/>
        <v>9.6693061595378733</v>
      </c>
      <c r="O34" s="108">
        <f t="shared" si="2"/>
        <v>21.397024500592469</v>
      </c>
      <c r="P34" s="108">
        <f t="shared" si="3"/>
        <v>171.07902793102704</v>
      </c>
      <c r="Q34" s="108">
        <f t="shared" si="4"/>
        <v>38.720231784441999</v>
      </c>
      <c r="R34" s="108">
        <f t="shared" si="5"/>
        <v>27.021447627328243</v>
      </c>
      <c r="S34" s="101">
        <f t="shared" si="6"/>
        <v>45950</v>
      </c>
      <c r="T34" s="102" t="str">
        <f t="shared" si="7"/>
        <v>Octubre</v>
      </c>
      <c r="U34" s="102" t="str">
        <f t="shared" si="8"/>
        <v>Lunes</v>
      </c>
      <c r="V34" s="102">
        <f t="shared" si="9"/>
        <v>15</v>
      </c>
      <c r="W34" s="102" t="str">
        <f t="shared" si="10"/>
        <v>Días después del pago</v>
      </c>
      <c r="X34" s="102">
        <f t="shared" si="11"/>
        <v>2</v>
      </c>
      <c r="Y34" s="102" t="str">
        <f t="shared" si="12"/>
        <v>No</v>
      </c>
      <c r="Z34" s="102" t="str">
        <f>CHOOSE(MATCH(B34,{"Customer Appreciation","Exclusive Offers","Flash Sale","Holiday Discounts","New Product Launch","Newsletter"},0),"Fidelizar","Vender","Vender","Vender","Lanzar","Educar")</f>
        <v>Vender</v>
      </c>
      <c r="AA34" s="102" t="str">
        <f t="shared" si="13"/>
        <v>300 a 400 mil</v>
      </c>
      <c r="AB34" s="102">
        <f>COUNTIFS($E$5:$E$493,E34,$S$5:$S$493,"&lt;"&amp;S34)+COUNTIFS($E$5:E34,E34,$S$5:S34,S34)</f>
        <v>14</v>
      </c>
      <c r="AC34" s="102">
        <f t="shared" si="14"/>
        <v>15</v>
      </c>
      <c r="AD34" s="102" t="str">
        <f t="shared" si="15"/>
        <v>Último tercio</v>
      </c>
      <c r="AE34" s="103">
        <f t="shared" si="16"/>
        <v>6.4697251615349387</v>
      </c>
      <c r="AF34" s="102" t="str">
        <f t="shared" si="17"/>
        <v xml:space="preserve">  solo un clic te separa de estas ofertas  l'oréal paris </v>
      </c>
      <c r="AG34" s="102" t="str">
        <f t="shared" si="18"/>
        <v xml:space="preserve"> descuentos irresistibles en productos seleccionados   últimas horas  </v>
      </c>
      <c r="AH34" s="102" t="str">
        <f>IF(SUMPRODUCT(--(LEFT(IF(LEFT(LOWER(E34),1)="¡",MID(LOWER(E34),2,300),LOWER(E34)),LEN({"actualizaci","el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34" s="102" t="str">
        <f>IF(OR(SUMPRODUCT(--ISNUMBER(SEARCH({"descuento","oferta","ahorr","precio"," sale ","flash","deals"},AF34)))&gt;0,SUMPRODUCT(--ISNUMBER(SEARCH({"descuento","oferta","ahorr","precio"," sale ","flash","deals"},AG34)))&gt;0),"Sí","No")</f>
        <v>Sí</v>
      </c>
      <c r="AJ34" s="102" t="str">
        <f>IF(SUMPRODUCT(--ISNUMBER(SEARCH({" hoy ","horas","tiempo limitado","antes de que","se acab","se agot","finalic","última oportunidad","oportunidad única","relámpago","express","no esperes","no volver","no parpadees"},AF34)))&gt;0,"Sí","No")</f>
        <v>No</v>
      </c>
      <c r="AK34" s="102" t="str">
        <f>IF(SUMPRODUCT(--ISNUMBER(SEARCH({" hoy ","horas","tiempo limitado","antes de que","se acab","se agot","finalic","última oportunidad","oportunidad única","relámpago","express","no esperes","no volver","no parpadees"},AG34)))&gt;0,"Sí","No")</f>
        <v>Sí</v>
      </c>
      <c r="AL34" s="102" t="str">
        <f t="shared" si="19"/>
        <v>Descuento con tiempo límite solo en el preheader</v>
      </c>
      <c r="AM34" s="102" t="str">
        <f>IF(SUMPRODUCT(--ISNUMBER(SEARCH({"0","1","2","3","4","5","6","7","8","9","favorit","maquillaje","piel","cabello","productos","belleza","regalo"},E34)))&gt;0,"Sí","No")</f>
        <v>No</v>
      </c>
      <c r="AN34" s="102" t="str">
        <f>IF(SUMPRODUCT(--ISNUMBER(SEARCH({"lo que tenemos","estas ofertas","algo especial","ofertas únicas","que preparamos","no te quedes","echa un vistazo"},F34)))&gt;0,"Sí","No")</f>
        <v>No</v>
      </c>
      <c r="AO34" s="102">
        <f t="shared" si="20"/>
        <v>55</v>
      </c>
      <c r="AP34" s="102">
        <f t="shared" si="21"/>
        <v>10</v>
      </c>
      <c r="AQ34" s="102">
        <f>SUMPRODUCT(LEN(E34)-LEN(SUBSTITUTE(E34,{"!","¡","?","¿",":",",",".","%","·","-",";"},"")))</f>
        <v>2</v>
      </c>
      <c r="AR34" s="102" t="str">
        <f t="shared" si="22"/>
        <v>No</v>
      </c>
      <c r="AS34" s="102" t="str">
        <f t="shared" si="23"/>
        <v>No</v>
      </c>
      <c r="AT34" s="102" t="str">
        <f>IF(SUMPRODUCT(--ISNUMBER(FIND({"0","1","2","3","4","5","6","7","8","9"},E34)))&gt;0,"Con cifra concreta",IF(OR(ISNUMBER(FIND("?",E34)),ISNUMBER(FIND("¿",E34))),"Pregunta abierta",IF(SUMPRODUCT(--ISNUMBER(SEARCH({" hoy ","horas","tiempo limitado","antes de que","se acab","se agot","finalic","última oportunidad","oportunidad única","relámpago","express","no esperes","no volver","no parpadees"," ya ","últimas horas","últimas unidades"," ahora "},AF34)))&gt;0,"Solo urgencia, sin cifra",IF(SUMPRODUCT(--ISNUMBER(SEARCH({"recompensa","sorpresa","regalo","lealtad","detalle","gracias","pensamos en ti","para ti"},E34)))&gt;0,"Recompensa o sorpresa","Otro: beneficio o novedad"))))</f>
        <v>Otro: beneficio o novedad</v>
      </c>
    </row>
    <row r="35" spans="1:46" x14ac:dyDescent="0.2">
      <c r="A35" s="96" t="s">
        <v>806</v>
      </c>
      <c r="B35" s="96" t="s">
        <v>276</v>
      </c>
      <c r="C35" s="96" t="s">
        <v>807</v>
      </c>
      <c r="D35" s="96" t="s">
        <v>769</v>
      </c>
      <c r="E35" s="96" t="s">
        <v>808</v>
      </c>
      <c r="F35" s="96" t="s">
        <v>809</v>
      </c>
      <c r="G35" s="97">
        <v>489353</v>
      </c>
      <c r="H35" s="97">
        <v>189037</v>
      </c>
      <c r="I35" s="97">
        <v>58022</v>
      </c>
      <c r="J35" s="98">
        <v>1.79</v>
      </c>
      <c r="K35" s="98">
        <v>3.8</v>
      </c>
      <c r="L35" s="99">
        <v>78858.039999999994</v>
      </c>
      <c r="M35" s="100">
        <f t="shared" si="0"/>
        <v>38.629986941941709</v>
      </c>
      <c r="N35" s="100">
        <f t="shared" si="1"/>
        <v>11.8568804114821</v>
      </c>
      <c r="O35" s="100">
        <f t="shared" si="2"/>
        <v>30.693462126462016</v>
      </c>
      <c r="P35" s="100">
        <f t="shared" si="3"/>
        <v>161.14755605871426</v>
      </c>
      <c r="Q35" s="100">
        <f t="shared" si="4"/>
        <v>38.629986941941709</v>
      </c>
      <c r="R35" s="100">
        <f t="shared" si="5"/>
        <v>29.440902453236173</v>
      </c>
      <c r="S35" s="101">
        <f t="shared" si="6"/>
        <v>45912</v>
      </c>
      <c r="T35" s="102" t="str">
        <f t="shared" si="7"/>
        <v>Septiembre</v>
      </c>
      <c r="U35" s="102" t="str">
        <f t="shared" si="8"/>
        <v>Viernes</v>
      </c>
      <c r="V35" s="102">
        <f t="shared" si="9"/>
        <v>13</v>
      </c>
      <c r="W35" s="102" t="str">
        <f t="shared" si="10"/>
        <v>Resto del mes</v>
      </c>
      <c r="X35" s="102">
        <f t="shared" si="11"/>
        <v>1</v>
      </c>
      <c r="Y35" s="102" t="str">
        <f t="shared" si="12"/>
        <v>No</v>
      </c>
      <c r="Z35" s="102" t="str">
        <f>CHOOSE(MATCH(B35,{"Customer Appreciation","Exclusive Offers","Flash Sale","Holiday Discounts","New Product Launch","Newsletter"},0),"Fidelizar","Vender","Vender","Vender","Lanzar","Educar")</f>
        <v>Vender</v>
      </c>
      <c r="AA35" s="102" t="str">
        <f t="shared" si="13"/>
        <v>Más de 400 mil</v>
      </c>
      <c r="AB35" s="102">
        <f>COUNTIFS($E$5:$E$493,E35,$S$5:$S$493,"&lt;"&amp;S35)+COUNTIFS($E$5:E35,E35,$S$5:S35,S35)</f>
        <v>1</v>
      </c>
      <c r="AC35" s="102">
        <f t="shared" si="14"/>
        <v>1</v>
      </c>
      <c r="AD35" s="102" t="str">
        <f t="shared" si="15"/>
        <v/>
      </c>
      <c r="AE35" s="103">
        <f t="shared" si="16"/>
        <v>0</v>
      </c>
      <c r="AF35" s="102" t="str">
        <f t="shared" si="17"/>
        <v xml:space="preserve">  oferta express  no parpadees  tus productos favoritos te esperan </v>
      </c>
      <c r="AG35" s="102" t="str">
        <f t="shared" si="18"/>
        <v xml:space="preserve"> descuentos por tiempo limitado en tus favoritos de siempre   compra ahora  </v>
      </c>
      <c r="AH35" s="102" t="str">
        <f>IF(SUMPRODUCT(--(LEFT(IF(LEFT(LOWER(E35),1)="¡",MID(LOWER(E35),2,300),LOWER(E35)),LEN({"actualizaci","el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35" s="102" t="str">
        <f>IF(OR(SUMPRODUCT(--ISNUMBER(SEARCH({"descuento","oferta","ahorr","precio"," sale ","flash","deals"},AF35)))&gt;0,SUMPRODUCT(--ISNUMBER(SEARCH({"descuento","oferta","ahorr","precio"," sale ","flash","deals"},AG35)))&gt;0),"Sí","No")</f>
        <v>Sí</v>
      </c>
      <c r="AJ35" s="102" t="str">
        <f>IF(SUMPRODUCT(--ISNUMBER(SEARCH({" hoy ","horas","tiempo limitado","antes de que","se acab","se agot","finalic","última oportunidad","oportunidad única","relámpago","express","no esperes","no volver","no parpadees"},AF35)))&gt;0,"Sí","No")</f>
        <v>Sí</v>
      </c>
      <c r="AK35" s="102" t="str">
        <f>IF(SUMPRODUCT(--ISNUMBER(SEARCH({" hoy ","horas","tiempo limitado","antes de que","se acab","se agot","finalic","última oportunidad","oportunidad única","relámpago","express","no esperes","no volver","no parpadees"},AG35)))&gt;0,"Sí","No")</f>
        <v>Sí</v>
      </c>
      <c r="AL35" s="102" t="str">
        <f t="shared" si="19"/>
        <v>Descuento con tiempo límite en el asunto</v>
      </c>
      <c r="AM35" s="102" t="str">
        <f>IF(SUMPRODUCT(--ISNUMBER(SEARCH({"0","1","2","3","4","5","6","7","8","9","favorit","maquillaje","piel","cabello","productos","belleza","regalo"},E35)))&gt;0,"Sí","No")</f>
        <v>Sí</v>
      </c>
      <c r="AN35" s="102" t="str">
        <f>IF(SUMPRODUCT(--ISNUMBER(SEARCH({"lo que tenemos","estas ofertas","algo especial","ofertas únicas","que preparamos","no te quedes","echa un vistazo"},F35)))&gt;0,"Sí","No")</f>
        <v>No</v>
      </c>
      <c r="AO35" s="102">
        <f t="shared" si="20"/>
        <v>65</v>
      </c>
      <c r="AP35" s="102">
        <f t="shared" si="21"/>
        <v>9</v>
      </c>
      <c r="AQ35" s="102">
        <f>SUMPRODUCT(LEN(E35)-LEN(SUBSTITUTE(E35,{"!","¡","?","¿",":",",",".","%","·","-",";"},"")))</f>
        <v>3</v>
      </c>
      <c r="AR35" s="102" t="str">
        <f t="shared" si="22"/>
        <v>No</v>
      </c>
      <c r="AS35" s="102" t="str">
        <f t="shared" si="23"/>
        <v>No</v>
      </c>
      <c r="AT35" s="102" t="str">
        <f>IF(SUMPRODUCT(--ISNUMBER(FIND({"0","1","2","3","4","5","6","7","8","9"},E35)))&gt;0,"Con cifra concreta",IF(OR(ISNUMBER(FIND("?",E35)),ISNUMBER(FIND("¿",E35))),"Pregunta abierta",IF(SUMPRODUCT(--ISNUMBER(SEARCH({" hoy ","horas","tiempo limitado","antes de que","se acab","se agot","finalic","última oportunidad","oportunidad única","relámpago","express","no esperes","no volver","no parpadees"," ya ","últimas horas","últimas unidades"," ahora "},AF35)))&gt;0,"Solo urgencia, sin cifra",IF(SUMPRODUCT(--ISNUMBER(SEARCH({"recompensa","sorpresa","regalo","lealtad","detalle","gracias","pensamos en ti","para ti"},E35)))&gt;0,"Recompensa o sorpresa","Otro: beneficio o novedad"))))</f>
        <v>Solo urgencia, sin cifra</v>
      </c>
    </row>
    <row r="36" spans="1:46" x14ac:dyDescent="0.2">
      <c r="A36" s="104" t="s">
        <v>810</v>
      </c>
      <c r="B36" s="104" t="s">
        <v>275</v>
      </c>
      <c r="C36" s="104" t="s">
        <v>811</v>
      </c>
      <c r="D36" s="104" t="s">
        <v>686</v>
      </c>
      <c r="E36" s="104" t="s">
        <v>812</v>
      </c>
      <c r="F36" s="104" t="s">
        <v>813</v>
      </c>
      <c r="G36" s="105">
        <v>353971</v>
      </c>
      <c r="H36" s="105">
        <v>83679</v>
      </c>
      <c r="I36" s="105">
        <v>45450</v>
      </c>
      <c r="J36" s="106">
        <v>3.81</v>
      </c>
      <c r="K36" s="106">
        <v>2.14</v>
      </c>
      <c r="L36" s="107">
        <v>48477.74</v>
      </c>
      <c r="M36" s="108">
        <f t="shared" si="0"/>
        <v>23.640072209305281</v>
      </c>
      <c r="N36" s="108">
        <f t="shared" si="1"/>
        <v>12.840034918114762</v>
      </c>
      <c r="O36" s="108">
        <f t="shared" si="2"/>
        <v>54.314702613558964</v>
      </c>
      <c r="P36" s="108">
        <f t="shared" si="3"/>
        <v>136.95398775605909</v>
      </c>
      <c r="Q36" s="108">
        <f t="shared" si="4"/>
        <v>23.640072209305281</v>
      </c>
      <c r="R36" s="108">
        <f t="shared" si="5"/>
        <v>27.021447627328243</v>
      </c>
      <c r="S36" s="101">
        <f t="shared" si="6"/>
        <v>45876</v>
      </c>
      <c r="T36" s="102" t="str">
        <f t="shared" si="7"/>
        <v>Agosto</v>
      </c>
      <c r="U36" s="102" t="str">
        <f t="shared" si="8"/>
        <v>Jueves</v>
      </c>
      <c r="V36" s="102">
        <f t="shared" si="9"/>
        <v>10</v>
      </c>
      <c r="W36" s="102" t="str">
        <f t="shared" si="10"/>
        <v>Resto del mes</v>
      </c>
      <c r="X36" s="102">
        <f t="shared" si="11"/>
        <v>2</v>
      </c>
      <c r="Y36" s="102" t="str">
        <f t="shared" si="12"/>
        <v>No</v>
      </c>
      <c r="Z36" s="102" t="str">
        <f>CHOOSE(MATCH(B36,{"Customer Appreciation","Exclusive Offers","Flash Sale","Holiday Discounts","New Product Launch","Newsletter"},0),"Fidelizar","Vender","Vender","Vender","Lanzar","Educar")</f>
        <v>Vender</v>
      </c>
      <c r="AA36" s="102" t="str">
        <f t="shared" si="13"/>
        <v>300 a 400 mil</v>
      </c>
      <c r="AB36" s="102">
        <f>COUNTIFS($E$5:$E$493,E36,$S$5:$S$493,"&lt;"&amp;S36)+COUNTIFS($E$5:E36,E36,$S$5:S36,S36)</f>
        <v>1</v>
      </c>
      <c r="AC36" s="102">
        <f t="shared" si="14"/>
        <v>1</v>
      </c>
      <c r="AD36" s="102" t="str">
        <f t="shared" si="15"/>
        <v/>
      </c>
      <c r="AE36" s="103">
        <f t="shared" si="16"/>
        <v>0</v>
      </c>
      <c r="AF36" s="102" t="str">
        <f t="shared" si="17"/>
        <v xml:space="preserve">  no te quedes fuera  ofertas que vuelan </v>
      </c>
      <c r="AG36" s="102" t="str">
        <f t="shared" si="18"/>
        <v xml:space="preserve"> no te quedes sin tus productos favoritos   aprovecha  </v>
      </c>
      <c r="AH36" s="102" t="str">
        <f>IF(SUMPRODUCT(--(LEFT(IF(LEFT(LOWER(E36),1)="¡",MID(LOWER(E36),2,300),LOWER(E36)),LEN({"actualizaci","el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36" s="102" t="str">
        <f>IF(OR(SUMPRODUCT(--ISNUMBER(SEARCH({"descuento","oferta","ahorr","precio"," sale ","flash","deals"},AF36)))&gt;0,SUMPRODUCT(--ISNUMBER(SEARCH({"descuento","oferta","ahorr","precio"," sale ","flash","deals"},AG36)))&gt;0),"Sí","No")</f>
        <v>Sí</v>
      </c>
      <c r="AJ36" s="102" t="str">
        <f>IF(SUMPRODUCT(--ISNUMBER(SEARCH({" hoy ","horas","tiempo limitado","antes de que","se acab","se agot","finalic","última oportunidad","oportunidad única","relámpago","express","no esperes","no volver","no parpadees"},AF36)))&gt;0,"Sí","No")</f>
        <v>No</v>
      </c>
      <c r="AK36" s="102" t="str">
        <f>IF(SUMPRODUCT(--ISNUMBER(SEARCH({" hoy ","horas","tiempo limitado","antes de que","se acab","se agot","finalic","última oportunidad","oportunidad única","relámpago","express","no esperes","no volver","no parpadees"},AG36)))&gt;0,"Sí","No")</f>
        <v>No</v>
      </c>
      <c r="AL36" s="102" t="str">
        <f t="shared" si="19"/>
        <v>Descuento sin tiempo límite</v>
      </c>
      <c r="AM36" s="102" t="str">
        <f>IF(SUMPRODUCT(--ISNUMBER(SEARCH({"0","1","2","3","4","5","6","7","8","9","favorit","maquillaje","piel","cabello","productos","belleza","regalo"},E36)))&gt;0,"Sí","No")</f>
        <v>No</v>
      </c>
      <c r="AN36" s="102" t="str">
        <f>IF(SUMPRODUCT(--ISNUMBER(SEARCH({"lo que tenemos","estas ofertas","algo especial","ofertas únicas","que preparamos","no te quedes","echa un vistazo"},F36)))&gt;0,"Sí","No")</f>
        <v>Sí</v>
      </c>
      <c r="AO36" s="102">
        <f t="shared" si="20"/>
        <v>39</v>
      </c>
      <c r="AP36" s="102">
        <f t="shared" si="21"/>
        <v>7</v>
      </c>
      <c r="AQ36" s="102">
        <f>SUMPRODUCT(LEN(E36)-LEN(SUBSTITUTE(E36,{"!","¡","?","¿",":",",",".","%","·","-",";"},"")))</f>
        <v>2</v>
      </c>
      <c r="AR36" s="102" t="str">
        <f t="shared" si="22"/>
        <v>Sí</v>
      </c>
      <c r="AS36" s="102" t="str">
        <f t="shared" si="23"/>
        <v>No</v>
      </c>
      <c r="AT36" s="102" t="str">
        <f>IF(SUMPRODUCT(--ISNUMBER(FIND({"0","1","2","3","4","5","6","7","8","9"},E36)))&gt;0,"Con cifra concreta",IF(OR(ISNUMBER(FIND("?",E36)),ISNUMBER(FIND("¿",E36))),"Pregunta abierta",IF(SUMPRODUCT(--ISNUMBER(SEARCH({" hoy ","horas","tiempo limitado","antes de que","se acab","se agot","finalic","última oportunidad","oportunidad única","relámpago","express","no esperes","no volver","no parpadees"," ya ","últimas horas","últimas unidades"," ahora "},AF36)))&gt;0,"Solo urgencia, sin cifra",IF(SUMPRODUCT(--ISNUMBER(SEARCH({"recompensa","sorpresa","regalo","lealtad","detalle","gracias","pensamos en ti","para ti"},E36)))&gt;0,"Recompensa o sorpresa","Otro: beneficio o novedad"))))</f>
        <v>Otro: beneficio o novedad</v>
      </c>
    </row>
    <row r="37" spans="1:46" x14ac:dyDescent="0.2">
      <c r="A37" s="96" t="s">
        <v>814</v>
      </c>
      <c r="B37" s="96" t="s">
        <v>274</v>
      </c>
      <c r="C37" s="96" t="s">
        <v>815</v>
      </c>
      <c r="D37" s="96" t="s">
        <v>816</v>
      </c>
      <c r="E37" s="96" t="s">
        <v>817</v>
      </c>
      <c r="F37" s="96" t="s">
        <v>818</v>
      </c>
      <c r="G37" s="97">
        <v>313439</v>
      </c>
      <c r="H37" s="97">
        <v>129997</v>
      </c>
      <c r="I37" s="97">
        <v>53518</v>
      </c>
      <c r="J37" s="98">
        <v>6.85</v>
      </c>
      <c r="K37" s="98">
        <v>0.56999999999999995</v>
      </c>
      <c r="L37" s="99">
        <v>62544.44</v>
      </c>
      <c r="M37" s="100">
        <f t="shared" si="0"/>
        <v>41.474417669785829</v>
      </c>
      <c r="N37" s="100">
        <f t="shared" si="1"/>
        <v>17.074454678581795</v>
      </c>
      <c r="O37" s="100">
        <f t="shared" si="2"/>
        <v>41.168642353285072</v>
      </c>
      <c r="P37" s="100">
        <f t="shared" si="3"/>
        <v>199.54262232842754</v>
      </c>
      <c r="Q37" s="100">
        <f t="shared" si="4"/>
        <v>29.881859851946338</v>
      </c>
      <c r="R37" s="100">
        <f t="shared" si="5"/>
        <v>31.113650744455075</v>
      </c>
      <c r="S37" s="101">
        <f t="shared" si="6"/>
        <v>45959</v>
      </c>
      <c r="T37" s="102" t="str">
        <f t="shared" si="7"/>
        <v>Octubre</v>
      </c>
      <c r="U37" s="102" t="str">
        <f t="shared" si="8"/>
        <v>Miércoles</v>
      </c>
      <c r="V37" s="102">
        <f t="shared" si="9"/>
        <v>16</v>
      </c>
      <c r="W37" s="102" t="str">
        <f t="shared" si="10"/>
        <v>Resto del mes</v>
      </c>
      <c r="X37" s="102">
        <f t="shared" si="11"/>
        <v>27</v>
      </c>
      <c r="Y37" s="102" t="str">
        <f t="shared" si="12"/>
        <v>Sí</v>
      </c>
      <c r="Z37" s="102" t="str">
        <f>CHOOSE(MATCH(B37,{"Customer Appreciation","Exclusive Offers","Flash Sale","Holiday Discounts","New Product Launch","Newsletter"},0),"Fidelizar","Vender","Vender","Vender","Lanzar","Educar")</f>
        <v>Fidelizar</v>
      </c>
      <c r="AA37" s="102" t="str">
        <f t="shared" si="13"/>
        <v>300 a 400 mil</v>
      </c>
      <c r="AB37" s="102">
        <f>COUNTIFS($E$5:$E$493,E37,$S$5:$S$493,"&lt;"&amp;S37)+COUNTIFS($E$5:E37,E37,$S$5:S37,S37)</f>
        <v>5</v>
      </c>
      <c r="AC37" s="102">
        <f t="shared" si="14"/>
        <v>5</v>
      </c>
      <c r="AD37" s="102" t="str">
        <f t="shared" si="15"/>
        <v/>
      </c>
      <c r="AE37" s="103">
        <f t="shared" si="16"/>
        <v>11.592557817839491</v>
      </c>
      <c r="AF37" s="102" t="str">
        <f t="shared" si="17"/>
        <v xml:space="preserve">  un gesto de gratitud de l'oréal  tu belleza  nuestra pasión </v>
      </c>
      <c r="AG37" s="102" t="str">
        <f t="shared" si="18"/>
        <v xml:space="preserve"> hemos preparado algo especial para ti   descúbrelo ahora  </v>
      </c>
      <c r="AH37" s="102" t="str">
        <f>IF(SUMPRODUCT(--(LEFT(IF(LEFT(LOWER(E37),1)="¡",MID(LOWER(E37),2,300),LOWER(E37)),LEN({"actualizaci","el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37" s="102" t="str">
        <f>IF(OR(SUMPRODUCT(--ISNUMBER(SEARCH({"descuento","oferta","ahorr","precio"," sale ","flash","deals"},AF37)))&gt;0,SUMPRODUCT(--ISNUMBER(SEARCH({"descuento","oferta","ahorr","precio"," sale ","flash","deals"},AG37)))&gt;0),"Sí","No")</f>
        <v>No</v>
      </c>
      <c r="AJ37" s="102" t="str">
        <f>IF(SUMPRODUCT(--ISNUMBER(SEARCH({" hoy ","horas","tiempo limitado","antes de que","se acab","se agot","finalic","última oportunidad","oportunidad única","relámpago","express","no esperes","no volver","no parpadees"},AF37)))&gt;0,"Sí","No")</f>
        <v>No</v>
      </c>
      <c r="AK37" s="102" t="str">
        <f>IF(SUMPRODUCT(--ISNUMBER(SEARCH({" hoy ","horas","tiempo limitado","antes de que","se acab","se agot","finalic","última oportunidad","oportunidad única","relámpago","express","no esperes","no volver","no parpadees"},AG37)))&gt;0,"Sí","No")</f>
        <v>No</v>
      </c>
      <c r="AL37" s="102" t="str">
        <f t="shared" si="19"/>
        <v>Sin descuento</v>
      </c>
      <c r="AM37" s="102" t="str">
        <f>IF(SUMPRODUCT(--ISNUMBER(SEARCH({"0","1","2","3","4","5","6","7","8","9","favorit","maquillaje","piel","cabello","productos","belleza","regalo"},E37)))&gt;0,"Sí","No")</f>
        <v>Sí</v>
      </c>
      <c r="AN37" s="102" t="str">
        <f>IF(SUMPRODUCT(--ISNUMBER(SEARCH({"lo que tenemos","estas ofertas","algo especial","ofertas únicas","que preparamos","no te quedes","echa un vistazo"},F37)))&gt;0,"Sí","No")</f>
        <v>Sí</v>
      </c>
      <c r="AO37" s="102">
        <f t="shared" si="20"/>
        <v>60</v>
      </c>
      <c r="AP37" s="102">
        <f t="shared" si="21"/>
        <v>10</v>
      </c>
      <c r="AQ37" s="102">
        <f>SUMPRODUCT(LEN(E37)-LEN(SUBSTITUTE(E37,{"!","¡","?","¿",":",",",".","%","·","-",";"},"")))</f>
        <v>3</v>
      </c>
      <c r="AR37" s="102" t="str">
        <f t="shared" si="22"/>
        <v>No</v>
      </c>
      <c r="AS37" s="102" t="str">
        <f t="shared" si="23"/>
        <v>No</v>
      </c>
      <c r="AT37" s="102" t="str">
        <f>IF(SUMPRODUCT(--ISNUMBER(FIND({"0","1","2","3","4","5","6","7","8","9"},E37)))&gt;0,"Con cifra concreta",IF(OR(ISNUMBER(FIND("?",E37)),ISNUMBER(FIND("¿",E37))),"Pregunta abierta",IF(SUMPRODUCT(--ISNUMBER(SEARCH({" hoy ","horas","tiempo limitado","antes de que","se acab","se agot","finalic","última oportunidad","oportunidad única","relámpago","express","no esperes","no volver","no parpadees"," ya ","últimas horas","últimas unidades"," ahora "},AF37)))&gt;0,"Solo urgencia, sin cifra",IF(SUMPRODUCT(--ISNUMBER(SEARCH({"recompensa","sorpresa","regalo","lealtad","detalle","gracias","pensamos en ti","para ti"},E37)))&gt;0,"Recompensa o sorpresa","Otro: beneficio o novedad"))))</f>
        <v>Otro: beneficio o novedad</v>
      </c>
    </row>
    <row r="38" spans="1:46" x14ac:dyDescent="0.2">
      <c r="A38" s="104" t="s">
        <v>819</v>
      </c>
      <c r="B38" s="104" t="s">
        <v>275</v>
      </c>
      <c r="C38" s="104" t="s">
        <v>820</v>
      </c>
      <c r="D38" s="104" t="s">
        <v>821</v>
      </c>
      <c r="E38" s="104" t="s">
        <v>486</v>
      </c>
      <c r="F38" s="104" t="s">
        <v>487</v>
      </c>
      <c r="G38" s="105">
        <v>155805</v>
      </c>
      <c r="H38" s="105">
        <v>17260</v>
      </c>
      <c r="I38" s="105">
        <v>15039</v>
      </c>
      <c r="J38" s="106">
        <v>3.03</v>
      </c>
      <c r="K38" s="106">
        <v>0.53</v>
      </c>
      <c r="L38" s="107">
        <v>39163.67</v>
      </c>
      <c r="M38" s="108">
        <f t="shared" si="0"/>
        <v>11.07795000160457</v>
      </c>
      <c r="N38" s="108">
        <f t="shared" si="1"/>
        <v>9.6524501781072498</v>
      </c>
      <c r="O38" s="108">
        <f t="shared" si="2"/>
        <v>87.132097334878338</v>
      </c>
      <c r="P38" s="108">
        <f t="shared" si="3"/>
        <v>251.36337088026701</v>
      </c>
      <c r="Q38" s="108">
        <f t="shared" si="4"/>
        <v>10.717211021745861</v>
      </c>
      <c r="R38" s="108">
        <f t="shared" si="5"/>
        <v>27.021447627328243</v>
      </c>
      <c r="S38" s="101">
        <f t="shared" si="6"/>
        <v>45927</v>
      </c>
      <c r="T38" s="102" t="str">
        <f t="shared" si="7"/>
        <v>Septiembre</v>
      </c>
      <c r="U38" s="102" t="str">
        <f t="shared" si="8"/>
        <v>Sábado</v>
      </c>
      <c r="V38" s="102">
        <f t="shared" si="9"/>
        <v>8</v>
      </c>
      <c r="W38" s="102" t="str">
        <f t="shared" si="10"/>
        <v>Resto del mes</v>
      </c>
      <c r="X38" s="102">
        <f t="shared" si="11"/>
        <v>1</v>
      </c>
      <c r="Y38" s="102" t="str">
        <f t="shared" si="12"/>
        <v>No</v>
      </c>
      <c r="Z38" s="102" t="str">
        <f>CHOOSE(MATCH(B38,{"Customer Appreciation","Exclusive Offers","Flash Sale","Holiday Discounts","New Product Launch","Newsletter"},0),"Fidelizar","Vender","Vender","Vender","Lanzar","Educar")</f>
        <v>Vender</v>
      </c>
      <c r="AA38" s="102" t="str">
        <f t="shared" si="13"/>
        <v>100 a 200 mil</v>
      </c>
      <c r="AB38" s="102">
        <f>COUNTIFS($E$5:$E$493,E38,$S$5:$S$493,"&lt;"&amp;S38)+COUNTIFS($E$5:E38,E38,$S$5:S38,S38)</f>
        <v>6</v>
      </c>
      <c r="AC38" s="102">
        <f t="shared" si="14"/>
        <v>8</v>
      </c>
      <c r="AD38" s="102" t="str">
        <f t="shared" si="15"/>
        <v>Último tercio</v>
      </c>
      <c r="AE38" s="103">
        <f t="shared" si="16"/>
        <v>0.36073897985870929</v>
      </c>
      <c r="AF38" s="102" t="str">
        <f t="shared" si="17"/>
        <v xml:space="preserve">  oportunidades de ahorro  descúbrelas  solo para ti </v>
      </c>
      <c r="AG38" s="102" t="str">
        <f t="shared" si="18"/>
        <v xml:space="preserve"> no te pierdas estas ofertas únicas que tenemos para ti   entra ya  </v>
      </c>
      <c r="AH38" s="102" t="str">
        <f>IF(SUMPRODUCT(--(LEFT(IF(LEFT(LOWER(E38),1)="¡",MID(LOWER(E38),2,300),LOWER(E38)),LEN({"actualizaci","el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Sí</v>
      </c>
      <c r="AI38" s="102" t="str">
        <f>IF(OR(SUMPRODUCT(--ISNUMBER(SEARCH({"descuento","oferta","ahorr","precio"," sale ","flash","deals"},AF38)))&gt;0,SUMPRODUCT(--ISNUMBER(SEARCH({"descuento","oferta","ahorr","precio"," sale ","flash","deals"},AG38)))&gt;0),"Sí","No")</f>
        <v>Sí</v>
      </c>
      <c r="AJ38" s="102" t="str">
        <f>IF(SUMPRODUCT(--ISNUMBER(SEARCH({" hoy ","horas","tiempo limitado","antes de que","se acab","se agot","finalic","última oportunidad","oportunidad única","relámpago","express","no esperes","no volver","no parpadees"},AF38)))&gt;0,"Sí","No")</f>
        <v>No</v>
      </c>
      <c r="AK38" s="102" t="str">
        <f>IF(SUMPRODUCT(--ISNUMBER(SEARCH({" hoy ","horas","tiempo limitado","antes de que","se acab","se agot","finalic","última oportunidad","oportunidad única","relámpago","express","no esperes","no volver","no parpadees"},AG38)))&gt;0,"Sí","No")</f>
        <v>No</v>
      </c>
      <c r="AL38" s="102" t="str">
        <f t="shared" si="19"/>
        <v>Descuento sin tiempo límite</v>
      </c>
      <c r="AM38" s="102" t="str">
        <f>IF(SUMPRODUCT(--ISNUMBER(SEARCH({"0","1","2","3","4","5","6","7","8","9","favorit","maquillaje","piel","cabello","productos","belleza","regalo"},E38)))&gt;0,"Sí","No")</f>
        <v>No</v>
      </c>
      <c r="AN38" s="102" t="str">
        <f>IF(SUMPRODUCT(--ISNUMBER(SEARCH({"lo que tenemos","estas ofertas","algo especial","ofertas únicas","que preparamos","no te quedes","echa un vistazo"},F38)))&gt;0,"Sí","No")</f>
        <v>Sí</v>
      </c>
      <c r="AO38" s="102">
        <f t="shared" si="20"/>
        <v>51</v>
      </c>
      <c r="AP38" s="102">
        <f t="shared" si="21"/>
        <v>7</v>
      </c>
      <c r="AQ38" s="102">
        <f>SUMPRODUCT(LEN(E38)-LEN(SUBSTITUTE(E38,{"!","¡","?","¿",":",",",".","%","·","-",";"},"")))</f>
        <v>3</v>
      </c>
      <c r="AR38" s="102" t="str">
        <f t="shared" si="22"/>
        <v>Sí</v>
      </c>
      <c r="AS38" s="102" t="str">
        <f t="shared" si="23"/>
        <v>No</v>
      </c>
      <c r="AT38" s="102" t="str">
        <f>IF(SUMPRODUCT(--ISNUMBER(FIND({"0","1","2","3","4","5","6","7","8","9"},E38)))&gt;0,"Con cifra concreta",IF(OR(ISNUMBER(FIND("?",E38)),ISNUMBER(FIND("¿",E38))),"Pregunta abierta",IF(SUMPRODUCT(--ISNUMBER(SEARCH({" hoy ","horas","tiempo limitado","antes de que","se acab","se agot","finalic","última oportunidad","oportunidad única","relámpago","express","no esperes","no volver","no parpadees"," ya ","últimas horas","últimas unidades"," ahora "},AF38)))&gt;0,"Solo urgencia, sin cifra",IF(SUMPRODUCT(--ISNUMBER(SEARCH({"recompensa","sorpresa","regalo","lealtad","detalle","gracias","pensamos en ti","para ti"},E38)))&gt;0,"Recompensa o sorpresa","Otro: beneficio o novedad"))))</f>
        <v>Recompensa o sorpresa</v>
      </c>
    </row>
    <row r="39" spans="1:46" x14ac:dyDescent="0.2">
      <c r="A39" s="96" t="s">
        <v>822</v>
      </c>
      <c r="B39" s="96" t="s">
        <v>279</v>
      </c>
      <c r="C39" s="96" t="s">
        <v>823</v>
      </c>
      <c r="D39" s="96" t="s">
        <v>824</v>
      </c>
      <c r="E39" s="96" t="s">
        <v>825</v>
      </c>
      <c r="F39" s="96" t="s">
        <v>826</v>
      </c>
      <c r="G39" s="97">
        <v>388772</v>
      </c>
      <c r="H39" s="97">
        <v>83935</v>
      </c>
      <c r="I39" s="97">
        <v>64344</v>
      </c>
      <c r="J39" s="98">
        <v>6.95</v>
      </c>
      <c r="K39" s="98">
        <v>0.63</v>
      </c>
      <c r="L39" s="99">
        <v>90073.75</v>
      </c>
      <c r="M39" s="100">
        <f t="shared" si="0"/>
        <v>21.589774983795131</v>
      </c>
      <c r="N39" s="100">
        <f t="shared" si="1"/>
        <v>16.550574629860176</v>
      </c>
      <c r="O39" s="100">
        <f t="shared" si="2"/>
        <v>76.659319711681661</v>
      </c>
      <c r="P39" s="100">
        <f t="shared" si="3"/>
        <v>231.68785303468357</v>
      </c>
      <c r="Q39" s="100">
        <f t="shared" si="4"/>
        <v>21.589774983795131</v>
      </c>
      <c r="R39" s="100">
        <f t="shared" si="5"/>
        <v>27.75136451093497</v>
      </c>
      <c r="S39" s="101">
        <f t="shared" si="6"/>
        <v>45898</v>
      </c>
      <c r="T39" s="102" t="str">
        <f t="shared" si="7"/>
        <v>Agosto</v>
      </c>
      <c r="U39" s="102" t="str">
        <f t="shared" si="8"/>
        <v>Viernes</v>
      </c>
      <c r="V39" s="102">
        <f t="shared" si="9"/>
        <v>10</v>
      </c>
      <c r="W39" s="102" t="str">
        <f t="shared" si="10"/>
        <v>Resto del mes</v>
      </c>
      <c r="X39" s="102">
        <f t="shared" si="11"/>
        <v>1</v>
      </c>
      <c r="Y39" s="102" t="str">
        <f t="shared" si="12"/>
        <v>No</v>
      </c>
      <c r="Z39" s="102" t="str">
        <f>CHOOSE(MATCH(B39,{"Customer Appreciation","Exclusive Offers","Flash Sale","Holiday Discounts","New Product Launch","Newsletter"},0),"Fidelizar","Vender","Vender","Vender","Lanzar","Educar")</f>
        <v>Educar</v>
      </c>
      <c r="AA39" s="102" t="str">
        <f t="shared" si="13"/>
        <v>300 a 400 mil</v>
      </c>
      <c r="AB39" s="102">
        <f>COUNTIFS($E$5:$E$493,E39,$S$5:$S$493,"&lt;"&amp;S39)+COUNTIFS($E$5:E39,E39,$S$5:S39,S39)</f>
        <v>1</v>
      </c>
      <c r="AC39" s="102">
        <f t="shared" si="14"/>
        <v>1</v>
      </c>
      <c r="AD39" s="102" t="str">
        <f t="shared" si="15"/>
        <v/>
      </c>
      <c r="AE39" s="103">
        <f t="shared" si="16"/>
        <v>0</v>
      </c>
      <c r="AF39" s="102" t="str">
        <f t="shared" si="17"/>
        <v xml:space="preserve"> tu resumen semanal de belleza  tendencias y más </v>
      </c>
      <c r="AG39" s="102" t="str">
        <f t="shared" si="18"/>
        <v xml:space="preserve"> todo lo que necesitas saber para estar al día   lee ahora  </v>
      </c>
      <c r="AH39" s="102" t="str">
        <f>IF(SUMPRODUCT(--(LEFT(IF(LEFT(LOWER(E39),1)="¡",MID(LOWER(E39),2,300),LOWER(E39)),LEN({"actualizaci","el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Sí</v>
      </c>
      <c r="AI39" s="102" t="str">
        <f>IF(OR(SUMPRODUCT(--ISNUMBER(SEARCH({"descuento","oferta","ahorr","precio"," sale ","flash","deals"},AF39)))&gt;0,SUMPRODUCT(--ISNUMBER(SEARCH({"descuento","oferta","ahorr","precio"," sale ","flash","deals"},AG39)))&gt;0),"Sí","No")</f>
        <v>No</v>
      </c>
      <c r="AJ39" s="102" t="str">
        <f>IF(SUMPRODUCT(--ISNUMBER(SEARCH({" hoy ","horas","tiempo limitado","antes de que","se acab","se agot","finalic","última oportunidad","oportunidad única","relámpago","express","no esperes","no volver","no parpadees"},AF39)))&gt;0,"Sí","No")</f>
        <v>No</v>
      </c>
      <c r="AK39" s="102" t="str">
        <f>IF(SUMPRODUCT(--ISNUMBER(SEARCH({" hoy ","horas","tiempo limitado","antes de que","se acab","se agot","finalic","última oportunidad","oportunidad única","relámpago","express","no esperes","no volver","no parpadees"},AG39)))&gt;0,"Sí","No")</f>
        <v>No</v>
      </c>
      <c r="AL39" s="102" t="str">
        <f t="shared" si="19"/>
        <v>Sin descuento</v>
      </c>
      <c r="AM39" s="102" t="str">
        <f>IF(SUMPRODUCT(--ISNUMBER(SEARCH({"0","1","2","3","4","5","6","7","8","9","favorit","maquillaje","piel","cabello","productos","belleza","regalo"},E39)))&gt;0,"Sí","No")</f>
        <v>Sí</v>
      </c>
      <c r="AN39" s="102" t="str">
        <f>IF(SUMPRODUCT(--ISNUMBER(SEARCH({"lo que tenemos","estas ofertas","algo especial","ofertas únicas","que preparamos","no te quedes","echa un vistazo"},F39)))&gt;0,"Sí","No")</f>
        <v>No</v>
      </c>
      <c r="AO39" s="102">
        <f t="shared" si="20"/>
        <v>47</v>
      </c>
      <c r="AP39" s="102">
        <f t="shared" si="21"/>
        <v>8</v>
      </c>
      <c r="AQ39" s="102">
        <f>SUMPRODUCT(LEN(E39)-LEN(SUBSTITUTE(E39,{"!","¡","?","¿",":",",",".","%","·","-",";"},"")))</f>
        <v>1</v>
      </c>
      <c r="AR39" s="102" t="str">
        <f t="shared" si="22"/>
        <v>Sí</v>
      </c>
      <c r="AS39" s="102" t="str">
        <f t="shared" si="23"/>
        <v>No</v>
      </c>
      <c r="AT39" s="102" t="str">
        <f>IF(SUMPRODUCT(--ISNUMBER(FIND({"0","1","2","3","4","5","6","7","8","9"},E39)))&gt;0,"Con cifra concreta",IF(OR(ISNUMBER(FIND("?",E39)),ISNUMBER(FIND("¿",E39))),"Pregunta abierta",IF(SUMPRODUCT(--ISNUMBER(SEARCH({" hoy ","horas","tiempo limitado","antes de que","se acab","se agot","finalic","última oportunidad","oportunidad única","relámpago","express","no esperes","no volver","no parpadees"," ya ","últimas horas","últimas unidades"," ahora "},AF39)))&gt;0,"Solo urgencia, sin cifra",IF(SUMPRODUCT(--ISNUMBER(SEARCH({"recompensa","sorpresa","regalo","lealtad","detalle","gracias","pensamos en ti","para ti"},E39)))&gt;0,"Recompensa o sorpresa","Otro: beneficio o novedad"))))</f>
        <v>Otro: beneficio o novedad</v>
      </c>
    </row>
    <row r="40" spans="1:46" x14ac:dyDescent="0.2">
      <c r="A40" s="104" t="s">
        <v>827</v>
      </c>
      <c r="B40" s="104" t="s">
        <v>276</v>
      </c>
      <c r="C40" s="104" t="s">
        <v>828</v>
      </c>
      <c r="D40" s="104" t="s">
        <v>691</v>
      </c>
      <c r="E40" s="104" t="s">
        <v>474</v>
      </c>
      <c r="F40" s="104" t="s">
        <v>475</v>
      </c>
      <c r="G40" s="105">
        <v>416898</v>
      </c>
      <c r="H40" s="105">
        <v>66504</v>
      </c>
      <c r="I40" s="105">
        <v>56911</v>
      </c>
      <c r="J40" s="106">
        <v>1.17</v>
      </c>
      <c r="K40" s="106">
        <v>1.22</v>
      </c>
      <c r="L40" s="107">
        <v>98786.880000000005</v>
      </c>
      <c r="M40" s="108">
        <f t="shared" si="0"/>
        <v>15.952103392196653</v>
      </c>
      <c r="N40" s="108">
        <f t="shared" si="1"/>
        <v>13.651060930971127</v>
      </c>
      <c r="O40" s="108">
        <f t="shared" si="2"/>
        <v>85.575303741128351</v>
      </c>
      <c r="P40" s="108">
        <f t="shared" si="3"/>
        <v>236.95695349941715</v>
      </c>
      <c r="Q40" s="108">
        <f t="shared" si="4"/>
        <v>22.775066640377752</v>
      </c>
      <c r="R40" s="108">
        <f t="shared" si="5"/>
        <v>29.440902453236173</v>
      </c>
      <c r="S40" s="101">
        <f t="shared" si="6"/>
        <v>45937</v>
      </c>
      <c r="T40" s="102" t="str">
        <f t="shared" si="7"/>
        <v>Octubre</v>
      </c>
      <c r="U40" s="102" t="str">
        <f t="shared" si="8"/>
        <v>Martes</v>
      </c>
      <c r="V40" s="102">
        <f t="shared" si="9"/>
        <v>14</v>
      </c>
      <c r="W40" s="102" t="str">
        <f t="shared" si="10"/>
        <v>Resto del mes</v>
      </c>
      <c r="X40" s="102">
        <f t="shared" si="11"/>
        <v>1</v>
      </c>
      <c r="Y40" s="102" t="str">
        <f t="shared" si="12"/>
        <v>No</v>
      </c>
      <c r="Z40" s="102" t="str">
        <f>CHOOSE(MATCH(B40,{"Customer Appreciation","Exclusive Offers","Flash Sale","Holiday Discounts","New Product Launch","Newsletter"},0),"Fidelizar","Vender","Vender","Vender","Lanzar","Educar")</f>
        <v>Vender</v>
      </c>
      <c r="AA40" s="102" t="str">
        <f t="shared" si="13"/>
        <v>Más de 400 mil</v>
      </c>
      <c r="AB40" s="102">
        <f>COUNTIFS($E$5:$E$493,E40,$S$5:$S$493,"&lt;"&amp;S40)+COUNTIFS($E$5:E40,E40,$S$5:S40,S40)</f>
        <v>14</v>
      </c>
      <c r="AC40" s="102">
        <f t="shared" si="14"/>
        <v>20</v>
      </c>
      <c r="AD40" s="102" t="str">
        <f t="shared" si="15"/>
        <v>Último tercio</v>
      </c>
      <c r="AE40" s="103">
        <f t="shared" si="16"/>
        <v>-6.8229632481810985</v>
      </c>
      <c r="AF40" s="102" t="str">
        <f t="shared" si="17"/>
        <v xml:space="preserve">  aprovecha antes de que se acabe  oferta flash  productos top </v>
      </c>
      <c r="AG40" s="102" t="str">
        <f t="shared" si="18"/>
        <v xml:space="preserve"> grandes descuentos por tiempo limitado   no te lo pierdas  </v>
      </c>
      <c r="AH40" s="102" t="str">
        <f>IF(SUMPRODUCT(--(LEFT(IF(LEFT(LOWER(E40),1)="¡",MID(LOWER(E40),2,300),LOWER(E40)),LEN({"actualizaci","el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40" s="102" t="str">
        <f>IF(OR(SUMPRODUCT(--ISNUMBER(SEARCH({"descuento","oferta","ahorr","precio"," sale ","flash","deals"},AF40)))&gt;0,SUMPRODUCT(--ISNUMBER(SEARCH({"descuento","oferta","ahorr","precio"," sale ","flash","deals"},AG40)))&gt;0),"Sí","No")</f>
        <v>Sí</v>
      </c>
      <c r="AJ40" s="102" t="str">
        <f>IF(SUMPRODUCT(--ISNUMBER(SEARCH({" hoy ","horas","tiempo limitado","antes de que","se acab","se agot","finalic","última oportunidad","oportunidad única","relámpago","express","no esperes","no volver","no parpadees"},AF40)))&gt;0,"Sí","No")</f>
        <v>Sí</v>
      </c>
      <c r="AK40" s="102" t="str">
        <f>IF(SUMPRODUCT(--ISNUMBER(SEARCH({" hoy ","horas","tiempo limitado","antes de que","se acab","se agot","finalic","última oportunidad","oportunidad única","relámpago","express","no esperes","no volver","no parpadees"},AG40)))&gt;0,"Sí","No")</f>
        <v>Sí</v>
      </c>
      <c r="AL40" s="102" t="str">
        <f t="shared" si="19"/>
        <v>Descuento con tiempo límite en el asunto</v>
      </c>
      <c r="AM40" s="102" t="str">
        <f>IF(SUMPRODUCT(--ISNUMBER(SEARCH({"0","1","2","3","4","5","6","7","8","9","favorit","maquillaje","piel","cabello","productos","belleza","regalo"},E40)))&gt;0,"Sí","No")</f>
        <v>Sí</v>
      </c>
      <c r="AN40" s="102" t="str">
        <f>IF(SUMPRODUCT(--ISNUMBER(SEARCH({"lo que tenemos","estas ofertas","algo especial","ofertas únicas","que preparamos","no te quedes","echa un vistazo"},F40)))&gt;0,"Sí","No")</f>
        <v>No</v>
      </c>
      <c r="AO40" s="102">
        <f t="shared" si="20"/>
        <v>61</v>
      </c>
      <c r="AP40" s="102">
        <f t="shared" si="21"/>
        <v>10</v>
      </c>
      <c r="AQ40" s="102">
        <f>SUMPRODUCT(LEN(E40)-LEN(SUBSTITUTE(E40,{"!","¡","?","¿",":",",",".","%","·","-",";"},"")))</f>
        <v>3</v>
      </c>
      <c r="AR40" s="102" t="str">
        <f t="shared" si="22"/>
        <v>No</v>
      </c>
      <c r="AS40" s="102" t="str">
        <f t="shared" si="23"/>
        <v>No</v>
      </c>
      <c r="AT40" s="102" t="str">
        <f>IF(SUMPRODUCT(--ISNUMBER(FIND({"0","1","2","3","4","5","6","7","8","9"},E40)))&gt;0,"Con cifra concreta",IF(OR(ISNUMBER(FIND("?",E40)),ISNUMBER(FIND("¿",E40))),"Pregunta abierta",IF(SUMPRODUCT(--ISNUMBER(SEARCH({" hoy ","horas","tiempo limitado","antes de que","se acab","se agot","finalic","última oportunidad","oportunidad única","relámpago","express","no esperes","no volver","no parpadees"," ya ","últimas horas","últimas unidades"," ahora "},AF40)))&gt;0,"Solo urgencia, sin cifra",IF(SUMPRODUCT(--ISNUMBER(SEARCH({"recompensa","sorpresa","regalo","lealtad","detalle","gracias","pensamos en ti","para ti"},E40)))&gt;0,"Recompensa o sorpresa","Otro: beneficio o novedad"))))</f>
        <v>Solo urgencia, sin cifra</v>
      </c>
    </row>
    <row r="41" spans="1:46" x14ac:dyDescent="0.2">
      <c r="A41" s="96" t="s">
        <v>829</v>
      </c>
      <c r="B41" s="96" t="s">
        <v>279</v>
      </c>
      <c r="C41" s="96" t="s">
        <v>830</v>
      </c>
      <c r="D41" s="96" t="s">
        <v>696</v>
      </c>
      <c r="E41" s="96" t="s">
        <v>369</v>
      </c>
      <c r="F41" s="96" t="s">
        <v>457</v>
      </c>
      <c r="G41" s="97">
        <v>235165</v>
      </c>
      <c r="H41" s="97">
        <v>96695</v>
      </c>
      <c r="I41" s="97">
        <v>18501</v>
      </c>
      <c r="J41" s="98">
        <v>3.43</v>
      </c>
      <c r="K41" s="98">
        <v>4.7300000000000004</v>
      </c>
      <c r="L41" s="99">
        <v>2130.54</v>
      </c>
      <c r="M41" s="100">
        <f t="shared" si="0"/>
        <v>41.117938468734714</v>
      </c>
      <c r="N41" s="100">
        <f t="shared" si="1"/>
        <v>7.8672421491293347</v>
      </c>
      <c r="O41" s="100">
        <f t="shared" si="2"/>
        <v>19.13335746419153</v>
      </c>
      <c r="P41" s="100">
        <f t="shared" si="3"/>
        <v>9.0597665468926074</v>
      </c>
      <c r="Q41" s="100">
        <f t="shared" si="4"/>
        <v>36.827379346292652</v>
      </c>
      <c r="R41" s="100">
        <f t="shared" si="5"/>
        <v>27.75136451093497</v>
      </c>
      <c r="S41" s="101">
        <f t="shared" si="6"/>
        <v>45901</v>
      </c>
      <c r="T41" s="102" t="str">
        <f t="shared" si="7"/>
        <v>Septiembre</v>
      </c>
      <c r="U41" s="102" t="str">
        <f t="shared" si="8"/>
        <v>Lunes</v>
      </c>
      <c r="V41" s="102">
        <f t="shared" si="9"/>
        <v>9</v>
      </c>
      <c r="W41" s="102" t="str">
        <f t="shared" si="10"/>
        <v>Quincena</v>
      </c>
      <c r="X41" s="102">
        <f t="shared" si="11"/>
        <v>29</v>
      </c>
      <c r="Y41" s="102" t="str">
        <f t="shared" si="12"/>
        <v>Sí</v>
      </c>
      <c r="Z41" s="102" t="str">
        <f>CHOOSE(MATCH(B41,{"Customer Appreciation","Exclusive Offers","Flash Sale","Holiday Discounts","New Product Launch","Newsletter"},0),"Fidelizar","Vender","Vender","Vender","Lanzar","Educar")</f>
        <v>Educar</v>
      </c>
      <c r="AA41" s="102" t="str">
        <f t="shared" si="13"/>
        <v>200 a 300 mil</v>
      </c>
      <c r="AB41" s="102">
        <f>COUNTIFS($E$5:$E$493,E41,$S$5:$S$493,"&lt;"&amp;S41)+COUNTIFS($E$5:E41,E41,$S$5:S41,S41)</f>
        <v>7</v>
      </c>
      <c r="AC41" s="102">
        <f t="shared" si="14"/>
        <v>19</v>
      </c>
      <c r="AD41" s="102" t="str">
        <f t="shared" si="15"/>
        <v>Medio</v>
      </c>
      <c r="AE41" s="103">
        <f t="shared" si="16"/>
        <v>4.2905591224420618</v>
      </c>
      <c r="AF41" s="102" t="str">
        <f t="shared" si="17"/>
        <v xml:space="preserve"> lo último en l'oréal  mantente informad@ de las novedades </v>
      </c>
      <c r="AG41" s="102" t="str">
        <f t="shared" si="18"/>
        <v xml:space="preserve"> descubre las novedades y tips de la semana   entra ya  </v>
      </c>
      <c r="AH41" s="102" t="str">
        <f>IF(SUMPRODUCT(--(LEFT(IF(LEFT(LOWER(E41),1)="¡",MID(LOWER(E41),2,300),LOWER(E41)),LEN({"actualizaci","el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41" s="102" t="str">
        <f>IF(OR(SUMPRODUCT(--ISNUMBER(SEARCH({"descuento","oferta","ahorr","precio"," sale ","flash","deals"},AF41)))&gt;0,SUMPRODUCT(--ISNUMBER(SEARCH({"descuento","oferta","ahorr","precio"," sale ","flash","deals"},AG41)))&gt;0),"Sí","No")</f>
        <v>No</v>
      </c>
      <c r="AJ41" s="102" t="str">
        <f>IF(SUMPRODUCT(--ISNUMBER(SEARCH({" hoy ","horas","tiempo limitado","antes de que","se acab","se agot","finalic","última oportunidad","oportunidad única","relámpago","express","no esperes","no volver","no parpadees"},AF41)))&gt;0,"Sí","No")</f>
        <v>No</v>
      </c>
      <c r="AK41" s="102" t="str">
        <f>IF(SUMPRODUCT(--ISNUMBER(SEARCH({" hoy ","horas","tiempo limitado","antes de que","se acab","se agot","finalic","última oportunidad","oportunidad única","relámpago","express","no esperes","no volver","no parpadees"},AG41)))&gt;0,"Sí","No")</f>
        <v>No</v>
      </c>
      <c r="AL41" s="102" t="str">
        <f t="shared" si="19"/>
        <v>Sin descuento</v>
      </c>
      <c r="AM41" s="102" t="str">
        <f>IF(SUMPRODUCT(--ISNUMBER(SEARCH({"0","1","2","3","4","5","6","7","8","9","favorit","maquillaje","piel","cabello","productos","belleza","regalo"},E41)))&gt;0,"Sí","No")</f>
        <v>No</v>
      </c>
      <c r="AN41" s="102" t="str">
        <f>IF(SUMPRODUCT(--ISNUMBER(SEARCH({"lo que tenemos","estas ofertas","algo especial","ofertas únicas","que preparamos","no te quedes","echa un vistazo"},F41)))&gt;0,"Sí","No")</f>
        <v>No</v>
      </c>
      <c r="AO41" s="102">
        <f t="shared" si="20"/>
        <v>57</v>
      </c>
      <c r="AP41" s="102">
        <f t="shared" si="21"/>
        <v>9</v>
      </c>
      <c r="AQ41" s="102">
        <f>SUMPRODUCT(LEN(E41)-LEN(SUBSTITUTE(E41,{"!","¡","?","¿",":",",",".","%","·","-",";"},"")))</f>
        <v>1</v>
      </c>
      <c r="AR41" s="102" t="str">
        <f t="shared" si="22"/>
        <v>Sí</v>
      </c>
      <c r="AS41" s="102" t="str">
        <f t="shared" si="23"/>
        <v>No</v>
      </c>
      <c r="AT41" s="102" t="str">
        <f>IF(SUMPRODUCT(--ISNUMBER(FIND({"0","1","2","3","4","5","6","7","8","9"},E41)))&gt;0,"Con cifra concreta",IF(OR(ISNUMBER(FIND("?",E41)),ISNUMBER(FIND("¿",E41))),"Pregunta abierta",IF(SUMPRODUCT(--ISNUMBER(SEARCH({" hoy ","horas","tiempo limitado","antes de que","se acab","se agot","finalic","última oportunidad","oportunidad única","relámpago","express","no esperes","no volver","no parpadees"," ya ","últimas horas","últimas unidades"," ahora "},AF41)))&gt;0,"Solo urgencia, sin cifra",IF(SUMPRODUCT(--ISNUMBER(SEARCH({"recompensa","sorpresa","regalo","lealtad","detalle","gracias","pensamos en ti","para ti"},E41)))&gt;0,"Recompensa o sorpresa","Otro: beneficio o novedad"))))</f>
        <v>Otro: beneficio o novedad</v>
      </c>
    </row>
    <row r="42" spans="1:46" x14ac:dyDescent="0.2">
      <c r="A42" s="104" t="s">
        <v>831</v>
      </c>
      <c r="B42" s="104" t="s">
        <v>277</v>
      </c>
      <c r="C42" s="104" t="s">
        <v>832</v>
      </c>
      <c r="D42" s="104" t="s">
        <v>699</v>
      </c>
      <c r="E42" s="104" t="s">
        <v>833</v>
      </c>
      <c r="F42" s="104" t="s">
        <v>834</v>
      </c>
      <c r="G42" s="105">
        <v>495741</v>
      </c>
      <c r="H42" s="105">
        <v>114408</v>
      </c>
      <c r="I42" s="105">
        <v>55022</v>
      </c>
      <c r="J42" s="106">
        <v>2.39</v>
      </c>
      <c r="K42" s="106">
        <v>4.37</v>
      </c>
      <c r="L42" s="107">
        <v>53016.85</v>
      </c>
      <c r="M42" s="108">
        <f t="shared" si="0"/>
        <v>23.078179936700817</v>
      </c>
      <c r="N42" s="108">
        <f t="shared" si="1"/>
        <v>11.098940777543111</v>
      </c>
      <c r="O42" s="108">
        <f t="shared" si="2"/>
        <v>48.09279071393609</v>
      </c>
      <c r="P42" s="108">
        <f t="shared" si="3"/>
        <v>106.94465456760688</v>
      </c>
      <c r="Q42" s="108">
        <f t="shared" si="4"/>
        <v>23.078179936700817</v>
      </c>
      <c r="R42" s="108">
        <f t="shared" si="5"/>
        <v>30.71114383300629</v>
      </c>
      <c r="S42" s="101">
        <f t="shared" si="6"/>
        <v>45890</v>
      </c>
      <c r="T42" s="102" t="str">
        <f t="shared" si="7"/>
        <v>Agosto</v>
      </c>
      <c r="U42" s="102" t="str">
        <f t="shared" si="8"/>
        <v>Jueves</v>
      </c>
      <c r="V42" s="102">
        <f t="shared" si="9"/>
        <v>11</v>
      </c>
      <c r="W42" s="102" t="str">
        <f t="shared" si="10"/>
        <v>Resto del mes</v>
      </c>
      <c r="X42" s="102">
        <f t="shared" si="11"/>
        <v>1</v>
      </c>
      <c r="Y42" s="102" t="str">
        <f t="shared" si="12"/>
        <v>No</v>
      </c>
      <c r="Z42" s="102" t="str">
        <f>CHOOSE(MATCH(B42,{"Customer Appreciation","Exclusive Offers","Flash Sale","Holiday Discounts","New Product Launch","Newsletter"},0),"Fidelizar","Vender","Vender","Vender","Lanzar","Educar")</f>
        <v>Vender</v>
      </c>
      <c r="AA42" s="102" t="str">
        <f t="shared" si="13"/>
        <v>Más de 400 mil</v>
      </c>
      <c r="AB42" s="102">
        <f>COUNTIFS($E$5:$E$493,E42,$S$5:$S$493,"&lt;"&amp;S42)+COUNTIFS($E$5:E42,E42,$S$5:S42,S42)</f>
        <v>1</v>
      </c>
      <c r="AC42" s="102">
        <f t="shared" si="14"/>
        <v>1</v>
      </c>
      <c r="AD42" s="102" t="str">
        <f t="shared" si="15"/>
        <v/>
      </c>
      <c r="AE42" s="103">
        <f t="shared" si="16"/>
        <v>0</v>
      </c>
      <c r="AF42" s="102" t="str">
        <f t="shared" si="17"/>
        <v xml:space="preserve">  es hora de celebrar  descuentos exclusivos  regalos ideales </v>
      </c>
      <c r="AG42" s="102" t="str">
        <f t="shared" si="18"/>
        <v xml:space="preserve"> las mejores ofertas para tus compras festivas   descubre más  </v>
      </c>
      <c r="AH42" s="102" t="str">
        <f>IF(SUMPRODUCT(--(LEFT(IF(LEFT(LOWER(E42),1)="¡",MID(LOWER(E42),2,300),LOWER(E42)),LEN({"actualizaci","el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Sí</v>
      </c>
      <c r="AI42" s="102" t="str">
        <f>IF(OR(SUMPRODUCT(--ISNUMBER(SEARCH({"descuento","oferta","ahorr","precio"," sale ","flash","deals"},AF42)))&gt;0,SUMPRODUCT(--ISNUMBER(SEARCH({"descuento","oferta","ahorr","precio"," sale ","flash","deals"},AG42)))&gt;0),"Sí","No")</f>
        <v>Sí</v>
      </c>
      <c r="AJ42" s="102" t="str">
        <f>IF(SUMPRODUCT(--ISNUMBER(SEARCH({" hoy ","horas","tiempo limitado","antes de que","se acab","se agot","finalic","última oportunidad","oportunidad única","relámpago","express","no esperes","no volver","no parpadees"},AF42)))&gt;0,"Sí","No")</f>
        <v>No</v>
      </c>
      <c r="AK42" s="102" t="str">
        <f>IF(SUMPRODUCT(--ISNUMBER(SEARCH({" hoy ","horas","tiempo limitado","antes de que","se acab","se agot","finalic","última oportunidad","oportunidad única","relámpago","express","no esperes","no volver","no parpadees"},AG42)))&gt;0,"Sí","No")</f>
        <v>No</v>
      </c>
      <c r="AL42" s="102" t="str">
        <f t="shared" si="19"/>
        <v>Descuento sin tiempo límite</v>
      </c>
      <c r="AM42" s="102" t="str">
        <f>IF(SUMPRODUCT(--ISNUMBER(SEARCH({"0","1","2","3","4","5","6","7","8","9","favorit","maquillaje","piel","cabello","productos","belleza","regalo"},E42)))&gt;0,"Sí","No")</f>
        <v>Sí</v>
      </c>
      <c r="AN42" s="102" t="str">
        <f>IF(SUMPRODUCT(--ISNUMBER(SEARCH({"lo que tenemos","estas ofertas","algo especial","ofertas únicas","que preparamos","no te quedes","echa un vistazo"},F42)))&gt;0,"Sí","No")</f>
        <v>No</v>
      </c>
      <c r="AO42" s="102">
        <f t="shared" si="20"/>
        <v>60</v>
      </c>
      <c r="AP42" s="102">
        <f t="shared" si="21"/>
        <v>8</v>
      </c>
      <c r="AQ42" s="102">
        <f>SUMPRODUCT(LEN(E42)-LEN(SUBSTITUTE(E42,{"!","¡","?","¿",":",",",".","%","·","-",";"},"")))</f>
        <v>3</v>
      </c>
      <c r="AR42" s="102" t="str">
        <f t="shared" si="22"/>
        <v>Sí</v>
      </c>
      <c r="AS42" s="102" t="str">
        <f t="shared" si="23"/>
        <v>No</v>
      </c>
      <c r="AT42" s="102" t="str">
        <f>IF(SUMPRODUCT(--ISNUMBER(FIND({"0","1","2","3","4","5","6","7","8","9"},E42)))&gt;0,"Con cifra concreta",IF(OR(ISNUMBER(FIND("?",E42)),ISNUMBER(FIND("¿",E42))),"Pregunta abierta",IF(SUMPRODUCT(--ISNUMBER(SEARCH({" hoy ","horas","tiempo limitado","antes de que","se acab","se agot","finalic","última oportunidad","oportunidad única","relámpago","express","no esperes","no volver","no parpadees"," ya ","últimas horas","últimas unidades"," ahora "},AF42)))&gt;0,"Solo urgencia, sin cifra",IF(SUMPRODUCT(--ISNUMBER(SEARCH({"recompensa","sorpresa","regalo","lealtad","detalle","gracias","pensamos en ti","para ti"},E42)))&gt;0,"Recompensa o sorpresa","Otro: beneficio o novedad"))))</f>
        <v>Recompensa o sorpresa</v>
      </c>
    </row>
    <row r="43" spans="1:46" x14ac:dyDescent="0.2">
      <c r="A43" s="96" t="s">
        <v>835</v>
      </c>
      <c r="B43" s="96" t="s">
        <v>274</v>
      </c>
      <c r="C43" s="96" t="s">
        <v>836</v>
      </c>
      <c r="D43" s="96" t="s">
        <v>702</v>
      </c>
      <c r="E43" s="96" t="s">
        <v>371</v>
      </c>
      <c r="F43" s="96" t="s">
        <v>452</v>
      </c>
      <c r="G43" s="97">
        <v>499231</v>
      </c>
      <c r="H43" s="97">
        <v>224479</v>
      </c>
      <c r="I43" s="97">
        <v>60677</v>
      </c>
      <c r="J43" s="98">
        <v>4.97</v>
      </c>
      <c r="K43" s="98">
        <v>1.9</v>
      </c>
      <c r="L43" s="99">
        <v>98358.06</v>
      </c>
      <c r="M43" s="100">
        <f t="shared" si="0"/>
        <v>44.964956102485623</v>
      </c>
      <c r="N43" s="100">
        <f t="shared" si="1"/>
        <v>12.15409299502635</v>
      </c>
      <c r="O43" s="100">
        <f t="shared" si="2"/>
        <v>27.030145358808621</v>
      </c>
      <c r="P43" s="100">
        <f t="shared" si="3"/>
        <v>197.01913543029178</v>
      </c>
      <c r="Q43" s="100">
        <f t="shared" si="4"/>
        <v>40.72142758959253</v>
      </c>
      <c r="R43" s="100">
        <f t="shared" si="5"/>
        <v>31.113650744455075</v>
      </c>
      <c r="S43" s="101">
        <f t="shared" si="6"/>
        <v>45946</v>
      </c>
      <c r="T43" s="102" t="str">
        <f t="shared" si="7"/>
        <v>Octubre</v>
      </c>
      <c r="U43" s="102" t="str">
        <f t="shared" si="8"/>
        <v>Jueves</v>
      </c>
      <c r="V43" s="102">
        <f t="shared" si="9"/>
        <v>16</v>
      </c>
      <c r="W43" s="102" t="str">
        <f t="shared" si="10"/>
        <v>Quincena</v>
      </c>
      <c r="X43" s="102">
        <f t="shared" si="11"/>
        <v>1</v>
      </c>
      <c r="Y43" s="102" t="str">
        <f t="shared" si="12"/>
        <v>No</v>
      </c>
      <c r="Z43" s="102" t="str">
        <f>CHOOSE(MATCH(B43,{"Customer Appreciation","Exclusive Offers","Flash Sale","Holiday Discounts","New Product Launch","Newsletter"},0),"Fidelizar","Vender","Vender","Vender","Lanzar","Educar")</f>
        <v>Fidelizar</v>
      </c>
      <c r="AA43" s="102" t="str">
        <f t="shared" si="13"/>
        <v>Más de 400 mil</v>
      </c>
      <c r="AB43" s="102">
        <f>COUNTIFS($E$5:$E$493,E43,$S$5:$S$493,"&lt;"&amp;S43)+COUNTIFS($E$5:E43,E43,$S$5:S43,S43)</f>
        <v>15</v>
      </c>
      <c r="AC43" s="102">
        <f t="shared" si="14"/>
        <v>16</v>
      </c>
      <c r="AD43" s="102" t="str">
        <f t="shared" si="15"/>
        <v>Último tercio</v>
      </c>
      <c r="AE43" s="103">
        <f t="shared" si="16"/>
        <v>4.2435285128930929</v>
      </c>
      <c r="AF43" s="102" t="str">
        <f t="shared" si="17"/>
        <v xml:space="preserve">  tu lealtad tiene recompensa  descúbrela  sorpresas para ti </v>
      </c>
      <c r="AG43" s="102" t="str">
        <f t="shared" si="18"/>
        <v xml:space="preserve"> ofertas exclusivas para nuestros clientes más especiales   no te las pierdas  </v>
      </c>
      <c r="AH43" s="102" t="str">
        <f>IF(SUMPRODUCT(--(LEFT(IF(LEFT(LOWER(E43),1)="¡",MID(LOWER(E43),2,300),LOWER(E43)),LEN({"actualizaci","el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43" s="102" t="str">
        <f>IF(OR(SUMPRODUCT(--ISNUMBER(SEARCH({"descuento","oferta","ahorr","precio"," sale ","flash","deals"},AF43)))&gt;0,SUMPRODUCT(--ISNUMBER(SEARCH({"descuento","oferta","ahorr","precio"," sale ","flash","deals"},AG43)))&gt;0),"Sí","No")</f>
        <v>Sí</v>
      </c>
      <c r="AJ43" s="102" t="str">
        <f>IF(SUMPRODUCT(--ISNUMBER(SEARCH({" hoy ","horas","tiempo limitado","antes de que","se acab","se agot","finalic","última oportunidad","oportunidad única","relámpago","express","no esperes","no volver","no parpadees"},AF43)))&gt;0,"Sí","No")</f>
        <v>No</v>
      </c>
      <c r="AK43" s="102" t="str">
        <f>IF(SUMPRODUCT(--ISNUMBER(SEARCH({" hoy ","horas","tiempo limitado","antes de que","se acab","se agot","finalic","última oportunidad","oportunidad única","relámpago","express","no esperes","no volver","no parpadees"},AG43)))&gt;0,"Sí","No")</f>
        <v>No</v>
      </c>
      <c r="AL43" s="102" t="str">
        <f t="shared" si="19"/>
        <v>Descuento sin tiempo límite</v>
      </c>
      <c r="AM43" s="102" t="str">
        <f>IF(SUMPRODUCT(--ISNUMBER(SEARCH({"0","1","2","3","4","5","6","7","8","9","favorit","maquillaje","piel","cabello","productos","belleza","regalo"},E43)))&gt;0,"Sí","No")</f>
        <v>No</v>
      </c>
      <c r="AN43" s="102" t="str">
        <f>IF(SUMPRODUCT(--ISNUMBER(SEARCH({"lo que tenemos","estas ofertas","algo especial","ofertas únicas","que preparamos","no te quedes","echa un vistazo"},F43)))&gt;0,"Sí","No")</f>
        <v>No</v>
      </c>
      <c r="AO43" s="102">
        <f t="shared" si="20"/>
        <v>59</v>
      </c>
      <c r="AP43" s="102">
        <f t="shared" si="21"/>
        <v>8</v>
      </c>
      <c r="AQ43" s="102">
        <f>SUMPRODUCT(LEN(E43)-LEN(SUBSTITUTE(E43,{"!","¡","?","¿",":",",",".","%","·","-",";"},"")))</f>
        <v>3</v>
      </c>
      <c r="AR43" s="102" t="str">
        <f t="shared" si="22"/>
        <v>Sí</v>
      </c>
      <c r="AS43" s="102" t="str">
        <f t="shared" si="23"/>
        <v>No</v>
      </c>
      <c r="AT43" s="102" t="str">
        <f>IF(SUMPRODUCT(--ISNUMBER(FIND({"0","1","2","3","4","5","6","7","8","9"},E43)))&gt;0,"Con cifra concreta",IF(OR(ISNUMBER(FIND("?",E43)),ISNUMBER(FIND("¿",E43))),"Pregunta abierta",IF(SUMPRODUCT(--ISNUMBER(SEARCH({" hoy ","horas","tiempo limitado","antes de que","se acab","se agot","finalic","última oportunidad","oportunidad única","relámpago","express","no esperes","no volver","no parpadees"," ya ","últimas horas","últimas unidades"," ahora "},AF43)))&gt;0,"Solo urgencia, sin cifra",IF(SUMPRODUCT(--ISNUMBER(SEARCH({"recompensa","sorpresa","regalo","lealtad","detalle","gracias","pensamos en ti","para ti"},E43)))&gt;0,"Recompensa o sorpresa","Otro: beneficio o novedad"))))</f>
        <v>Recompensa o sorpresa</v>
      </c>
    </row>
    <row r="44" spans="1:46" x14ac:dyDescent="0.2">
      <c r="A44" s="104" t="s">
        <v>837</v>
      </c>
      <c r="B44" s="104" t="s">
        <v>274</v>
      </c>
      <c r="C44" s="104" t="s">
        <v>838</v>
      </c>
      <c r="D44" s="104" t="s">
        <v>707</v>
      </c>
      <c r="E44" s="104" t="s">
        <v>839</v>
      </c>
      <c r="F44" s="104" t="s">
        <v>840</v>
      </c>
      <c r="G44" s="105">
        <v>452748</v>
      </c>
      <c r="H44" s="105">
        <v>124840</v>
      </c>
      <c r="I44" s="105">
        <v>60616</v>
      </c>
      <c r="J44" s="106">
        <v>6.62</v>
      </c>
      <c r="K44" s="106">
        <v>3.81</v>
      </c>
      <c r="L44" s="107">
        <v>28815.07</v>
      </c>
      <c r="M44" s="108">
        <f t="shared" si="0"/>
        <v>27.573837984927597</v>
      </c>
      <c r="N44" s="108">
        <f t="shared" si="1"/>
        <v>13.388463339429441</v>
      </c>
      <c r="O44" s="108">
        <f t="shared" si="2"/>
        <v>48.554950336430629</v>
      </c>
      <c r="P44" s="108">
        <f t="shared" si="3"/>
        <v>63.644831120181642</v>
      </c>
      <c r="Q44" s="108">
        <f t="shared" si="4"/>
        <v>27.573837984927597</v>
      </c>
      <c r="R44" s="108">
        <f t="shared" si="5"/>
        <v>31.113650744455075</v>
      </c>
      <c r="S44" s="101">
        <f t="shared" si="6"/>
        <v>45903</v>
      </c>
      <c r="T44" s="102" t="str">
        <f t="shared" si="7"/>
        <v>Septiembre</v>
      </c>
      <c r="U44" s="102" t="str">
        <f t="shared" si="8"/>
        <v>Miércoles</v>
      </c>
      <c r="V44" s="102">
        <f t="shared" si="9"/>
        <v>13</v>
      </c>
      <c r="W44" s="102" t="str">
        <f t="shared" si="10"/>
        <v>Días después del pago</v>
      </c>
      <c r="X44" s="102">
        <f t="shared" si="11"/>
        <v>2</v>
      </c>
      <c r="Y44" s="102" t="str">
        <f t="shared" si="12"/>
        <v>No</v>
      </c>
      <c r="Z44" s="102" t="str">
        <f>CHOOSE(MATCH(B44,{"Customer Appreciation","Exclusive Offers","Flash Sale","Holiday Discounts","New Product Launch","Newsletter"},0),"Fidelizar","Vender","Vender","Vender","Lanzar","Educar")</f>
        <v>Fidelizar</v>
      </c>
      <c r="AA44" s="102" t="str">
        <f t="shared" si="13"/>
        <v>Más de 400 mil</v>
      </c>
      <c r="AB44" s="102">
        <f>COUNTIFS($E$5:$E$493,E44,$S$5:$S$493,"&lt;"&amp;S44)+COUNTIFS($E$5:E44,E44,$S$5:S44,S44)</f>
        <v>1</v>
      </c>
      <c r="AC44" s="102">
        <f t="shared" si="14"/>
        <v>1</v>
      </c>
      <c r="AD44" s="102" t="str">
        <f t="shared" si="15"/>
        <v/>
      </c>
      <c r="AE44" s="103">
        <f t="shared" si="16"/>
        <v>0</v>
      </c>
      <c r="AF44" s="102" t="str">
        <f t="shared" si="17"/>
        <v xml:space="preserve">  solo para ti  una sorpresa de l'oréal que te encantará </v>
      </c>
      <c r="AG44" s="102" t="str">
        <f t="shared" si="18"/>
        <v xml:space="preserve"> tus productos favoritos con un precio que te encantará   descubre  </v>
      </c>
      <c r="AH44" s="102" t="str">
        <f>IF(SUMPRODUCT(--(LEFT(IF(LEFT(LOWER(E44),1)="¡",MID(LOWER(E44),2,300),LOWER(E44)),LEN({"actualizaci","el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44" s="102" t="str">
        <f>IF(OR(SUMPRODUCT(--ISNUMBER(SEARCH({"descuento","oferta","ahorr","precio"," sale ","flash","deals"},AF44)))&gt;0,SUMPRODUCT(--ISNUMBER(SEARCH({"descuento","oferta","ahorr","precio"," sale ","flash","deals"},AG44)))&gt;0),"Sí","No")</f>
        <v>Sí</v>
      </c>
      <c r="AJ44" s="102" t="str">
        <f>IF(SUMPRODUCT(--ISNUMBER(SEARCH({" hoy ","horas","tiempo limitado","antes de que","se acab","se agot","finalic","última oportunidad","oportunidad única","relámpago","express","no esperes","no volver","no parpadees"},AF44)))&gt;0,"Sí","No")</f>
        <v>No</v>
      </c>
      <c r="AK44" s="102" t="str">
        <f>IF(SUMPRODUCT(--ISNUMBER(SEARCH({" hoy ","horas","tiempo limitado","antes de que","se acab","se agot","finalic","última oportunidad","oportunidad única","relámpago","express","no esperes","no volver","no parpadees"},AG44)))&gt;0,"Sí","No")</f>
        <v>No</v>
      </c>
      <c r="AL44" s="102" t="str">
        <f t="shared" si="19"/>
        <v>Descuento sin tiempo límite</v>
      </c>
      <c r="AM44" s="102" t="str">
        <f>IF(SUMPRODUCT(--ISNUMBER(SEARCH({"0","1","2","3","4","5","6","7","8","9","favorit","maquillaje","piel","cabello","productos","belleza","regalo"},E44)))&gt;0,"Sí","No")</f>
        <v>No</v>
      </c>
      <c r="AN44" s="102" t="str">
        <f>IF(SUMPRODUCT(--ISNUMBER(SEARCH({"lo que tenemos","estas ofertas","algo especial","ofertas únicas","que preparamos","no te quedes","echa un vistazo"},F44)))&gt;0,"Sí","No")</f>
        <v>No</v>
      </c>
      <c r="AO44" s="102">
        <f t="shared" si="20"/>
        <v>55</v>
      </c>
      <c r="AP44" s="102">
        <f t="shared" si="21"/>
        <v>10</v>
      </c>
      <c r="AQ44" s="102">
        <f>SUMPRODUCT(LEN(E44)-LEN(SUBSTITUTE(E44,{"!","¡","?","¿",":",",",".","%","·","-",";"},"")))</f>
        <v>2</v>
      </c>
      <c r="AR44" s="102" t="str">
        <f t="shared" si="22"/>
        <v>No</v>
      </c>
      <c r="AS44" s="102" t="str">
        <f t="shared" si="23"/>
        <v>No</v>
      </c>
      <c r="AT44" s="102" t="str">
        <f>IF(SUMPRODUCT(--ISNUMBER(FIND({"0","1","2","3","4","5","6","7","8","9"},E44)))&gt;0,"Con cifra concreta",IF(OR(ISNUMBER(FIND("?",E44)),ISNUMBER(FIND("¿",E44))),"Pregunta abierta",IF(SUMPRODUCT(--ISNUMBER(SEARCH({" hoy ","horas","tiempo limitado","antes de que","se acab","se agot","finalic","última oportunidad","oportunidad única","relámpago","express","no esperes","no volver","no parpadees"," ya ","últimas horas","últimas unidades"," ahora "},AF44)))&gt;0,"Solo urgencia, sin cifra",IF(SUMPRODUCT(--ISNUMBER(SEARCH({"recompensa","sorpresa","regalo","lealtad","detalle","gracias","pensamos en ti","para ti"},E44)))&gt;0,"Recompensa o sorpresa","Otro: beneficio o novedad"))))</f>
        <v>Recompensa o sorpresa</v>
      </c>
    </row>
    <row r="45" spans="1:46" x14ac:dyDescent="0.2">
      <c r="A45" s="96" t="s">
        <v>841</v>
      </c>
      <c r="B45" s="96" t="s">
        <v>279</v>
      </c>
      <c r="C45" s="96" t="s">
        <v>842</v>
      </c>
      <c r="D45" s="96" t="s">
        <v>721</v>
      </c>
      <c r="E45" s="96" t="s">
        <v>843</v>
      </c>
      <c r="F45" s="96" t="s">
        <v>844</v>
      </c>
      <c r="G45" s="97">
        <v>51208</v>
      </c>
      <c r="H45" s="97">
        <v>14250</v>
      </c>
      <c r="I45" s="97">
        <v>9719</v>
      </c>
      <c r="J45" s="98">
        <v>7.9</v>
      </c>
      <c r="K45" s="98">
        <v>1.85</v>
      </c>
      <c r="L45" s="99">
        <v>21634.89</v>
      </c>
      <c r="M45" s="100">
        <f t="shared" si="0"/>
        <v>27.827683174503981</v>
      </c>
      <c r="N45" s="100">
        <f t="shared" si="1"/>
        <v>18.979456334947663</v>
      </c>
      <c r="O45" s="100">
        <f t="shared" si="2"/>
        <v>68.203508771929819</v>
      </c>
      <c r="P45" s="100">
        <f t="shared" si="3"/>
        <v>422.49043118262767</v>
      </c>
      <c r="Q45" s="100">
        <f t="shared" si="4"/>
        <v>27.827683174503981</v>
      </c>
      <c r="R45" s="100">
        <f t="shared" si="5"/>
        <v>27.75136451093497</v>
      </c>
      <c r="S45" s="101">
        <f t="shared" si="6"/>
        <v>45911</v>
      </c>
      <c r="T45" s="102" t="str">
        <f t="shared" si="7"/>
        <v>Septiembre</v>
      </c>
      <c r="U45" s="102" t="str">
        <f t="shared" si="8"/>
        <v>Jueves</v>
      </c>
      <c r="V45" s="102">
        <f t="shared" si="9"/>
        <v>9</v>
      </c>
      <c r="W45" s="102" t="str">
        <f t="shared" si="10"/>
        <v>Resto del mes</v>
      </c>
      <c r="X45" s="102">
        <f t="shared" si="11"/>
        <v>2</v>
      </c>
      <c r="Y45" s="102" t="str">
        <f t="shared" si="12"/>
        <v>No</v>
      </c>
      <c r="Z45" s="102" t="str">
        <f>CHOOSE(MATCH(B45,{"Customer Appreciation","Exclusive Offers","Flash Sale","Holiday Discounts","New Product Launch","Newsletter"},0),"Fidelizar","Vender","Vender","Vender","Lanzar","Educar")</f>
        <v>Educar</v>
      </c>
      <c r="AA45" s="102" t="str">
        <f t="shared" si="13"/>
        <v>Menos de 100 mil</v>
      </c>
      <c r="AB45" s="102">
        <f>COUNTIFS($E$5:$E$493,E45,$S$5:$S$493,"&lt;"&amp;S45)+COUNTIFS($E$5:E45,E45,$S$5:S45,S45)</f>
        <v>1</v>
      </c>
      <c r="AC45" s="102">
        <f t="shared" si="14"/>
        <v>1</v>
      </c>
      <c r="AD45" s="102" t="str">
        <f t="shared" si="15"/>
        <v/>
      </c>
      <c r="AE45" s="103">
        <f t="shared" si="16"/>
        <v>0</v>
      </c>
      <c r="AF45" s="102" t="str">
        <f t="shared" si="17"/>
        <v xml:space="preserve">  tu dosis de belleza semanal ha llegado  tips y tendencias </v>
      </c>
      <c r="AG45" s="102" t="str">
        <f t="shared" si="18"/>
        <v xml:space="preserve"> descubre tips y tendencias para lucir radiante   lee más  </v>
      </c>
      <c r="AH45" s="102" t="str">
        <f>IF(SUMPRODUCT(--(LEFT(IF(LEFT(LOWER(E45),1)="¡",MID(LOWER(E45),2,300),LOWER(E45)),LEN({"actualizaci","el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45" s="102" t="str">
        <f>IF(OR(SUMPRODUCT(--ISNUMBER(SEARCH({"descuento","oferta","ahorr","precio"," sale ","flash","deals"},AF45)))&gt;0,SUMPRODUCT(--ISNUMBER(SEARCH({"descuento","oferta","ahorr","precio"," sale ","flash","deals"},AG45)))&gt;0),"Sí","No")</f>
        <v>No</v>
      </c>
      <c r="AJ45" s="102" t="str">
        <f>IF(SUMPRODUCT(--ISNUMBER(SEARCH({" hoy ","horas","tiempo limitado","antes de que","se acab","se agot","finalic","última oportunidad","oportunidad única","relámpago","express","no esperes","no volver","no parpadees"},AF45)))&gt;0,"Sí","No")</f>
        <v>No</v>
      </c>
      <c r="AK45" s="102" t="str">
        <f>IF(SUMPRODUCT(--ISNUMBER(SEARCH({" hoy ","horas","tiempo limitado","antes de que","se acab","se agot","finalic","última oportunidad","oportunidad única","relámpago","express","no esperes","no volver","no parpadees"},AG45)))&gt;0,"Sí","No")</f>
        <v>No</v>
      </c>
      <c r="AL45" s="102" t="str">
        <f t="shared" si="19"/>
        <v>Sin descuento</v>
      </c>
      <c r="AM45" s="102" t="str">
        <f>IF(SUMPRODUCT(--ISNUMBER(SEARCH({"0","1","2","3","4","5","6","7","8","9","favorit","maquillaje","piel","cabello","productos","belleza","regalo"},E45)))&gt;0,"Sí","No")</f>
        <v>Sí</v>
      </c>
      <c r="AN45" s="102" t="str">
        <f>IF(SUMPRODUCT(--ISNUMBER(SEARCH({"lo que tenemos","estas ofertas","algo especial","ofertas únicas","que preparamos","no te quedes","echa un vistazo"},F45)))&gt;0,"Sí","No")</f>
        <v>No</v>
      </c>
      <c r="AO45" s="102">
        <f t="shared" si="20"/>
        <v>58</v>
      </c>
      <c r="AP45" s="102">
        <f t="shared" si="21"/>
        <v>10</v>
      </c>
      <c r="AQ45" s="102">
        <f>SUMPRODUCT(LEN(E45)-LEN(SUBSTITUTE(E45,{"!","¡","?","¿",":",",",".","%","·","-",";"},"")))</f>
        <v>2</v>
      </c>
      <c r="AR45" s="102" t="str">
        <f t="shared" si="22"/>
        <v>No</v>
      </c>
      <c r="AS45" s="102" t="str">
        <f t="shared" si="23"/>
        <v>No</v>
      </c>
      <c r="AT45" s="102" t="str">
        <f>IF(SUMPRODUCT(--ISNUMBER(FIND({"0","1","2","3","4","5","6","7","8","9"},E45)))&gt;0,"Con cifra concreta",IF(OR(ISNUMBER(FIND("?",E45)),ISNUMBER(FIND("¿",E45))),"Pregunta abierta",IF(SUMPRODUCT(--ISNUMBER(SEARCH({" hoy ","horas","tiempo limitado","antes de que","se acab","se agot","finalic","última oportunidad","oportunidad única","relámpago","express","no esperes","no volver","no parpadees"," ya ","últimas horas","últimas unidades"," ahora "},AF45)))&gt;0,"Solo urgencia, sin cifra",IF(SUMPRODUCT(--ISNUMBER(SEARCH({"recompensa","sorpresa","regalo","lealtad","detalle","gracias","pensamos en ti","para ti"},E45)))&gt;0,"Recompensa o sorpresa","Otro: beneficio o novedad"))))</f>
        <v>Otro: beneficio o novedad</v>
      </c>
    </row>
    <row r="46" spans="1:46" x14ac:dyDescent="0.2">
      <c r="A46" s="104" t="s">
        <v>845</v>
      </c>
      <c r="B46" s="104" t="s">
        <v>279</v>
      </c>
      <c r="C46" s="104" t="s">
        <v>846</v>
      </c>
      <c r="D46" s="104" t="s">
        <v>724</v>
      </c>
      <c r="E46" s="104" t="s">
        <v>847</v>
      </c>
      <c r="F46" s="104" t="s">
        <v>731</v>
      </c>
      <c r="G46" s="105">
        <v>496175</v>
      </c>
      <c r="H46" s="105">
        <v>128564</v>
      </c>
      <c r="I46" s="105">
        <v>87178</v>
      </c>
      <c r="J46" s="106">
        <v>5.1100000000000003</v>
      </c>
      <c r="K46" s="106">
        <v>1.1599999999999999</v>
      </c>
      <c r="L46" s="107">
        <v>42784.63</v>
      </c>
      <c r="M46" s="108">
        <f t="shared" si="0"/>
        <v>25.911019297626847</v>
      </c>
      <c r="N46" s="108">
        <f t="shared" si="1"/>
        <v>17.570010580944224</v>
      </c>
      <c r="O46" s="108">
        <f t="shared" si="2"/>
        <v>67.809028966118049</v>
      </c>
      <c r="P46" s="108">
        <f t="shared" si="3"/>
        <v>86.228911170453955</v>
      </c>
      <c r="Q46" s="108">
        <f t="shared" si="4"/>
        <v>25.911019297626847</v>
      </c>
      <c r="R46" s="108">
        <f t="shared" si="5"/>
        <v>27.75136451093497</v>
      </c>
      <c r="S46" s="101">
        <f t="shared" si="6"/>
        <v>45871</v>
      </c>
      <c r="T46" s="102" t="str">
        <f t="shared" si="7"/>
        <v>Agosto</v>
      </c>
      <c r="U46" s="102" t="str">
        <f t="shared" si="8"/>
        <v>Sábado</v>
      </c>
      <c r="V46" s="102">
        <f t="shared" si="9"/>
        <v>14</v>
      </c>
      <c r="W46" s="102" t="str">
        <f t="shared" si="10"/>
        <v>Días después del pago</v>
      </c>
      <c r="X46" s="102">
        <f t="shared" si="11"/>
        <v>1</v>
      </c>
      <c r="Y46" s="102" t="str">
        <f t="shared" si="12"/>
        <v>No</v>
      </c>
      <c r="Z46" s="102" t="str">
        <f>CHOOSE(MATCH(B46,{"Customer Appreciation","Exclusive Offers","Flash Sale","Holiday Discounts","New Product Launch","Newsletter"},0),"Fidelizar","Vender","Vender","Vender","Lanzar","Educar")</f>
        <v>Educar</v>
      </c>
      <c r="AA46" s="102" t="str">
        <f t="shared" si="13"/>
        <v>Más de 400 mil</v>
      </c>
      <c r="AB46" s="102">
        <f>COUNTIFS($E$5:$E$493,E46,$S$5:$S$493,"&lt;"&amp;S46)+COUNTIFS($E$5:E46,E46,$S$5:S46,S46)</f>
        <v>1</v>
      </c>
      <c r="AC46" s="102">
        <f t="shared" si="14"/>
        <v>1</v>
      </c>
      <c r="AD46" s="102" t="str">
        <f t="shared" si="15"/>
        <v/>
      </c>
      <c r="AE46" s="103">
        <f t="shared" si="16"/>
        <v>0</v>
      </c>
      <c r="AF46" s="102" t="str">
        <f t="shared" si="17"/>
        <v xml:space="preserve"> novedades l'oréal  no te pierdas nada de lo nuevo </v>
      </c>
      <c r="AG46" s="102" t="str">
        <f t="shared" si="18"/>
        <v xml:space="preserve"> tu resumen semanal de noticias de belleza   entérate ya  </v>
      </c>
      <c r="AH46" s="102" t="str">
        <f>IF(SUMPRODUCT(--(LEFT(IF(LEFT(LOWER(E46),1)="¡",MID(LOWER(E46),2,300),LOWER(E46)),LEN({"actualizaci","el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Sí</v>
      </c>
      <c r="AI46" s="102" t="str">
        <f>IF(OR(SUMPRODUCT(--ISNUMBER(SEARCH({"descuento","oferta","ahorr","precio"," sale ","flash","deals"},AF46)))&gt;0,SUMPRODUCT(--ISNUMBER(SEARCH({"descuento","oferta","ahorr","precio"," sale ","flash","deals"},AG46)))&gt;0),"Sí","No")</f>
        <v>No</v>
      </c>
      <c r="AJ46" s="102" t="str">
        <f>IF(SUMPRODUCT(--ISNUMBER(SEARCH({" hoy ","horas","tiempo limitado","antes de que","se acab","se agot","finalic","última oportunidad","oportunidad única","relámpago","express","no esperes","no volver","no parpadees"},AF46)))&gt;0,"Sí","No")</f>
        <v>No</v>
      </c>
      <c r="AK46" s="102" t="str">
        <f>IF(SUMPRODUCT(--ISNUMBER(SEARCH({" hoy ","horas","tiempo limitado","antes de que","se acab","se agot","finalic","última oportunidad","oportunidad única","relámpago","express","no esperes","no volver","no parpadees"},AG46)))&gt;0,"Sí","No")</f>
        <v>No</v>
      </c>
      <c r="AL46" s="102" t="str">
        <f t="shared" si="19"/>
        <v>Sin descuento</v>
      </c>
      <c r="AM46" s="102" t="str">
        <f>IF(SUMPRODUCT(--ISNUMBER(SEARCH({"0","1","2","3","4","5","6","7","8","9","favorit","maquillaje","piel","cabello","productos","belleza","regalo"},E46)))&gt;0,"Sí","No")</f>
        <v>No</v>
      </c>
      <c r="AN46" s="102" t="str">
        <f>IF(SUMPRODUCT(--ISNUMBER(SEARCH({"lo que tenemos","estas ofertas","algo especial","ofertas únicas","que preparamos","no te quedes","echa un vistazo"},F46)))&gt;0,"Sí","No")</f>
        <v>No</v>
      </c>
      <c r="AO46" s="102">
        <f t="shared" si="20"/>
        <v>49</v>
      </c>
      <c r="AP46" s="102">
        <f t="shared" si="21"/>
        <v>9</v>
      </c>
      <c r="AQ46" s="102">
        <f>SUMPRODUCT(LEN(E46)-LEN(SUBSTITUTE(E46,{"!","¡","?","¿",":",",",".","%","·","-",";"},"")))</f>
        <v>1</v>
      </c>
      <c r="AR46" s="102" t="str">
        <f t="shared" si="22"/>
        <v>Sí</v>
      </c>
      <c r="AS46" s="102" t="str">
        <f t="shared" si="23"/>
        <v>No</v>
      </c>
      <c r="AT46" s="102" t="str">
        <f>IF(SUMPRODUCT(--ISNUMBER(FIND({"0","1","2","3","4","5","6","7","8","9"},E46)))&gt;0,"Con cifra concreta",IF(OR(ISNUMBER(FIND("?",E46)),ISNUMBER(FIND("¿",E46))),"Pregunta abierta",IF(SUMPRODUCT(--ISNUMBER(SEARCH({" hoy ","horas","tiempo limitado","antes de que","se acab","se agot","finalic","última oportunidad","oportunidad única","relámpago","express","no esperes","no volver","no parpadees"," ya ","últimas horas","últimas unidades"," ahora "},AF46)))&gt;0,"Solo urgencia, sin cifra",IF(SUMPRODUCT(--ISNUMBER(SEARCH({"recompensa","sorpresa","regalo","lealtad","detalle","gracias","pensamos en ti","para ti"},E46)))&gt;0,"Recompensa o sorpresa","Otro: beneficio o novedad"))))</f>
        <v>Otro: beneficio o novedad</v>
      </c>
    </row>
    <row r="47" spans="1:46" x14ac:dyDescent="0.2">
      <c r="A47" s="96" t="s">
        <v>848</v>
      </c>
      <c r="B47" s="96" t="s">
        <v>276</v>
      </c>
      <c r="C47" s="96" t="s">
        <v>849</v>
      </c>
      <c r="D47" s="96" t="s">
        <v>715</v>
      </c>
      <c r="E47" s="96" t="s">
        <v>850</v>
      </c>
      <c r="F47" s="96" t="s">
        <v>851</v>
      </c>
      <c r="G47" s="97">
        <v>467788</v>
      </c>
      <c r="H47" s="97">
        <v>139775</v>
      </c>
      <c r="I47" s="97">
        <v>66579</v>
      </c>
      <c r="J47" s="98">
        <v>9.08</v>
      </c>
      <c r="K47" s="98">
        <v>1.07</v>
      </c>
      <c r="L47" s="99">
        <v>67416.97</v>
      </c>
      <c r="M47" s="100">
        <f t="shared" si="0"/>
        <v>29.879988370800447</v>
      </c>
      <c r="N47" s="100">
        <f t="shared" si="1"/>
        <v>14.232729356033074</v>
      </c>
      <c r="O47" s="100">
        <f t="shared" si="2"/>
        <v>47.632981577535325</v>
      </c>
      <c r="P47" s="100">
        <f t="shared" si="3"/>
        <v>144.1186392126348</v>
      </c>
      <c r="Q47" s="100">
        <f t="shared" si="4"/>
        <v>31.964920766647268</v>
      </c>
      <c r="R47" s="100">
        <f t="shared" si="5"/>
        <v>29.440902453236173</v>
      </c>
      <c r="S47" s="101">
        <f t="shared" si="6"/>
        <v>45957</v>
      </c>
      <c r="T47" s="102" t="str">
        <f t="shared" si="7"/>
        <v>Octubre</v>
      </c>
      <c r="U47" s="102" t="str">
        <f t="shared" si="8"/>
        <v>Lunes</v>
      </c>
      <c r="V47" s="102">
        <f t="shared" si="9"/>
        <v>11</v>
      </c>
      <c r="W47" s="102" t="str">
        <f t="shared" si="10"/>
        <v>Resto del mes</v>
      </c>
      <c r="X47" s="102">
        <f t="shared" si="11"/>
        <v>2</v>
      </c>
      <c r="Y47" s="102" t="str">
        <f t="shared" si="12"/>
        <v>No</v>
      </c>
      <c r="Z47" s="102" t="str">
        <f>CHOOSE(MATCH(B47,{"Customer Appreciation","Exclusive Offers","Flash Sale","Holiday Discounts","New Product Launch","Newsletter"},0),"Fidelizar","Vender","Vender","Vender","Lanzar","Educar")</f>
        <v>Vender</v>
      </c>
      <c r="AA47" s="102" t="str">
        <f t="shared" si="13"/>
        <v>Más de 400 mil</v>
      </c>
      <c r="AB47" s="102">
        <f>COUNTIFS($E$5:$E$493,E47,$S$5:$S$493,"&lt;"&amp;S47)+COUNTIFS($E$5:E47,E47,$S$5:S47,S47)</f>
        <v>3</v>
      </c>
      <c r="AC47" s="102">
        <f t="shared" si="14"/>
        <v>4</v>
      </c>
      <c r="AD47" s="102" t="str">
        <f t="shared" si="15"/>
        <v/>
      </c>
      <c r="AE47" s="103">
        <f t="shared" si="16"/>
        <v>-2.0849323958468204</v>
      </c>
      <c r="AF47" s="102" t="str">
        <f t="shared" si="17"/>
        <v xml:space="preserve">  ofertas que te harán sonreír  flash sale en tus favoritos </v>
      </c>
      <c r="AG47" s="102" t="str">
        <f t="shared" si="18"/>
        <v xml:space="preserve"> descuentos exclusivos en tus favoritos   aprovecha antes de que acabe  </v>
      </c>
      <c r="AH47" s="102" t="str">
        <f>IF(SUMPRODUCT(--(LEFT(IF(LEFT(LOWER(E47),1)="¡",MID(LOWER(E47),2,300),LOWER(E47)),LEN({"actualizaci","el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47" s="102" t="str">
        <f>IF(OR(SUMPRODUCT(--ISNUMBER(SEARCH({"descuento","oferta","ahorr","precio"," sale ","flash","deals"},AF47)))&gt;0,SUMPRODUCT(--ISNUMBER(SEARCH({"descuento","oferta","ahorr","precio"," sale ","flash","deals"},AG47)))&gt;0),"Sí","No")</f>
        <v>Sí</v>
      </c>
      <c r="AJ47" s="102" t="str">
        <f>IF(SUMPRODUCT(--ISNUMBER(SEARCH({" hoy ","horas","tiempo limitado","antes de que","se acab","se agot","finalic","última oportunidad","oportunidad única","relámpago","express","no esperes","no volver","no parpadees"},AF47)))&gt;0,"Sí","No")</f>
        <v>No</v>
      </c>
      <c r="AK47" s="102" t="str">
        <f>IF(SUMPRODUCT(--ISNUMBER(SEARCH({" hoy ","horas","tiempo limitado","antes de que","se acab","se agot","finalic","última oportunidad","oportunidad única","relámpago","express","no esperes","no volver","no parpadees"},AG47)))&gt;0,"Sí","No")</f>
        <v>Sí</v>
      </c>
      <c r="AL47" s="102" t="str">
        <f t="shared" si="19"/>
        <v>Descuento con tiempo límite solo en el preheader</v>
      </c>
      <c r="AM47" s="102" t="str">
        <f>IF(SUMPRODUCT(--ISNUMBER(SEARCH({"0","1","2","3","4","5","6","7","8","9","favorit","maquillaje","piel","cabello","productos","belleza","regalo"},E47)))&gt;0,"Sí","No")</f>
        <v>Sí</v>
      </c>
      <c r="AN47" s="102" t="str">
        <f>IF(SUMPRODUCT(--ISNUMBER(SEARCH({"lo que tenemos","estas ofertas","algo especial","ofertas únicas","que preparamos","no te quedes","echa un vistazo"},F47)))&gt;0,"Sí","No")</f>
        <v>No</v>
      </c>
      <c r="AO47" s="102">
        <f t="shared" si="20"/>
        <v>58</v>
      </c>
      <c r="AP47" s="102">
        <f t="shared" si="21"/>
        <v>10</v>
      </c>
      <c r="AQ47" s="102">
        <f>SUMPRODUCT(LEN(E47)-LEN(SUBSTITUTE(E47,{"!","¡","?","¿",":",",",".","%","·","-",";"},"")))</f>
        <v>2</v>
      </c>
      <c r="AR47" s="102" t="str">
        <f t="shared" si="22"/>
        <v>No</v>
      </c>
      <c r="AS47" s="102" t="str">
        <f t="shared" si="23"/>
        <v>No</v>
      </c>
      <c r="AT47" s="102" t="str">
        <f>IF(SUMPRODUCT(--ISNUMBER(FIND({"0","1","2","3","4","5","6","7","8","9"},E47)))&gt;0,"Con cifra concreta",IF(OR(ISNUMBER(FIND("?",E47)),ISNUMBER(FIND("¿",E47))),"Pregunta abierta",IF(SUMPRODUCT(--ISNUMBER(SEARCH({" hoy ","horas","tiempo limitado","antes de que","se acab","se agot","finalic","última oportunidad","oportunidad única","relámpago","express","no esperes","no volver","no parpadees"," ya ","últimas horas","últimas unidades"," ahora "},AF47)))&gt;0,"Solo urgencia, sin cifra",IF(SUMPRODUCT(--ISNUMBER(SEARCH({"recompensa","sorpresa","regalo","lealtad","detalle","gracias","pensamos en ti","para ti"},E47)))&gt;0,"Recompensa o sorpresa","Otro: beneficio o novedad"))))</f>
        <v>Otro: beneficio o novedad</v>
      </c>
    </row>
    <row r="48" spans="1:46" x14ac:dyDescent="0.2">
      <c r="A48" s="104" t="s">
        <v>852</v>
      </c>
      <c r="B48" s="104" t="s">
        <v>274</v>
      </c>
      <c r="C48" s="104" t="s">
        <v>853</v>
      </c>
      <c r="D48" s="104" t="s">
        <v>718</v>
      </c>
      <c r="E48" s="104" t="s">
        <v>854</v>
      </c>
      <c r="F48" s="104" t="s">
        <v>855</v>
      </c>
      <c r="G48" s="105">
        <v>281291</v>
      </c>
      <c r="H48" s="105">
        <v>79796</v>
      </c>
      <c r="I48" s="105">
        <v>40810</v>
      </c>
      <c r="J48" s="106">
        <v>3.38</v>
      </c>
      <c r="K48" s="106">
        <v>3.23</v>
      </c>
      <c r="L48" s="107">
        <v>48736.85</v>
      </c>
      <c r="M48" s="108">
        <f t="shared" si="0"/>
        <v>28.367775719806183</v>
      </c>
      <c r="N48" s="108">
        <f t="shared" si="1"/>
        <v>14.508107262585721</v>
      </c>
      <c r="O48" s="108">
        <f t="shared" si="2"/>
        <v>51.142914431801088</v>
      </c>
      <c r="P48" s="108">
        <f t="shared" si="3"/>
        <v>173.26132012755474</v>
      </c>
      <c r="Q48" s="108">
        <f t="shared" si="4"/>
        <v>28.367775719806183</v>
      </c>
      <c r="R48" s="108">
        <f t="shared" si="5"/>
        <v>31.113650744455075</v>
      </c>
      <c r="S48" s="101">
        <f t="shared" si="6"/>
        <v>45922</v>
      </c>
      <c r="T48" s="102" t="str">
        <f t="shared" si="7"/>
        <v>Septiembre</v>
      </c>
      <c r="U48" s="102" t="str">
        <f t="shared" si="8"/>
        <v>Lunes</v>
      </c>
      <c r="V48" s="102">
        <f t="shared" si="9"/>
        <v>15</v>
      </c>
      <c r="W48" s="102" t="str">
        <f t="shared" si="10"/>
        <v>Resto del mes</v>
      </c>
      <c r="X48" s="102">
        <f t="shared" si="11"/>
        <v>2</v>
      </c>
      <c r="Y48" s="102" t="str">
        <f t="shared" si="12"/>
        <v>No</v>
      </c>
      <c r="Z48" s="102" t="str">
        <f>CHOOSE(MATCH(B48,{"Customer Appreciation","Exclusive Offers","Flash Sale","Holiday Discounts","New Product Launch","Newsletter"},0),"Fidelizar","Vender","Vender","Vender","Lanzar","Educar")</f>
        <v>Fidelizar</v>
      </c>
      <c r="AA48" s="102" t="str">
        <f t="shared" si="13"/>
        <v>200 a 300 mil</v>
      </c>
      <c r="AB48" s="102">
        <f>COUNTIFS($E$5:$E$493,E48,$S$5:$S$493,"&lt;"&amp;S48)+COUNTIFS($E$5:E48,E48,$S$5:S48,S48)</f>
        <v>1</v>
      </c>
      <c r="AC48" s="102">
        <f t="shared" si="14"/>
        <v>1</v>
      </c>
      <c r="AD48" s="102" t="str">
        <f t="shared" si="15"/>
        <v/>
      </c>
      <c r="AE48" s="103">
        <f t="shared" si="16"/>
        <v>0</v>
      </c>
      <c r="AF48" s="102" t="str">
        <f t="shared" si="17"/>
        <v xml:space="preserve">  es para ti  un regalo de l'oréal por tu fidelidad </v>
      </c>
      <c r="AG48" s="102" t="str">
        <f t="shared" si="18"/>
        <v xml:space="preserve"> tu lealtad es recompensada con estas ofertas   descubre más  </v>
      </c>
      <c r="AH48" s="102" t="str">
        <f>IF(SUMPRODUCT(--(LEFT(IF(LEFT(LOWER(E48),1)="¡",MID(LOWER(E48),2,300),LOWER(E48)),LEN({"actualizaci","el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48" s="102" t="str">
        <f>IF(OR(SUMPRODUCT(--ISNUMBER(SEARCH({"descuento","oferta","ahorr","precio"," sale ","flash","deals"},AF48)))&gt;0,SUMPRODUCT(--ISNUMBER(SEARCH({"descuento","oferta","ahorr","precio"," sale ","flash","deals"},AG48)))&gt;0),"Sí","No")</f>
        <v>Sí</v>
      </c>
      <c r="AJ48" s="102" t="str">
        <f>IF(SUMPRODUCT(--ISNUMBER(SEARCH({" hoy ","horas","tiempo limitado","antes de que","se acab","se agot","finalic","última oportunidad","oportunidad única","relámpago","express","no esperes","no volver","no parpadees"},AF48)))&gt;0,"Sí","No")</f>
        <v>No</v>
      </c>
      <c r="AK48" s="102" t="str">
        <f>IF(SUMPRODUCT(--ISNUMBER(SEARCH({" hoy ","horas","tiempo limitado","antes de que","se acab","se agot","finalic","última oportunidad","oportunidad única","relámpago","express","no esperes","no volver","no parpadees"},AG48)))&gt;0,"Sí","No")</f>
        <v>No</v>
      </c>
      <c r="AL48" s="102" t="str">
        <f t="shared" si="19"/>
        <v>Descuento sin tiempo límite</v>
      </c>
      <c r="AM48" s="102" t="str">
        <f>IF(SUMPRODUCT(--ISNUMBER(SEARCH({"0","1","2","3","4","5","6","7","8","9","favorit","maquillaje","piel","cabello","productos","belleza","regalo"},E48)))&gt;0,"Sí","No")</f>
        <v>Sí</v>
      </c>
      <c r="AN48" s="102" t="str">
        <f>IF(SUMPRODUCT(--ISNUMBER(SEARCH({"lo que tenemos","estas ofertas","algo especial","ofertas únicas","que preparamos","no te quedes","echa un vistazo"},F48)))&gt;0,"Sí","No")</f>
        <v>Sí</v>
      </c>
      <c r="AO48" s="102">
        <f t="shared" si="20"/>
        <v>50</v>
      </c>
      <c r="AP48" s="102">
        <f t="shared" si="21"/>
        <v>10</v>
      </c>
      <c r="AQ48" s="102">
        <f>SUMPRODUCT(LEN(E48)-LEN(SUBSTITUTE(E48,{"!","¡","?","¿",":",",",".","%","·","-",";"},"")))</f>
        <v>2</v>
      </c>
      <c r="AR48" s="102" t="str">
        <f t="shared" si="22"/>
        <v>No</v>
      </c>
      <c r="AS48" s="102" t="str">
        <f t="shared" si="23"/>
        <v>No</v>
      </c>
      <c r="AT48" s="102" t="str">
        <f>IF(SUMPRODUCT(--ISNUMBER(FIND({"0","1","2","3","4","5","6","7","8","9"},E48)))&gt;0,"Con cifra concreta",IF(OR(ISNUMBER(FIND("?",E48)),ISNUMBER(FIND("¿",E48))),"Pregunta abierta",IF(SUMPRODUCT(--ISNUMBER(SEARCH({" hoy ","horas","tiempo limitado","antes de que","se acab","se agot","finalic","última oportunidad","oportunidad única","relámpago","express","no esperes","no volver","no parpadees"," ya ","últimas horas","últimas unidades"," ahora "},AF48)))&gt;0,"Solo urgencia, sin cifra",IF(SUMPRODUCT(--ISNUMBER(SEARCH({"recompensa","sorpresa","regalo","lealtad","detalle","gracias","pensamos en ti","para ti"},E48)))&gt;0,"Recompensa o sorpresa","Otro: beneficio o novedad"))))</f>
        <v>Recompensa o sorpresa</v>
      </c>
    </row>
    <row r="49" spans="1:46" x14ac:dyDescent="0.2">
      <c r="A49" s="96" t="s">
        <v>856</v>
      </c>
      <c r="B49" s="96" t="s">
        <v>278</v>
      </c>
      <c r="C49" s="96" t="s">
        <v>857</v>
      </c>
      <c r="D49" s="96" t="s">
        <v>686</v>
      </c>
      <c r="E49" s="96" t="s">
        <v>858</v>
      </c>
      <c r="F49" s="96" t="s">
        <v>859</v>
      </c>
      <c r="G49" s="97">
        <v>364139</v>
      </c>
      <c r="H49" s="97">
        <v>54483</v>
      </c>
      <c r="I49" s="97">
        <v>15112</v>
      </c>
      <c r="J49" s="98">
        <v>5.87</v>
      </c>
      <c r="K49" s="98">
        <v>4.5999999999999996</v>
      </c>
      <c r="L49" s="99">
        <v>92249.48</v>
      </c>
      <c r="M49" s="100">
        <f t="shared" si="0"/>
        <v>14.962143577040635</v>
      </c>
      <c r="N49" s="100">
        <f t="shared" si="1"/>
        <v>4.1500635746239762</v>
      </c>
      <c r="O49" s="100">
        <f t="shared" si="2"/>
        <v>27.737092304021438</v>
      </c>
      <c r="P49" s="100">
        <f t="shared" si="3"/>
        <v>253.33589645712212</v>
      </c>
      <c r="Q49" s="100">
        <f t="shared" si="4"/>
        <v>14.962143577040635</v>
      </c>
      <c r="R49" s="100">
        <f t="shared" si="5"/>
        <v>29.458247936272421</v>
      </c>
      <c r="S49" s="101">
        <f t="shared" si="6"/>
        <v>45944</v>
      </c>
      <c r="T49" s="102" t="str">
        <f t="shared" si="7"/>
        <v>Octubre</v>
      </c>
      <c r="U49" s="102" t="str">
        <f t="shared" si="8"/>
        <v>Martes</v>
      </c>
      <c r="V49" s="102">
        <f t="shared" si="9"/>
        <v>10</v>
      </c>
      <c r="W49" s="102" t="str">
        <f t="shared" si="10"/>
        <v>Quincena</v>
      </c>
      <c r="X49" s="102">
        <f t="shared" si="11"/>
        <v>1</v>
      </c>
      <c r="Y49" s="102" t="str">
        <f t="shared" si="12"/>
        <v>No</v>
      </c>
      <c r="Z49" s="102" t="str">
        <f>CHOOSE(MATCH(B49,{"Customer Appreciation","Exclusive Offers","Flash Sale","Holiday Discounts","New Product Launch","Newsletter"},0),"Fidelizar","Vender","Vender","Vender","Lanzar","Educar")</f>
        <v>Lanzar</v>
      </c>
      <c r="AA49" s="102" t="str">
        <f t="shared" si="13"/>
        <v>300 a 400 mil</v>
      </c>
      <c r="AB49" s="102">
        <f>COUNTIFS($E$5:$E$493,E49,$S$5:$S$493,"&lt;"&amp;S49)+COUNTIFS($E$5:E49,E49,$S$5:S49,S49)</f>
        <v>1</v>
      </c>
      <c r="AC49" s="102">
        <f t="shared" si="14"/>
        <v>1</v>
      </c>
      <c r="AD49" s="102" t="str">
        <f t="shared" si="15"/>
        <v/>
      </c>
      <c r="AE49" s="103">
        <f t="shared" si="16"/>
        <v>0</v>
      </c>
      <c r="AF49" s="102" t="str">
        <f t="shared" si="17"/>
        <v xml:space="preserve"> descubre el futuro de la belleza con l'oréal  innovación  </v>
      </c>
      <c r="AG49" s="102" t="str">
        <f t="shared" si="18"/>
        <v xml:space="preserve"> una innovación que cambiará tu rutina diaria   pruébala  </v>
      </c>
      <c r="AH49" s="102" t="str">
        <f>IF(SUMPRODUCT(--(LEFT(IF(LEFT(LOWER(E49),1)="¡",MID(LOWER(E49),2,300),LOWER(E49)),LEN({"actualizaci","el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49" s="102" t="str">
        <f>IF(OR(SUMPRODUCT(--ISNUMBER(SEARCH({"descuento","oferta","ahorr","precio"," sale ","flash","deals"},AF49)))&gt;0,SUMPRODUCT(--ISNUMBER(SEARCH({"descuento","oferta","ahorr","precio"," sale ","flash","deals"},AG49)))&gt;0),"Sí","No")</f>
        <v>No</v>
      </c>
      <c r="AJ49" s="102" t="str">
        <f>IF(SUMPRODUCT(--ISNUMBER(SEARCH({" hoy ","horas","tiempo limitado","antes de que","se acab","se agot","finalic","última oportunidad","oportunidad única","relámpago","express","no esperes","no volver","no parpadees"},AF49)))&gt;0,"Sí","No")</f>
        <v>No</v>
      </c>
      <c r="AK49" s="102" t="str">
        <f>IF(SUMPRODUCT(--ISNUMBER(SEARCH({" hoy ","horas","tiempo limitado","antes de que","se acab","se agot","finalic","última oportunidad","oportunidad única","relámpago","express","no esperes","no volver","no parpadees"},AG49)))&gt;0,"Sí","No")</f>
        <v>No</v>
      </c>
      <c r="AL49" s="102" t="str">
        <f t="shared" si="19"/>
        <v>Sin descuento</v>
      </c>
      <c r="AM49" s="102" t="str">
        <f>IF(SUMPRODUCT(--ISNUMBER(SEARCH({"0","1","2","3","4","5","6","7","8","9","favorit","maquillaje","piel","cabello","productos","belleza","regalo"},E49)))&gt;0,"Sí","No")</f>
        <v>Sí</v>
      </c>
      <c r="AN49" s="102" t="str">
        <f>IF(SUMPRODUCT(--ISNUMBER(SEARCH({"lo que tenemos","estas ofertas","algo especial","ofertas únicas","que preparamos","no te quedes","echa un vistazo"},F49)))&gt;0,"Sí","No")</f>
        <v>No</v>
      </c>
      <c r="AO49" s="102">
        <f t="shared" si="20"/>
        <v>57</v>
      </c>
      <c r="AP49" s="102">
        <f t="shared" si="21"/>
        <v>9</v>
      </c>
      <c r="AQ49" s="102">
        <f>SUMPRODUCT(LEN(E49)-LEN(SUBSTITUTE(E49,{"!","¡","?","¿",":",",",".","%","·","-",";"},"")))</f>
        <v>2</v>
      </c>
      <c r="AR49" s="102" t="str">
        <f t="shared" si="22"/>
        <v>Sí</v>
      </c>
      <c r="AS49" s="102" t="str">
        <f t="shared" si="23"/>
        <v>No</v>
      </c>
      <c r="AT49" s="102" t="str">
        <f>IF(SUMPRODUCT(--ISNUMBER(FIND({"0","1","2","3","4","5","6","7","8","9"},E49)))&gt;0,"Con cifra concreta",IF(OR(ISNUMBER(FIND("?",E49)),ISNUMBER(FIND("¿",E49))),"Pregunta abierta",IF(SUMPRODUCT(--ISNUMBER(SEARCH({" hoy ","horas","tiempo limitado","antes de que","se acab","se agot","finalic","última oportunidad","oportunidad única","relámpago","express","no esperes","no volver","no parpadees"," ya ","últimas horas","últimas unidades"," ahora "},AF49)))&gt;0,"Solo urgencia, sin cifra",IF(SUMPRODUCT(--ISNUMBER(SEARCH({"recompensa","sorpresa","regalo","lealtad","detalle","gracias","pensamos en ti","para ti"},E49)))&gt;0,"Recompensa o sorpresa","Otro: beneficio o novedad"))))</f>
        <v>Otro: beneficio o novedad</v>
      </c>
    </row>
    <row r="50" spans="1:46" x14ac:dyDescent="0.2">
      <c r="A50" s="104" t="s">
        <v>860</v>
      </c>
      <c r="B50" s="104" t="s">
        <v>275</v>
      </c>
      <c r="C50" s="104" t="s">
        <v>861</v>
      </c>
      <c r="D50" s="104" t="s">
        <v>691</v>
      </c>
      <c r="E50" s="104" t="s">
        <v>862</v>
      </c>
      <c r="F50" s="104" t="s">
        <v>863</v>
      </c>
      <c r="G50" s="105">
        <v>469841</v>
      </c>
      <c r="H50" s="105">
        <v>103404</v>
      </c>
      <c r="I50" s="105">
        <v>64273</v>
      </c>
      <c r="J50" s="106">
        <v>9.83</v>
      </c>
      <c r="K50" s="106">
        <v>4.88</v>
      </c>
      <c r="L50" s="107">
        <v>35207.519999999997</v>
      </c>
      <c r="M50" s="108">
        <f t="shared" si="0"/>
        <v>22.008296423683756</v>
      </c>
      <c r="N50" s="108">
        <f t="shared" si="1"/>
        <v>13.679734207955457</v>
      </c>
      <c r="O50" s="108">
        <f t="shared" si="2"/>
        <v>62.157169935399011</v>
      </c>
      <c r="P50" s="108">
        <f t="shared" si="3"/>
        <v>74.934967361298817</v>
      </c>
      <c r="Q50" s="108">
        <f t="shared" si="4"/>
        <v>16.495238452924411</v>
      </c>
      <c r="R50" s="108">
        <f t="shared" si="5"/>
        <v>27.021447627328243</v>
      </c>
      <c r="S50" s="101">
        <f t="shared" si="6"/>
        <v>45906</v>
      </c>
      <c r="T50" s="102" t="str">
        <f t="shared" si="7"/>
        <v>Septiembre</v>
      </c>
      <c r="U50" s="102" t="str">
        <f t="shared" si="8"/>
        <v>Sábado</v>
      </c>
      <c r="V50" s="102">
        <f t="shared" si="9"/>
        <v>14</v>
      </c>
      <c r="W50" s="102" t="str">
        <f t="shared" si="10"/>
        <v>Resto del mes</v>
      </c>
      <c r="X50" s="102">
        <f t="shared" si="11"/>
        <v>2</v>
      </c>
      <c r="Y50" s="102" t="str">
        <f t="shared" si="12"/>
        <v>No</v>
      </c>
      <c r="Z50" s="102" t="str">
        <f>CHOOSE(MATCH(B50,{"Customer Appreciation","Exclusive Offers","Flash Sale","Holiday Discounts","New Product Launch","Newsletter"},0),"Fidelizar","Vender","Vender","Vender","Lanzar","Educar")</f>
        <v>Vender</v>
      </c>
      <c r="AA50" s="102" t="str">
        <f t="shared" si="13"/>
        <v>Más de 400 mil</v>
      </c>
      <c r="AB50" s="102">
        <f>COUNTIFS($E$5:$E$493,E50,$S$5:$S$493,"&lt;"&amp;S50)+COUNTIFS($E$5:E50,E50,$S$5:S50,S50)</f>
        <v>1</v>
      </c>
      <c r="AC50" s="102">
        <f t="shared" si="14"/>
        <v>3</v>
      </c>
      <c r="AD50" s="102" t="str">
        <f t="shared" si="15"/>
        <v/>
      </c>
      <c r="AE50" s="103">
        <f t="shared" si="16"/>
        <v>5.5130579707593448</v>
      </c>
      <c r="AF50" s="102" t="str">
        <f t="shared" si="17"/>
        <v xml:space="preserve">  tu oportunidad de conseguirlo  ofertas vip  solo por hoy </v>
      </c>
      <c r="AG50" s="102" t="str">
        <f t="shared" si="18"/>
        <v xml:space="preserve"> descuentos únicos en productos seleccionados   acceso limitado  </v>
      </c>
      <c r="AH50" s="102" t="str">
        <f>IF(SUMPRODUCT(--(LEFT(IF(LEFT(LOWER(E50),1)="¡",MID(LOWER(E50),2,300),LOWER(E50)),LEN({"actualizaci","el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Sí</v>
      </c>
      <c r="AI50" s="102" t="str">
        <f>IF(OR(SUMPRODUCT(--ISNUMBER(SEARCH({"descuento","oferta","ahorr","precio"," sale ","flash","deals"},AF50)))&gt;0,SUMPRODUCT(--ISNUMBER(SEARCH({"descuento","oferta","ahorr","precio"," sale ","flash","deals"},AG50)))&gt;0),"Sí","No")</f>
        <v>Sí</v>
      </c>
      <c r="AJ50" s="102" t="str">
        <f>IF(SUMPRODUCT(--ISNUMBER(SEARCH({" hoy ","horas","tiempo limitado","antes de que","se acab","se agot","finalic","última oportunidad","oportunidad única","relámpago","express","no esperes","no volver","no parpadees"},AF50)))&gt;0,"Sí","No")</f>
        <v>Sí</v>
      </c>
      <c r="AK50" s="102" t="str">
        <f>IF(SUMPRODUCT(--ISNUMBER(SEARCH({" hoy ","horas","tiempo limitado","antes de que","se acab","se agot","finalic","última oportunidad","oportunidad única","relámpago","express","no esperes","no volver","no parpadees"},AG50)))&gt;0,"Sí","No")</f>
        <v>No</v>
      </c>
      <c r="AL50" s="102" t="str">
        <f t="shared" si="19"/>
        <v>Descuento con tiempo límite en el asunto</v>
      </c>
      <c r="AM50" s="102" t="str">
        <f>IF(SUMPRODUCT(--ISNUMBER(SEARCH({"0","1","2","3","4","5","6","7","8","9","favorit","maquillaje","piel","cabello","productos","belleza","regalo"},E50)))&gt;0,"Sí","No")</f>
        <v>No</v>
      </c>
      <c r="AN50" s="102" t="str">
        <f>IF(SUMPRODUCT(--ISNUMBER(SEARCH({"lo que tenemos","estas ofertas","algo especial","ofertas únicas","que preparamos","no te quedes","echa un vistazo"},F50)))&gt;0,"Sí","No")</f>
        <v>No</v>
      </c>
      <c r="AO50" s="102">
        <f t="shared" si="20"/>
        <v>57</v>
      </c>
      <c r="AP50" s="102">
        <f t="shared" si="21"/>
        <v>9</v>
      </c>
      <c r="AQ50" s="102">
        <f>SUMPRODUCT(LEN(E50)-LEN(SUBSTITUTE(E50,{"!","¡","?","¿",":",",",".","%","·","-",";"},"")))</f>
        <v>3</v>
      </c>
      <c r="AR50" s="102" t="str">
        <f t="shared" si="22"/>
        <v>Sí</v>
      </c>
      <c r="AS50" s="102" t="str">
        <f t="shared" si="23"/>
        <v>No</v>
      </c>
      <c r="AT50" s="102" t="str">
        <f>IF(SUMPRODUCT(--ISNUMBER(FIND({"0","1","2","3","4","5","6","7","8","9"},E50)))&gt;0,"Con cifra concreta",IF(OR(ISNUMBER(FIND("?",E50)),ISNUMBER(FIND("¿",E50))),"Pregunta abierta",IF(SUMPRODUCT(--ISNUMBER(SEARCH({" hoy ","horas","tiempo limitado","antes de que","se acab","se agot","finalic","última oportunidad","oportunidad única","relámpago","express","no esperes","no volver","no parpadees"," ya ","últimas horas","últimas unidades"," ahora "},AF50)))&gt;0,"Solo urgencia, sin cifra",IF(SUMPRODUCT(--ISNUMBER(SEARCH({"recompensa","sorpresa","regalo","lealtad","detalle","gracias","pensamos en ti","para ti"},E50)))&gt;0,"Recompensa o sorpresa","Otro: beneficio o novedad"))))</f>
        <v>Solo urgencia, sin cifra</v>
      </c>
    </row>
    <row r="51" spans="1:46" x14ac:dyDescent="0.2">
      <c r="A51" s="96" t="s">
        <v>864</v>
      </c>
      <c r="B51" s="96" t="s">
        <v>276</v>
      </c>
      <c r="C51" s="96" t="s">
        <v>865</v>
      </c>
      <c r="D51" s="96" t="s">
        <v>696</v>
      </c>
      <c r="E51" s="96" t="s">
        <v>866</v>
      </c>
      <c r="F51" s="96" t="s">
        <v>867</v>
      </c>
      <c r="G51" s="97">
        <v>348188</v>
      </c>
      <c r="H51" s="97">
        <v>91910</v>
      </c>
      <c r="I51" s="97">
        <v>25666</v>
      </c>
      <c r="J51" s="98">
        <v>4.97</v>
      </c>
      <c r="K51" s="98">
        <v>3.46</v>
      </c>
      <c r="L51" s="99">
        <v>99053.81</v>
      </c>
      <c r="M51" s="100">
        <f t="shared" si="0"/>
        <v>26.3966592760233</v>
      </c>
      <c r="N51" s="100">
        <f t="shared" si="1"/>
        <v>7.3713051569841577</v>
      </c>
      <c r="O51" s="100">
        <f t="shared" si="2"/>
        <v>27.925144162767921</v>
      </c>
      <c r="P51" s="100">
        <f t="shared" si="3"/>
        <v>284.48369846175052</v>
      </c>
      <c r="Q51" s="100">
        <f t="shared" si="4"/>
        <v>20.679461560319073</v>
      </c>
      <c r="R51" s="100">
        <f t="shared" si="5"/>
        <v>29.440902453236173</v>
      </c>
      <c r="S51" s="101">
        <f t="shared" si="6"/>
        <v>45885</v>
      </c>
      <c r="T51" s="102" t="str">
        <f t="shared" si="7"/>
        <v>Agosto</v>
      </c>
      <c r="U51" s="102" t="str">
        <f t="shared" si="8"/>
        <v>Sábado</v>
      </c>
      <c r="V51" s="102">
        <f t="shared" si="9"/>
        <v>9</v>
      </c>
      <c r="W51" s="102" t="str">
        <f t="shared" si="10"/>
        <v>Quincena</v>
      </c>
      <c r="X51" s="102">
        <f t="shared" si="11"/>
        <v>1</v>
      </c>
      <c r="Y51" s="102" t="str">
        <f t="shared" si="12"/>
        <v>No</v>
      </c>
      <c r="Z51" s="102" t="str">
        <f>CHOOSE(MATCH(B51,{"Customer Appreciation","Exclusive Offers","Flash Sale","Holiday Discounts","New Product Launch","Newsletter"},0),"Fidelizar","Vender","Vender","Vender","Lanzar","Educar")</f>
        <v>Vender</v>
      </c>
      <c r="AA51" s="102" t="str">
        <f t="shared" si="13"/>
        <v>300 a 400 mil</v>
      </c>
      <c r="AB51" s="102">
        <f>COUNTIFS($E$5:$E$493,E51,$S$5:$S$493,"&lt;"&amp;S51)+COUNTIFS($E$5:E51,E51,$S$5:S51,S51)</f>
        <v>2</v>
      </c>
      <c r="AC51" s="102">
        <f t="shared" si="14"/>
        <v>7</v>
      </c>
      <c r="AD51" s="102" t="str">
        <f t="shared" si="15"/>
        <v/>
      </c>
      <c r="AE51" s="103">
        <f t="shared" si="16"/>
        <v>5.7171977157042271</v>
      </c>
      <c r="AF51" s="102" t="str">
        <f t="shared" si="17"/>
        <v xml:space="preserve">  ahorra en grande  oferta relámpago  últimas unidades </v>
      </c>
      <c r="AG51" s="102" t="str">
        <f t="shared" si="18"/>
        <v xml:space="preserve"> precios irresistibles en tus productos favoritos   compra ahora  </v>
      </c>
      <c r="AH51" s="102" t="str">
        <f>IF(SUMPRODUCT(--(LEFT(IF(LEFT(LOWER(E51),1)="¡",MID(LOWER(E51),2,300),LOWER(E51)),LEN({"actualizaci","el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51" s="102" t="str">
        <f>IF(OR(SUMPRODUCT(--ISNUMBER(SEARCH({"descuento","oferta","ahorr","precio"," sale ","flash","deals"},AF51)))&gt;0,SUMPRODUCT(--ISNUMBER(SEARCH({"descuento","oferta","ahorr","precio"," sale ","flash","deals"},AG51)))&gt;0),"Sí","No")</f>
        <v>Sí</v>
      </c>
      <c r="AJ51" s="102" t="str">
        <f>IF(SUMPRODUCT(--ISNUMBER(SEARCH({" hoy ","horas","tiempo limitado","antes de que","se acab","se agot","finalic","última oportunidad","oportunidad única","relámpago","express","no esperes","no volver","no parpadees"},AF51)))&gt;0,"Sí","No")</f>
        <v>Sí</v>
      </c>
      <c r="AK51" s="102" t="str">
        <f>IF(SUMPRODUCT(--ISNUMBER(SEARCH({" hoy ","horas","tiempo limitado","antes de que","se acab","se agot","finalic","última oportunidad","oportunidad única","relámpago","express","no esperes","no volver","no parpadees"},AG51)))&gt;0,"Sí","No")</f>
        <v>No</v>
      </c>
      <c r="AL51" s="102" t="str">
        <f t="shared" si="19"/>
        <v>Descuento con tiempo límite en el asunto</v>
      </c>
      <c r="AM51" s="102" t="str">
        <f>IF(SUMPRODUCT(--ISNUMBER(SEARCH({"0","1","2","3","4","5","6","7","8","9","favorit","maquillaje","piel","cabello","productos","belleza","regalo"},E51)))&gt;0,"Sí","No")</f>
        <v>No</v>
      </c>
      <c r="AN51" s="102" t="str">
        <f>IF(SUMPRODUCT(--ISNUMBER(SEARCH({"lo que tenemos","estas ofertas","algo especial","ofertas únicas","que preparamos","no te quedes","echa un vistazo"},F51)))&gt;0,"Sí","No")</f>
        <v>No</v>
      </c>
      <c r="AO51" s="102">
        <f t="shared" si="20"/>
        <v>53</v>
      </c>
      <c r="AP51" s="102">
        <f t="shared" si="21"/>
        <v>7</v>
      </c>
      <c r="AQ51" s="102">
        <f>SUMPRODUCT(LEN(E51)-LEN(SUBSTITUTE(E51,{"!","¡","?","¿",":",",",".","%","·","-",";"},"")))</f>
        <v>3</v>
      </c>
      <c r="AR51" s="102" t="str">
        <f t="shared" si="22"/>
        <v>Sí</v>
      </c>
      <c r="AS51" s="102" t="str">
        <f t="shared" si="23"/>
        <v>No</v>
      </c>
      <c r="AT51" s="102" t="str">
        <f>IF(SUMPRODUCT(--ISNUMBER(FIND({"0","1","2","3","4","5","6","7","8","9"},E51)))&gt;0,"Con cifra concreta",IF(OR(ISNUMBER(FIND("?",E51)),ISNUMBER(FIND("¿",E51))),"Pregunta abierta",IF(SUMPRODUCT(--ISNUMBER(SEARCH({" hoy ","horas","tiempo limitado","antes de que","se acab","se agot","finalic","última oportunidad","oportunidad única","relámpago","express","no esperes","no volver","no parpadees"," ya ","últimas horas","últimas unidades"," ahora "},AF51)))&gt;0,"Solo urgencia, sin cifra",IF(SUMPRODUCT(--ISNUMBER(SEARCH({"recompensa","sorpresa","regalo","lealtad","detalle","gracias","pensamos en ti","para ti"},E51)))&gt;0,"Recompensa o sorpresa","Otro: beneficio o novedad"))))</f>
        <v>Solo urgencia, sin cifra</v>
      </c>
    </row>
    <row r="52" spans="1:46" x14ac:dyDescent="0.2">
      <c r="A52" s="104" t="s">
        <v>868</v>
      </c>
      <c r="B52" s="104" t="s">
        <v>276</v>
      </c>
      <c r="C52" s="104" t="s">
        <v>869</v>
      </c>
      <c r="D52" s="104" t="s">
        <v>702</v>
      </c>
      <c r="E52" s="104" t="s">
        <v>870</v>
      </c>
      <c r="F52" s="104" t="s">
        <v>748</v>
      </c>
      <c r="G52" s="105">
        <v>228018</v>
      </c>
      <c r="H52" s="105">
        <v>44766</v>
      </c>
      <c r="I52" s="105">
        <v>44440</v>
      </c>
      <c r="J52" s="106">
        <v>7.78</v>
      </c>
      <c r="K52" s="106">
        <v>4.93</v>
      </c>
      <c r="L52" s="107">
        <v>5810.77</v>
      </c>
      <c r="M52" s="108">
        <f t="shared" si="0"/>
        <v>19.632660579427942</v>
      </c>
      <c r="N52" s="108">
        <f t="shared" si="1"/>
        <v>19.489689410485138</v>
      </c>
      <c r="O52" s="108">
        <f t="shared" si="2"/>
        <v>99.271768753071527</v>
      </c>
      <c r="P52" s="108">
        <f t="shared" si="3"/>
        <v>25.483821452692332</v>
      </c>
      <c r="Q52" s="108">
        <f t="shared" si="4"/>
        <v>19.632660579427942</v>
      </c>
      <c r="R52" s="108">
        <f t="shared" si="5"/>
        <v>29.440902453236173</v>
      </c>
      <c r="S52" s="101">
        <f t="shared" si="6"/>
        <v>45917</v>
      </c>
      <c r="T52" s="102" t="str">
        <f t="shared" si="7"/>
        <v>Septiembre</v>
      </c>
      <c r="U52" s="102" t="str">
        <f t="shared" si="8"/>
        <v>Miércoles</v>
      </c>
      <c r="V52" s="102">
        <f t="shared" si="9"/>
        <v>16</v>
      </c>
      <c r="W52" s="102" t="str">
        <f t="shared" si="10"/>
        <v>Días después del pago</v>
      </c>
      <c r="X52" s="102">
        <f t="shared" si="11"/>
        <v>26</v>
      </c>
      <c r="Y52" s="102" t="str">
        <f t="shared" si="12"/>
        <v>Sí</v>
      </c>
      <c r="Z52" s="102" t="str">
        <f>CHOOSE(MATCH(B52,{"Customer Appreciation","Exclusive Offers","Flash Sale","Holiday Discounts","New Product Launch","Newsletter"},0),"Fidelizar","Vender","Vender","Vender","Lanzar","Educar")</f>
        <v>Vender</v>
      </c>
      <c r="AA52" s="102" t="str">
        <f t="shared" si="13"/>
        <v>200 a 300 mil</v>
      </c>
      <c r="AB52" s="102">
        <f>COUNTIFS($E$5:$E$493,E52,$S$5:$S$493,"&lt;"&amp;S52)+COUNTIFS($E$5:E52,E52,$S$5:S52,S52)</f>
        <v>1</v>
      </c>
      <c r="AC52" s="102">
        <f t="shared" si="14"/>
        <v>1</v>
      </c>
      <c r="AD52" s="102" t="str">
        <f t="shared" si="15"/>
        <v/>
      </c>
      <c r="AE52" s="103">
        <f t="shared" si="16"/>
        <v>0</v>
      </c>
      <c r="AF52" s="102" t="str">
        <f t="shared" si="17"/>
        <v xml:space="preserve">  última oportunidad  descuentos que no volverán  no esperes </v>
      </c>
      <c r="AG52" s="102" t="str">
        <f t="shared" si="18"/>
        <v xml:space="preserve"> aprovecha estas ofertas antes de que se agoten   compra ahora  </v>
      </c>
      <c r="AH52" s="102" t="str">
        <f>IF(SUMPRODUCT(--(LEFT(IF(LEFT(LOWER(E52),1)="¡",MID(LOWER(E52),2,300),LOWER(E52)),LEN({"actualizaci","el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Sí</v>
      </c>
      <c r="AI52" s="102" t="str">
        <f>IF(OR(SUMPRODUCT(--ISNUMBER(SEARCH({"descuento","oferta","ahorr","precio"," sale ","flash","deals"},AF52)))&gt;0,SUMPRODUCT(--ISNUMBER(SEARCH({"descuento","oferta","ahorr","precio"," sale ","flash","deals"},AG52)))&gt;0),"Sí","No")</f>
        <v>Sí</v>
      </c>
      <c r="AJ52" s="102" t="str">
        <f>IF(SUMPRODUCT(--ISNUMBER(SEARCH({" hoy ","horas","tiempo limitado","antes de que","se acab","se agot","finalic","última oportunidad","oportunidad única","relámpago","express","no esperes","no volver","no parpadees"},AF52)))&gt;0,"Sí","No")</f>
        <v>Sí</v>
      </c>
      <c r="AK52" s="102" t="str">
        <f>IF(SUMPRODUCT(--ISNUMBER(SEARCH({" hoy ","horas","tiempo limitado","antes de que","se acab","se agot","finalic","última oportunidad","oportunidad única","relámpago","express","no esperes","no volver","no parpadees"},AG52)))&gt;0,"Sí","No")</f>
        <v>Sí</v>
      </c>
      <c r="AL52" s="102" t="str">
        <f t="shared" si="19"/>
        <v>Descuento con tiempo límite en el asunto</v>
      </c>
      <c r="AM52" s="102" t="str">
        <f>IF(SUMPRODUCT(--ISNUMBER(SEARCH({"0","1","2","3","4","5","6","7","8","9","favorit","maquillaje","piel","cabello","productos","belleza","regalo"},E52)))&gt;0,"Sí","No")</f>
        <v>No</v>
      </c>
      <c r="AN52" s="102" t="str">
        <f>IF(SUMPRODUCT(--ISNUMBER(SEARCH({"lo que tenemos","estas ofertas","algo especial","ofertas únicas","que preparamos","no te quedes","echa un vistazo"},F52)))&gt;0,"Sí","No")</f>
        <v>Sí</v>
      </c>
      <c r="AO52" s="102">
        <f t="shared" si="20"/>
        <v>59</v>
      </c>
      <c r="AP52" s="102">
        <f t="shared" si="21"/>
        <v>8</v>
      </c>
      <c r="AQ52" s="102">
        <f>SUMPRODUCT(LEN(E52)-LEN(SUBSTITUTE(E52,{"!","¡","?","¿",":",",",".","%","·","-",";"},"")))</f>
        <v>3</v>
      </c>
      <c r="AR52" s="102" t="str">
        <f t="shared" si="22"/>
        <v>Sí</v>
      </c>
      <c r="AS52" s="102" t="str">
        <f t="shared" si="23"/>
        <v>No</v>
      </c>
      <c r="AT52" s="102" t="str">
        <f>IF(SUMPRODUCT(--ISNUMBER(FIND({"0","1","2","3","4","5","6","7","8","9"},E52)))&gt;0,"Con cifra concreta",IF(OR(ISNUMBER(FIND("?",E52)),ISNUMBER(FIND("¿",E52))),"Pregunta abierta",IF(SUMPRODUCT(--ISNUMBER(SEARCH({" hoy ","horas","tiempo limitado","antes de que","se acab","se agot","finalic","última oportunidad","oportunidad única","relámpago","express","no esperes","no volver","no parpadees"," ya ","últimas horas","últimas unidades"," ahora "},AF52)))&gt;0,"Solo urgencia, sin cifra",IF(SUMPRODUCT(--ISNUMBER(SEARCH({"recompensa","sorpresa","regalo","lealtad","detalle","gracias","pensamos en ti","para ti"},E52)))&gt;0,"Recompensa o sorpresa","Otro: beneficio o novedad"))))</f>
        <v>Solo urgencia, sin cifra</v>
      </c>
    </row>
    <row r="53" spans="1:46" x14ac:dyDescent="0.2">
      <c r="A53" s="96" t="s">
        <v>871</v>
      </c>
      <c r="B53" s="96" t="s">
        <v>276</v>
      </c>
      <c r="C53" s="96" t="s">
        <v>872</v>
      </c>
      <c r="D53" s="96" t="s">
        <v>707</v>
      </c>
      <c r="E53" s="96" t="s">
        <v>873</v>
      </c>
      <c r="F53" s="96" t="s">
        <v>874</v>
      </c>
      <c r="G53" s="97">
        <v>442455</v>
      </c>
      <c r="H53" s="97">
        <v>173667</v>
      </c>
      <c r="I53" s="97">
        <v>63953</v>
      </c>
      <c r="J53" s="98">
        <v>9.58</v>
      </c>
      <c r="K53" s="98">
        <v>2.9</v>
      </c>
      <c r="L53" s="99">
        <v>22287.89</v>
      </c>
      <c r="M53" s="100">
        <f t="shared" si="0"/>
        <v>39.250771264874395</v>
      </c>
      <c r="N53" s="100">
        <f t="shared" si="1"/>
        <v>14.454125278276885</v>
      </c>
      <c r="O53" s="100">
        <f t="shared" si="2"/>
        <v>36.825073272412148</v>
      </c>
      <c r="P53" s="100">
        <f t="shared" si="3"/>
        <v>50.373235696285498</v>
      </c>
      <c r="Q53" s="100">
        <f t="shared" si="4"/>
        <v>39.278310607790992</v>
      </c>
      <c r="R53" s="100">
        <f t="shared" si="5"/>
        <v>29.440902453236173</v>
      </c>
      <c r="S53" s="101">
        <f t="shared" si="6"/>
        <v>45878</v>
      </c>
      <c r="T53" s="102" t="str">
        <f t="shared" si="7"/>
        <v>Agosto</v>
      </c>
      <c r="U53" s="102" t="str">
        <f t="shared" si="8"/>
        <v>Sábado</v>
      </c>
      <c r="V53" s="102">
        <f t="shared" si="9"/>
        <v>13</v>
      </c>
      <c r="W53" s="102" t="str">
        <f t="shared" si="10"/>
        <v>Resto del mes</v>
      </c>
      <c r="X53" s="102">
        <f t="shared" si="11"/>
        <v>2</v>
      </c>
      <c r="Y53" s="102" t="str">
        <f t="shared" si="12"/>
        <v>No</v>
      </c>
      <c r="Z53" s="102" t="str">
        <f>CHOOSE(MATCH(B53,{"Customer Appreciation","Exclusive Offers","Flash Sale","Holiday Discounts","New Product Launch","Newsletter"},0),"Fidelizar","Vender","Vender","Vender","Lanzar","Educar")</f>
        <v>Vender</v>
      </c>
      <c r="AA53" s="102" t="str">
        <f t="shared" si="13"/>
        <v>Más de 400 mil</v>
      </c>
      <c r="AB53" s="102">
        <f>COUNTIFS($E$5:$E$493,E53,$S$5:$S$493,"&lt;"&amp;S53)+COUNTIFS($E$5:E53,E53,$S$5:S53,S53)</f>
        <v>1</v>
      </c>
      <c r="AC53" s="102">
        <f t="shared" si="14"/>
        <v>3</v>
      </c>
      <c r="AD53" s="102" t="str">
        <f t="shared" si="15"/>
        <v/>
      </c>
      <c r="AE53" s="103">
        <f t="shared" si="16"/>
        <v>-2.753934291659732E-2</v>
      </c>
      <c r="AF53" s="102" t="str">
        <f t="shared" si="17"/>
        <v xml:space="preserve"> 🔥 hot sale anticipado   precios increíbles en belleza  </v>
      </c>
      <c r="AG53" s="102" t="str">
        <f t="shared" si="18"/>
        <v xml:space="preserve"> consigue tus productos soñados con descuentos exclusivos   no te lo pierdas  </v>
      </c>
      <c r="AH53" s="102" t="str">
        <f>IF(SUMPRODUCT(--(LEFT(IF(LEFT(LOWER(E53),1)="¡",MID(LOWER(E53),2,300),LOWER(E53)),LEN({"actualizaci","el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53" s="102" t="str">
        <f>IF(OR(SUMPRODUCT(--ISNUMBER(SEARCH({"descuento","oferta","ahorr","precio"," sale ","flash","deals"},AF53)))&gt;0,SUMPRODUCT(--ISNUMBER(SEARCH({"descuento","oferta","ahorr","precio"," sale ","flash","deals"},AG53)))&gt;0),"Sí","No")</f>
        <v>Sí</v>
      </c>
      <c r="AJ53" s="102" t="str">
        <f>IF(SUMPRODUCT(--ISNUMBER(SEARCH({" hoy ","horas","tiempo limitado","antes de que","se acab","se agot","finalic","última oportunidad","oportunidad única","relámpago","express","no esperes","no volver","no parpadees"},AF53)))&gt;0,"Sí","No")</f>
        <v>No</v>
      </c>
      <c r="AK53" s="102" t="str">
        <f>IF(SUMPRODUCT(--ISNUMBER(SEARCH({" hoy ","horas","tiempo limitado","antes de que","se acab","se agot","finalic","última oportunidad","oportunidad única","relámpago","express","no esperes","no volver","no parpadees"},AG53)))&gt;0,"Sí","No")</f>
        <v>No</v>
      </c>
      <c r="AL53" s="102" t="str">
        <f t="shared" si="19"/>
        <v>Descuento sin tiempo límite</v>
      </c>
      <c r="AM53" s="102" t="str">
        <f>IF(SUMPRODUCT(--ISNUMBER(SEARCH({"0","1","2","3","4","5","6","7","8","9","favorit","maquillaje","piel","cabello","productos","belleza","regalo"},E53)))&gt;0,"Sí","No")</f>
        <v>Sí</v>
      </c>
      <c r="AN53" s="102" t="str">
        <f>IF(SUMPRODUCT(--ISNUMBER(SEARCH({"lo que tenemos","estas ofertas","algo especial","ofertas únicas","que preparamos","no te quedes","echa un vistazo"},F53)))&gt;0,"Sí","No")</f>
        <v>No</v>
      </c>
      <c r="AO53" s="102">
        <f t="shared" si="20"/>
        <v>54</v>
      </c>
      <c r="AP53" s="102">
        <f t="shared" si="21"/>
        <v>8</v>
      </c>
      <c r="AQ53" s="102">
        <f>SUMPRODUCT(LEN(E53)-LEN(SUBSTITUTE(E53,{"!","¡","?","¿",":",",",".","%","·","-",";"},"")))</f>
        <v>3</v>
      </c>
      <c r="AR53" s="102" t="str">
        <f t="shared" si="22"/>
        <v>Sí</v>
      </c>
      <c r="AS53" s="102" t="str">
        <f t="shared" si="23"/>
        <v>Sí</v>
      </c>
      <c r="AT53" s="102" t="str">
        <f>IF(SUMPRODUCT(--ISNUMBER(FIND({"0","1","2","3","4","5","6","7","8","9"},E53)))&gt;0,"Con cifra concreta",IF(OR(ISNUMBER(FIND("?",E53)),ISNUMBER(FIND("¿",E53))),"Pregunta abierta",IF(SUMPRODUCT(--ISNUMBER(SEARCH({" hoy ","horas","tiempo limitado","antes de que","se acab","se agot","finalic","última oportunidad","oportunidad única","relámpago","express","no esperes","no volver","no parpadees"," ya ","últimas horas","últimas unidades"," ahora "},AF53)))&gt;0,"Solo urgencia, sin cifra",IF(SUMPRODUCT(--ISNUMBER(SEARCH({"recompensa","sorpresa","regalo","lealtad","detalle","gracias","pensamos en ti","para ti"},E53)))&gt;0,"Recompensa o sorpresa","Otro: beneficio o novedad"))))</f>
        <v>Otro: beneficio o novedad</v>
      </c>
    </row>
    <row r="54" spans="1:46" x14ac:dyDescent="0.2">
      <c r="A54" s="104" t="s">
        <v>875</v>
      </c>
      <c r="B54" s="104" t="s">
        <v>277</v>
      </c>
      <c r="C54" s="104" t="s">
        <v>876</v>
      </c>
      <c r="D54" s="104" t="s">
        <v>824</v>
      </c>
      <c r="E54" s="104" t="s">
        <v>476</v>
      </c>
      <c r="F54" s="104" t="s">
        <v>477</v>
      </c>
      <c r="G54" s="105">
        <v>180830</v>
      </c>
      <c r="H54" s="105">
        <v>35394</v>
      </c>
      <c r="I54" s="105">
        <v>16654</v>
      </c>
      <c r="J54" s="106">
        <v>2.54</v>
      </c>
      <c r="K54" s="106">
        <v>4.8899999999999997</v>
      </c>
      <c r="L54" s="107">
        <v>24399.38</v>
      </c>
      <c r="M54" s="108">
        <f t="shared" si="0"/>
        <v>19.573079688104851</v>
      </c>
      <c r="N54" s="108">
        <f t="shared" si="1"/>
        <v>9.2097550185256871</v>
      </c>
      <c r="O54" s="108">
        <f t="shared" si="2"/>
        <v>47.053172854156074</v>
      </c>
      <c r="P54" s="108">
        <f t="shared" si="3"/>
        <v>134.92993419233534</v>
      </c>
      <c r="Q54" s="108">
        <f t="shared" si="4"/>
        <v>21.434915192427972</v>
      </c>
      <c r="R54" s="108">
        <f t="shared" si="5"/>
        <v>30.71114383300629</v>
      </c>
      <c r="S54" s="101">
        <f t="shared" si="6"/>
        <v>45932</v>
      </c>
      <c r="T54" s="102" t="str">
        <f t="shared" si="7"/>
        <v>Octubre</v>
      </c>
      <c r="U54" s="102" t="str">
        <f t="shared" si="8"/>
        <v>Jueves</v>
      </c>
      <c r="V54" s="102">
        <f t="shared" si="9"/>
        <v>10</v>
      </c>
      <c r="W54" s="102" t="str">
        <f t="shared" si="10"/>
        <v>Días después del pago</v>
      </c>
      <c r="X54" s="102">
        <f t="shared" si="11"/>
        <v>1</v>
      </c>
      <c r="Y54" s="102" t="str">
        <f t="shared" si="12"/>
        <v>No</v>
      </c>
      <c r="Z54" s="102" t="str">
        <f>CHOOSE(MATCH(B54,{"Customer Appreciation","Exclusive Offers","Flash Sale","Holiday Discounts","New Product Launch","Newsletter"},0),"Fidelizar","Vender","Vender","Vender","Lanzar","Educar")</f>
        <v>Vender</v>
      </c>
      <c r="AA54" s="102" t="str">
        <f t="shared" si="13"/>
        <v>100 a 200 mil</v>
      </c>
      <c r="AB54" s="102">
        <f>COUNTIFS($E$5:$E$493,E54,$S$5:$S$493,"&lt;"&amp;S54)+COUNTIFS($E$5:E54,E54,$S$5:S54,S54)</f>
        <v>8</v>
      </c>
      <c r="AC54" s="102">
        <f t="shared" si="14"/>
        <v>10</v>
      </c>
      <c r="AD54" s="102" t="str">
        <f t="shared" si="15"/>
        <v>Último tercio</v>
      </c>
      <c r="AE54" s="103">
        <f t="shared" si="16"/>
        <v>-1.8618355043231212</v>
      </c>
      <c r="AF54" s="102" t="str">
        <f t="shared" si="17"/>
        <v xml:space="preserve">  ofertas de temporada  listas para ti  regalos perfectos </v>
      </c>
      <c r="AG54" s="102" t="str">
        <f t="shared" si="18"/>
        <v xml:space="preserve"> los mejores productos para tus celebraciones te esperan   descubre  </v>
      </c>
      <c r="AH54" s="102" t="str">
        <f>IF(SUMPRODUCT(--(LEFT(IF(LEFT(LOWER(E54),1)="¡",MID(LOWER(E54),2,300),LOWER(E54)),LEN({"actualizaci","el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Sí</v>
      </c>
      <c r="AI54" s="102" t="str">
        <f>IF(OR(SUMPRODUCT(--ISNUMBER(SEARCH({"descuento","oferta","ahorr","precio"," sale ","flash","deals"},AF54)))&gt;0,SUMPRODUCT(--ISNUMBER(SEARCH({"descuento","oferta","ahorr","precio"," sale ","flash","deals"},AG54)))&gt;0),"Sí","No")</f>
        <v>Sí</v>
      </c>
      <c r="AJ54" s="102" t="str">
        <f>IF(SUMPRODUCT(--ISNUMBER(SEARCH({" hoy ","horas","tiempo limitado","antes de que","se acab","se agot","finalic","última oportunidad","oportunidad única","relámpago","express","no esperes","no volver","no parpadees"},AF54)))&gt;0,"Sí","No")</f>
        <v>No</v>
      </c>
      <c r="AK54" s="102" t="str">
        <f>IF(SUMPRODUCT(--ISNUMBER(SEARCH({" hoy ","horas","tiempo limitado","antes de que","se acab","se agot","finalic","última oportunidad","oportunidad única","relámpago","express","no esperes","no volver","no parpadees"},AG54)))&gt;0,"Sí","No")</f>
        <v>No</v>
      </c>
      <c r="AL54" s="102" t="str">
        <f t="shared" si="19"/>
        <v>Descuento sin tiempo límite</v>
      </c>
      <c r="AM54" s="102" t="str">
        <f>IF(SUMPRODUCT(--ISNUMBER(SEARCH({"0","1","2","3","4","5","6","7","8","9","favorit","maquillaje","piel","cabello","productos","belleza","regalo"},E54)))&gt;0,"Sí","No")</f>
        <v>Sí</v>
      </c>
      <c r="AN54" s="102" t="str">
        <f>IF(SUMPRODUCT(--ISNUMBER(SEARCH({"lo que tenemos","estas ofertas","algo especial","ofertas únicas","que preparamos","no te quedes","echa un vistazo"},F54)))&gt;0,"Sí","No")</f>
        <v>No</v>
      </c>
      <c r="AO54" s="102">
        <f t="shared" si="20"/>
        <v>56</v>
      </c>
      <c r="AP54" s="102">
        <f t="shared" si="21"/>
        <v>8</v>
      </c>
      <c r="AQ54" s="102">
        <f>SUMPRODUCT(LEN(E54)-LEN(SUBSTITUTE(E54,{"!","¡","?","¿",":",",",".","%","·","-",";"},"")))</f>
        <v>3</v>
      </c>
      <c r="AR54" s="102" t="str">
        <f t="shared" si="22"/>
        <v>Sí</v>
      </c>
      <c r="AS54" s="102" t="str">
        <f t="shared" si="23"/>
        <v>No</v>
      </c>
      <c r="AT54" s="102" t="str">
        <f>IF(SUMPRODUCT(--ISNUMBER(FIND({"0","1","2","3","4","5","6","7","8","9"},E54)))&gt;0,"Con cifra concreta",IF(OR(ISNUMBER(FIND("?",E54)),ISNUMBER(FIND("¿",E54))),"Pregunta abierta",IF(SUMPRODUCT(--ISNUMBER(SEARCH({" hoy ","horas","tiempo limitado","antes de que","se acab","se agot","finalic","última oportunidad","oportunidad única","relámpago","express","no esperes","no volver","no parpadees"," ya ","últimas horas","últimas unidades"," ahora "},AF54)))&gt;0,"Solo urgencia, sin cifra",IF(SUMPRODUCT(--ISNUMBER(SEARCH({"recompensa","sorpresa","regalo","lealtad","detalle","gracias","pensamos en ti","para ti"},E54)))&gt;0,"Recompensa o sorpresa","Otro: beneficio o novedad"))))</f>
        <v>Recompensa o sorpresa</v>
      </c>
    </row>
    <row r="55" spans="1:46" x14ac:dyDescent="0.2">
      <c r="A55" s="96" t="s">
        <v>877</v>
      </c>
      <c r="B55" s="96" t="s">
        <v>276</v>
      </c>
      <c r="C55" s="96" t="s">
        <v>878</v>
      </c>
      <c r="D55" s="96" t="s">
        <v>764</v>
      </c>
      <c r="E55" s="96" t="s">
        <v>879</v>
      </c>
      <c r="F55" s="96" t="s">
        <v>712</v>
      </c>
      <c r="G55" s="97">
        <v>414518</v>
      </c>
      <c r="H55" s="97">
        <v>206000</v>
      </c>
      <c r="I55" s="97">
        <v>10031</v>
      </c>
      <c r="J55" s="98">
        <v>3.61</v>
      </c>
      <c r="K55" s="98">
        <v>4.99</v>
      </c>
      <c r="L55" s="99">
        <v>81503.960000000006</v>
      </c>
      <c r="M55" s="100">
        <f t="shared" si="0"/>
        <v>49.696273744445357</v>
      </c>
      <c r="N55" s="100">
        <f t="shared" si="1"/>
        <v>2.4199190384977252</v>
      </c>
      <c r="O55" s="100">
        <f t="shared" si="2"/>
        <v>4.8694174757281559</v>
      </c>
      <c r="P55" s="100">
        <f t="shared" si="3"/>
        <v>196.62345181632645</v>
      </c>
      <c r="Q55" s="100">
        <f t="shared" si="4"/>
        <v>49.696273744445357</v>
      </c>
      <c r="R55" s="100">
        <f t="shared" si="5"/>
        <v>29.440902453236173</v>
      </c>
      <c r="S55" s="101">
        <f t="shared" si="6"/>
        <v>45924</v>
      </c>
      <c r="T55" s="102" t="str">
        <f t="shared" si="7"/>
        <v>Septiembre</v>
      </c>
      <c r="U55" s="102" t="str">
        <f t="shared" si="8"/>
        <v>Miércoles</v>
      </c>
      <c r="V55" s="102">
        <f t="shared" si="9"/>
        <v>15</v>
      </c>
      <c r="W55" s="102" t="str">
        <f t="shared" si="10"/>
        <v>Resto del mes</v>
      </c>
      <c r="X55" s="102">
        <f t="shared" si="11"/>
        <v>2</v>
      </c>
      <c r="Y55" s="102" t="str">
        <f t="shared" si="12"/>
        <v>No</v>
      </c>
      <c r="Z55" s="102" t="str">
        <f>CHOOSE(MATCH(B55,{"Customer Appreciation","Exclusive Offers","Flash Sale","Holiday Discounts","New Product Launch","Newsletter"},0),"Fidelizar","Vender","Vender","Vender","Lanzar","Educar")</f>
        <v>Vender</v>
      </c>
      <c r="AA55" s="102" t="str">
        <f t="shared" si="13"/>
        <v>Más de 400 mil</v>
      </c>
      <c r="AB55" s="102">
        <f>COUNTIFS($E$5:$E$493,E55,$S$5:$S$493,"&lt;"&amp;S55)+COUNTIFS($E$5:E55,E55,$S$5:S55,S55)</f>
        <v>1</v>
      </c>
      <c r="AC55" s="102">
        <f t="shared" si="14"/>
        <v>1</v>
      </c>
      <c r="AD55" s="102" t="str">
        <f t="shared" si="15"/>
        <v/>
      </c>
      <c r="AE55" s="103">
        <f t="shared" si="16"/>
        <v>0</v>
      </c>
      <c r="AF55" s="102" t="str">
        <f t="shared" si="17"/>
        <v xml:space="preserve"> prepárate para un ahorro épico   flash sale en toda la tienda  </v>
      </c>
      <c r="AG55" s="102" t="str">
        <f t="shared" si="18"/>
        <v xml:space="preserve"> tus productos favoritos con un precio que te encantará   entra ya  </v>
      </c>
      <c r="AH55" s="102" t="str">
        <f>IF(SUMPRODUCT(--(LEFT(IF(LEFT(LOWER(E55),1)="¡",MID(LOWER(E55),2,300),LOWER(E55)),LEN({"actualizaci","el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55" s="102" t="str">
        <f>IF(OR(SUMPRODUCT(--ISNUMBER(SEARCH({"descuento","oferta","ahorr","precio"," sale ","flash","deals"},AF55)))&gt;0,SUMPRODUCT(--ISNUMBER(SEARCH({"descuento","oferta","ahorr","precio"," sale ","flash","deals"},AG55)))&gt;0),"Sí","No")</f>
        <v>Sí</v>
      </c>
      <c r="AJ55" s="102" t="str">
        <f>IF(SUMPRODUCT(--ISNUMBER(SEARCH({" hoy ","horas","tiempo limitado","antes de que","se acab","se agot","finalic","última oportunidad","oportunidad única","relámpago","express","no esperes","no volver","no parpadees"},AF55)))&gt;0,"Sí","No")</f>
        <v>No</v>
      </c>
      <c r="AK55" s="102" t="str">
        <f>IF(SUMPRODUCT(--ISNUMBER(SEARCH({" hoy ","horas","tiempo limitado","antes de que","se acab","se agot","finalic","última oportunidad","oportunidad única","relámpago","express","no esperes","no volver","no parpadees"},AG55)))&gt;0,"Sí","No")</f>
        <v>No</v>
      </c>
      <c r="AL55" s="102" t="str">
        <f t="shared" si="19"/>
        <v>Descuento sin tiempo límite</v>
      </c>
      <c r="AM55" s="102" t="str">
        <f>IF(SUMPRODUCT(--ISNUMBER(SEARCH({"0","1","2","3","4","5","6","7","8","9","favorit","maquillaje","piel","cabello","productos","belleza","regalo"},E55)))&gt;0,"Sí","No")</f>
        <v>No</v>
      </c>
      <c r="AN55" s="102" t="str">
        <f>IF(SUMPRODUCT(--ISNUMBER(SEARCH({"lo que tenemos","estas ofertas","algo especial","ofertas únicas","que preparamos","no te quedes","echa un vistazo"},F55)))&gt;0,"Sí","No")</f>
        <v>No</v>
      </c>
      <c r="AO55" s="102">
        <f t="shared" si="20"/>
        <v>62</v>
      </c>
      <c r="AP55" s="102">
        <f t="shared" si="21"/>
        <v>11</v>
      </c>
      <c r="AQ55" s="102">
        <f>SUMPRODUCT(LEN(E55)-LEN(SUBSTITUTE(E55,{"!","¡","?","¿",":",",",".","%","·","-",";"},"")))</f>
        <v>3</v>
      </c>
      <c r="AR55" s="102" t="str">
        <f t="shared" si="22"/>
        <v>No</v>
      </c>
      <c r="AS55" s="102" t="str">
        <f t="shared" si="23"/>
        <v>No</v>
      </c>
      <c r="AT55" s="102" t="str">
        <f>IF(SUMPRODUCT(--ISNUMBER(FIND({"0","1","2","3","4","5","6","7","8","9"},E55)))&gt;0,"Con cifra concreta",IF(OR(ISNUMBER(FIND("?",E55)),ISNUMBER(FIND("¿",E55))),"Pregunta abierta",IF(SUMPRODUCT(--ISNUMBER(SEARCH({" hoy ","horas","tiempo limitado","antes de que","se acab","se agot","finalic","última oportunidad","oportunidad única","relámpago","express","no esperes","no volver","no parpadees"," ya ","últimas horas","últimas unidades"," ahora "},AF55)))&gt;0,"Solo urgencia, sin cifra",IF(SUMPRODUCT(--ISNUMBER(SEARCH({"recompensa","sorpresa","regalo","lealtad","detalle","gracias","pensamos en ti","para ti"},E55)))&gt;0,"Recompensa o sorpresa","Otro: beneficio o novedad"))))</f>
        <v>Otro: beneficio o novedad</v>
      </c>
    </row>
    <row r="56" spans="1:46" x14ac:dyDescent="0.2">
      <c r="A56" s="104" t="s">
        <v>880</v>
      </c>
      <c r="B56" s="104" t="s">
        <v>275</v>
      </c>
      <c r="C56" s="104" t="s">
        <v>881</v>
      </c>
      <c r="D56" s="104" t="s">
        <v>821</v>
      </c>
      <c r="E56" s="104" t="s">
        <v>882</v>
      </c>
      <c r="F56" s="104" t="s">
        <v>883</v>
      </c>
      <c r="G56" s="105">
        <v>426283</v>
      </c>
      <c r="H56" s="105">
        <v>88998</v>
      </c>
      <c r="I56" s="105">
        <v>49999</v>
      </c>
      <c r="J56" s="106">
        <v>2.4</v>
      </c>
      <c r="K56" s="106">
        <v>1.92</v>
      </c>
      <c r="L56" s="107">
        <v>92152.24</v>
      </c>
      <c r="M56" s="108">
        <f t="shared" si="0"/>
        <v>20.877679851178677</v>
      </c>
      <c r="N56" s="108">
        <f t="shared" si="1"/>
        <v>11.729062618026054</v>
      </c>
      <c r="O56" s="108">
        <f t="shared" si="2"/>
        <v>56.179914155374277</v>
      </c>
      <c r="P56" s="108">
        <f t="shared" si="3"/>
        <v>216.17620219431694</v>
      </c>
      <c r="Q56" s="108">
        <f t="shared" si="4"/>
        <v>19.375383213349011</v>
      </c>
      <c r="R56" s="108">
        <f t="shared" si="5"/>
        <v>27.021447627328243</v>
      </c>
      <c r="S56" s="101">
        <f t="shared" si="6"/>
        <v>45896</v>
      </c>
      <c r="T56" s="102" t="str">
        <f t="shared" si="7"/>
        <v>Agosto</v>
      </c>
      <c r="U56" s="102" t="str">
        <f t="shared" si="8"/>
        <v>Miércoles</v>
      </c>
      <c r="V56" s="102">
        <f t="shared" si="9"/>
        <v>8</v>
      </c>
      <c r="W56" s="102" t="str">
        <f t="shared" si="10"/>
        <v>Resto del mes</v>
      </c>
      <c r="X56" s="102">
        <f t="shared" si="11"/>
        <v>1</v>
      </c>
      <c r="Y56" s="102" t="str">
        <f t="shared" si="12"/>
        <v>No</v>
      </c>
      <c r="Z56" s="102" t="str">
        <f>CHOOSE(MATCH(B56,{"Customer Appreciation","Exclusive Offers","Flash Sale","Holiday Discounts","New Product Launch","Newsletter"},0),"Fidelizar","Vender","Vender","Vender","Lanzar","Educar")</f>
        <v>Vender</v>
      </c>
      <c r="AA56" s="102" t="str">
        <f t="shared" si="13"/>
        <v>Más de 400 mil</v>
      </c>
      <c r="AB56" s="102">
        <f>COUNTIFS($E$5:$E$493,E56,$S$5:$S$493,"&lt;"&amp;S56)+COUNTIFS($E$5:E56,E56,$S$5:S56,S56)</f>
        <v>5</v>
      </c>
      <c r="AC56" s="102">
        <f t="shared" si="14"/>
        <v>5</v>
      </c>
      <c r="AD56" s="102" t="str">
        <f t="shared" si="15"/>
        <v/>
      </c>
      <c r="AE56" s="103">
        <f t="shared" si="16"/>
        <v>1.5022966378296658</v>
      </c>
      <c r="AF56" s="102" t="str">
        <f t="shared" si="17"/>
        <v xml:space="preserve">  descuentos que no querrás perderte  l'oréal para ti </v>
      </c>
      <c r="AG56" s="102" t="str">
        <f t="shared" si="18"/>
        <v xml:space="preserve"> solo para nuestra comunidad más fiel   acceso limitado  </v>
      </c>
      <c r="AH56" s="102" t="str">
        <f>IF(SUMPRODUCT(--(LEFT(IF(LEFT(LOWER(E56),1)="¡",MID(LOWER(E56),2,300),LOWER(E56)),LEN({"actualizaci","el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Sí</v>
      </c>
      <c r="AI56" s="102" t="str">
        <f>IF(OR(SUMPRODUCT(--ISNUMBER(SEARCH({"descuento","oferta","ahorr","precio"," sale ","flash","deals"},AF56)))&gt;0,SUMPRODUCT(--ISNUMBER(SEARCH({"descuento","oferta","ahorr","precio"," sale ","flash","deals"},AG56)))&gt;0),"Sí","No")</f>
        <v>Sí</v>
      </c>
      <c r="AJ56" s="102" t="str">
        <f>IF(SUMPRODUCT(--ISNUMBER(SEARCH({" hoy ","horas","tiempo limitado","antes de que","se acab","se agot","finalic","última oportunidad","oportunidad única","relámpago","express","no esperes","no volver","no parpadees"},AF56)))&gt;0,"Sí","No")</f>
        <v>No</v>
      </c>
      <c r="AK56" s="102" t="str">
        <f>IF(SUMPRODUCT(--ISNUMBER(SEARCH({" hoy ","horas","tiempo limitado","antes de que","se acab","se agot","finalic","última oportunidad","oportunidad única","relámpago","express","no esperes","no volver","no parpadees"},AG56)))&gt;0,"Sí","No")</f>
        <v>No</v>
      </c>
      <c r="AL56" s="102" t="str">
        <f t="shared" si="19"/>
        <v>Descuento sin tiempo límite</v>
      </c>
      <c r="AM56" s="102" t="str">
        <f>IF(SUMPRODUCT(--ISNUMBER(SEARCH({"0","1","2","3","4","5","6","7","8","9","favorit","maquillaje","piel","cabello","productos","belleza","regalo"},E56)))&gt;0,"Sí","No")</f>
        <v>No</v>
      </c>
      <c r="AN56" s="102" t="str">
        <f>IF(SUMPRODUCT(--ISNUMBER(SEARCH({"lo que tenemos","estas ofertas","algo especial","ofertas únicas","que preparamos","no te quedes","echa un vistazo"},F56)))&gt;0,"Sí","No")</f>
        <v>No</v>
      </c>
      <c r="AO56" s="102">
        <f t="shared" si="20"/>
        <v>52</v>
      </c>
      <c r="AP56" s="102">
        <f t="shared" si="21"/>
        <v>8</v>
      </c>
      <c r="AQ56" s="102">
        <f>SUMPRODUCT(LEN(E56)-LEN(SUBSTITUTE(E56,{"!","¡","?","¿",":",",",".","%","·","-",";"},"")))</f>
        <v>2</v>
      </c>
      <c r="AR56" s="102" t="str">
        <f t="shared" si="22"/>
        <v>Sí</v>
      </c>
      <c r="AS56" s="102" t="str">
        <f t="shared" si="23"/>
        <v>No</v>
      </c>
      <c r="AT56" s="102" t="str">
        <f>IF(SUMPRODUCT(--ISNUMBER(FIND({"0","1","2","3","4","5","6","7","8","9"},E56)))&gt;0,"Con cifra concreta",IF(OR(ISNUMBER(FIND("?",E56)),ISNUMBER(FIND("¿",E56))),"Pregunta abierta",IF(SUMPRODUCT(--ISNUMBER(SEARCH({" hoy ","horas","tiempo limitado","antes de que","se acab","se agot","finalic","última oportunidad","oportunidad única","relámpago","express","no esperes","no volver","no parpadees"," ya ","últimas horas","últimas unidades"," ahora "},AF56)))&gt;0,"Solo urgencia, sin cifra",IF(SUMPRODUCT(--ISNUMBER(SEARCH({"recompensa","sorpresa","regalo","lealtad","detalle","gracias","pensamos en ti","para ti"},E56)))&gt;0,"Recompensa o sorpresa","Otro: beneficio o novedad"))))</f>
        <v>Recompensa o sorpresa</v>
      </c>
    </row>
    <row r="57" spans="1:46" x14ac:dyDescent="0.2">
      <c r="A57" s="96" t="s">
        <v>884</v>
      </c>
      <c r="B57" s="96" t="s">
        <v>276</v>
      </c>
      <c r="C57" s="96" t="s">
        <v>885</v>
      </c>
      <c r="D57" s="96" t="s">
        <v>715</v>
      </c>
      <c r="E57" s="96" t="s">
        <v>886</v>
      </c>
      <c r="F57" s="96" t="s">
        <v>887</v>
      </c>
      <c r="G57" s="97">
        <v>472879</v>
      </c>
      <c r="H57" s="97">
        <v>215383</v>
      </c>
      <c r="I57" s="97">
        <v>64696</v>
      </c>
      <c r="J57" s="98">
        <v>0.61</v>
      </c>
      <c r="K57" s="98">
        <v>4.2</v>
      </c>
      <c r="L57" s="99">
        <v>90695.45</v>
      </c>
      <c r="M57" s="100">
        <f t="shared" si="0"/>
        <v>45.547169571920087</v>
      </c>
      <c r="N57" s="100">
        <f t="shared" si="1"/>
        <v>13.681301136231466</v>
      </c>
      <c r="O57" s="100">
        <f t="shared" si="2"/>
        <v>30.037653853832474</v>
      </c>
      <c r="P57" s="100">
        <f t="shared" si="3"/>
        <v>191.79420105354646</v>
      </c>
      <c r="Q57" s="100">
        <f t="shared" si="4"/>
        <v>45.547169571920087</v>
      </c>
      <c r="R57" s="100">
        <f t="shared" si="5"/>
        <v>29.440902453236173</v>
      </c>
      <c r="S57" s="101">
        <f t="shared" si="6"/>
        <v>45949</v>
      </c>
      <c r="T57" s="102" t="str">
        <f t="shared" si="7"/>
        <v>Octubre</v>
      </c>
      <c r="U57" s="102" t="str">
        <f t="shared" si="8"/>
        <v>Domingo</v>
      </c>
      <c r="V57" s="102">
        <f t="shared" si="9"/>
        <v>11</v>
      </c>
      <c r="W57" s="102" t="str">
        <f t="shared" si="10"/>
        <v>Días después del pago</v>
      </c>
      <c r="X57" s="102">
        <f t="shared" si="11"/>
        <v>1</v>
      </c>
      <c r="Y57" s="102" t="str">
        <f t="shared" si="12"/>
        <v>No</v>
      </c>
      <c r="Z57" s="102" t="str">
        <f>CHOOSE(MATCH(B57,{"Customer Appreciation","Exclusive Offers","Flash Sale","Holiday Discounts","New Product Launch","Newsletter"},0),"Fidelizar","Vender","Vender","Vender","Lanzar","Educar")</f>
        <v>Vender</v>
      </c>
      <c r="AA57" s="102" t="str">
        <f t="shared" si="13"/>
        <v>Más de 400 mil</v>
      </c>
      <c r="AB57" s="102">
        <f>COUNTIFS($E$5:$E$493,E57,$S$5:$S$493,"&lt;"&amp;S57)+COUNTIFS($E$5:E57,E57,$S$5:S57,S57)</f>
        <v>1</v>
      </c>
      <c r="AC57" s="102">
        <f t="shared" si="14"/>
        <v>1</v>
      </c>
      <c r="AD57" s="102" t="str">
        <f t="shared" si="15"/>
        <v/>
      </c>
      <c r="AE57" s="103">
        <f t="shared" si="16"/>
        <v>0</v>
      </c>
      <c r="AF57" s="102" t="str">
        <f t="shared" si="17"/>
        <v xml:space="preserve">  última oportunidad  descuentos de otro nivel en l'oréal </v>
      </c>
      <c r="AG57" s="102" t="str">
        <f t="shared" si="18"/>
        <v xml:space="preserve"> aprovecha antes de que se acaben   no te arrepentirás  </v>
      </c>
      <c r="AH57" s="102" t="str">
        <f>IF(SUMPRODUCT(--(LEFT(IF(LEFT(LOWER(E57),1)="¡",MID(LOWER(E57),2,300),LOWER(E57)),LEN({"actualizaci","el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Sí</v>
      </c>
      <c r="AI57" s="102" t="str">
        <f>IF(OR(SUMPRODUCT(--ISNUMBER(SEARCH({"descuento","oferta","ahorr","precio"," sale ","flash","deals"},AF57)))&gt;0,SUMPRODUCT(--ISNUMBER(SEARCH({"descuento","oferta","ahorr","precio"," sale ","flash","deals"},AG57)))&gt;0),"Sí","No")</f>
        <v>Sí</v>
      </c>
      <c r="AJ57" s="102" t="str">
        <f>IF(SUMPRODUCT(--ISNUMBER(SEARCH({" hoy ","horas","tiempo limitado","antes de que","se acab","se agot","finalic","última oportunidad","oportunidad única","relámpago","express","no esperes","no volver","no parpadees"},AF57)))&gt;0,"Sí","No")</f>
        <v>Sí</v>
      </c>
      <c r="AK57" s="102" t="str">
        <f>IF(SUMPRODUCT(--ISNUMBER(SEARCH({" hoy ","horas","tiempo limitado","antes de que","se acab","se agot","finalic","última oportunidad","oportunidad única","relámpago","express","no esperes","no volver","no parpadees"},AG57)))&gt;0,"Sí","No")</f>
        <v>Sí</v>
      </c>
      <c r="AL57" s="102" t="str">
        <f t="shared" si="19"/>
        <v>Descuento con tiempo límite en el asunto</v>
      </c>
      <c r="AM57" s="102" t="str">
        <f>IF(SUMPRODUCT(--ISNUMBER(SEARCH({"0","1","2","3","4","5","6","7","8","9","favorit","maquillaje","piel","cabello","productos","belleza","regalo"},E57)))&gt;0,"Sí","No")</f>
        <v>No</v>
      </c>
      <c r="AN57" s="102" t="str">
        <f>IF(SUMPRODUCT(--ISNUMBER(SEARCH({"lo que tenemos","estas ofertas","algo especial","ofertas únicas","que preparamos","no te quedes","echa un vistazo"},F57)))&gt;0,"Sí","No")</f>
        <v>No</v>
      </c>
      <c r="AO57" s="102">
        <f t="shared" si="20"/>
        <v>56</v>
      </c>
      <c r="AP57" s="102">
        <f t="shared" si="21"/>
        <v>8</v>
      </c>
      <c r="AQ57" s="102">
        <f>SUMPRODUCT(LEN(E57)-LEN(SUBSTITUTE(E57,{"!","¡","?","¿",":",",",".","%","·","-",";"},"")))</f>
        <v>2</v>
      </c>
      <c r="AR57" s="102" t="str">
        <f t="shared" si="22"/>
        <v>Sí</v>
      </c>
      <c r="AS57" s="102" t="str">
        <f t="shared" si="23"/>
        <v>No</v>
      </c>
      <c r="AT57" s="102" t="str">
        <f>IF(SUMPRODUCT(--ISNUMBER(FIND({"0","1","2","3","4","5","6","7","8","9"},E57)))&gt;0,"Con cifra concreta",IF(OR(ISNUMBER(FIND("?",E57)),ISNUMBER(FIND("¿",E57))),"Pregunta abierta",IF(SUMPRODUCT(--ISNUMBER(SEARCH({" hoy ","horas","tiempo limitado","antes de que","se acab","se agot","finalic","última oportunidad","oportunidad única","relámpago","express","no esperes","no volver","no parpadees"," ya ","últimas horas","últimas unidades"," ahora "},AF57)))&gt;0,"Solo urgencia, sin cifra",IF(SUMPRODUCT(--ISNUMBER(SEARCH({"recompensa","sorpresa","regalo","lealtad","detalle","gracias","pensamos en ti","para ti"},E57)))&gt;0,"Recompensa o sorpresa","Otro: beneficio o novedad"))))</f>
        <v>Solo urgencia, sin cifra</v>
      </c>
    </row>
    <row r="58" spans="1:46" x14ac:dyDescent="0.2">
      <c r="A58" s="104" t="s">
        <v>888</v>
      </c>
      <c r="B58" s="104" t="s">
        <v>276</v>
      </c>
      <c r="C58" s="104" t="s">
        <v>889</v>
      </c>
      <c r="D58" s="104" t="s">
        <v>756</v>
      </c>
      <c r="E58" s="104" t="s">
        <v>752</v>
      </c>
      <c r="F58" s="104" t="s">
        <v>753</v>
      </c>
      <c r="G58" s="105">
        <v>448417</v>
      </c>
      <c r="H58" s="105">
        <v>197072</v>
      </c>
      <c r="I58" s="105">
        <v>26905</v>
      </c>
      <c r="J58" s="106">
        <v>1.25</v>
      </c>
      <c r="K58" s="106">
        <v>1.63</v>
      </c>
      <c r="L58" s="107">
        <v>81585.279999999999</v>
      </c>
      <c r="M58" s="108">
        <f t="shared" si="0"/>
        <v>43.948378406706254</v>
      </c>
      <c r="N58" s="108">
        <f t="shared" si="1"/>
        <v>5.9999955398657949</v>
      </c>
      <c r="O58" s="108">
        <f t="shared" si="2"/>
        <v>13.652370707152716</v>
      </c>
      <c r="P58" s="108">
        <f t="shared" si="3"/>
        <v>181.94064899412822</v>
      </c>
      <c r="Q58" s="108">
        <f t="shared" si="4"/>
        <v>33.635625365301983</v>
      </c>
      <c r="R58" s="108">
        <f t="shared" si="5"/>
        <v>29.440902453236173</v>
      </c>
      <c r="S58" s="101">
        <f t="shared" si="6"/>
        <v>45908</v>
      </c>
      <c r="T58" s="102" t="str">
        <f t="shared" si="7"/>
        <v>Septiembre</v>
      </c>
      <c r="U58" s="102" t="str">
        <f t="shared" si="8"/>
        <v>Lunes</v>
      </c>
      <c r="V58" s="102">
        <f t="shared" si="9"/>
        <v>12</v>
      </c>
      <c r="W58" s="102" t="str">
        <f t="shared" si="10"/>
        <v>Resto del mes</v>
      </c>
      <c r="X58" s="102">
        <f t="shared" si="11"/>
        <v>28</v>
      </c>
      <c r="Y58" s="102" t="str">
        <f t="shared" si="12"/>
        <v>Sí</v>
      </c>
      <c r="Z58" s="102" t="str">
        <f>CHOOSE(MATCH(B58,{"Customer Appreciation","Exclusive Offers","Flash Sale","Holiday Discounts","New Product Launch","Newsletter"},0),"Fidelizar","Vender","Vender","Vender","Lanzar","Educar")</f>
        <v>Vender</v>
      </c>
      <c r="AA58" s="102" t="str">
        <f t="shared" si="13"/>
        <v>Más de 400 mil</v>
      </c>
      <c r="AB58" s="102">
        <f>COUNTIFS($E$5:$E$493,E58,$S$5:$S$493,"&lt;"&amp;S58)+COUNTIFS($E$5:E58,E58,$S$5:S58,S58)</f>
        <v>2</v>
      </c>
      <c r="AC58" s="102">
        <f t="shared" si="14"/>
        <v>2</v>
      </c>
      <c r="AD58" s="102" t="str">
        <f t="shared" si="15"/>
        <v/>
      </c>
      <c r="AE58" s="103">
        <f t="shared" si="16"/>
        <v>10.312753041404271</v>
      </c>
      <c r="AF58" s="102" t="str">
        <f t="shared" si="17"/>
        <v xml:space="preserve">  ahorra en tus favoritos  oferta flash  solo por hoy </v>
      </c>
      <c r="AG58" s="102" t="str">
        <f t="shared" si="18"/>
        <v xml:space="preserve"> tus productos esenciales con un gran descuento   no te lo pierdas  </v>
      </c>
      <c r="AH58" s="102" t="str">
        <f>IF(SUMPRODUCT(--(LEFT(IF(LEFT(LOWER(E58),1)="¡",MID(LOWER(E58),2,300),LOWER(E58)),LEN({"actualizaci","el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58" s="102" t="str">
        <f>IF(OR(SUMPRODUCT(--ISNUMBER(SEARCH({"descuento","oferta","ahorr","precio"," sale ","flash","deals"},AF58)))&gt;0,SUMPRODUCT(--ISNUMBER(SEARCH({"descuento","oferta","ahorr","precio"," sale ","flash","deals"},AG58)))&gt;0),"Sí","No")</f>
        <v>Sí</v>
      </c>
      <c r="AJ58" s="102" t="str">
        <f>IF(SUMPRODUCT(--ISNUMBER(SEARCH({" hoy ","horas","tiempo limitado","antes de que","se acab","se agot","finalic","última oportunidad","oportunidad única","relámpago","express","no esperes","no volver","no parpadees"},AF58)))&gt;0,"Sí","No")</f>
        <v>Sí</v>
      </c>
      <c r="AK58" s="102" t="str">
        <f>IF(SUMPRODUCT(--ISNUMBER(SEARCH({" hoy ","horas","tiempo limitado","antes de que","se acab","se agot","finalic","última oportunidad","oportunidad única","relámpago","express","no esperes","no volver","no parpadees"},AG58)))&gt;0,"Sí","No")</f>
        <v>No</v>
      </c>
      <c r="AL58" s="102" t="str">
        <f t="shared" si="19"/>
        <v>Descuento con tiempo límite en el asunto</v>
      </c>
      <c r="AM58" s="102" t="str">
        <f>IF(SUMPRODUCT(--ISNUMBER(SEARCH({"0","1","2","3","4","5","6","7","8","9","favorit","maquillaje","piel","cabello","productos","belleza","regalo"},E58)))&gt;0,"Sí","No")</f>
        <v>Sí</v>
      </c>
      <c r="AN58" s="102" t="str">
        <f>IF(SUMPRODUCT(--ISNUMBER(SEARCH({"lo que tenemos","estas ofertas","algo especial","ofertas únicas","que preparamos","no te quedes","echa un vistazo"},F58)))&gt;0,"Sí","No")</f>
        <v>No</v>
      </c>
      <c r="AO58" s="102">
        <f t="shared" si="20"/>
        <v>52</v>
      </c>
      <c r="AP58" s="102">
        <f t="shared" si="21"/>
        <v>9</v>
      </c>
      <c r="AQ58" s="102">
        <f>SUMPRODUCT(LEN(E58)-LEN(SUBSTITUTE(E58,{"!","¡","?","¿",":",",",".","%","·","-",";"},"")))</f>
        <v>3</v>
      </c>
      <c r="AR58" s="102" t="str">
        <f t="shared" si="22"/>
        <v>Sí</v>
      </c>
      <c r="AS58" s="102" t="str">
        <f t="shared" si="23"/>
        <v>No</v>
      </c>
      <c r="AT58" s="102" t="str">
        <f>IF(SUMPRODUCT(--ISNUMBER(FIND({"0","1","2","3","4","5","6","7","8","9"},E58)))&gt;0,"Con cifra concreta",IF(OR(ISNUMBER(FIND("?",E58)),ISNUMBER(FIND("¿",E58))),"Pregunta abierta",IF(SUMPRODUCT(--ISNUMBER(SEARCH({" hoy ","horas","tiempo limitado","antes de que","se acab","se agot","finalic","última oportunidad","oportunidad única","relámpago","express","no esperes","no volver","no parpadees"," ya ","últimas horas","últimas unidades"," ahora "},AF58)))&gt;0,"Solo urgencia, sin cifra",IF(SUMPRODUCT(--ISNUMBER(SEARCH({"recompensa","sorpresa","regalo","lealtad","detalle","gracias","pensamos en ti","para ti"},E58)))&gt;0,"Recompensa o sorpresa","Otro: beneficio o novedad"))))</f>
        <v>Solo urgencia, sin cifra</v>
      </c>
    </row>
    <row r="59" spans="1:46" x14ac:dyDescent="0.2">
      <c r="A59" s="96" t="s">
        <v>890</v>
      </c>
      <c r="B59" s="96" t="s">
        <v>279</v>
      </c>
      <c r="C59" s="96" t="s">
        <v>891</v>
      </c>
      <c r="D59" s="96" t="s">
        <v>800</v>
      </c>
      <c r="E59" s="96" t="s">
        <v>730</v>
      </c>
      <c r="F59" s="96" t="s">
        <v>731</v>
      </c>
      <c r="G59" s="97">
        <v>174890</v>
      </c>
      <c r="H59" s="97">
        <v>76456</v>
      </c>
      <c r="I59" s="97">
        <v>11162</v>
      </c>
      <c r="J59" s="98">
        <v>2.09</v>
      </c>
      <c r="K59" s="98">
        <v>2.31</v>
      </c>
      <c r="L59" s="99">
        <v>79501.97</v>
      </c>
      <c r="M59" s="100">
        <f t="shared" si="0"/>
        <v>43.716621876608151</v>
      </c>
      <c r="N59" s="100">
        <f t="shared" si="1"/>
        <v>6.3822974441077251</v>
      </c>
      <c r="O59" s="100">
        <f t="shared" si="2"/>
        <v>14.599246625510098</v>
      </c>
      <c r="P59" s="100">
        <f t="shared" si="3"/>
        <v>454.58270913145407</v>
      </c>
      <c r="Q59" s="100">
        <f t="shared" si="4"/>
        <v>25.803011620537188</v>
      </c>
      <c r="R59" s="100">
        <f t="shared" si="5"/>
        <v>27.75136451093497</v>
      </c>
      <c r="S59" s="101">
        <f t="shared" si="6"/>
        <v>45888</v>
      </c>
      <c r="T59" s="102" t="str">
        <f t="shared" si="7"/>
        <v>Agosto</v>
      </c>
      <c r="U59" s="102" t="str">
        <f t="shared" si="8"/>
        <v>Martes</v>
      </c>
      <c r="V59" s="102">
        <f t="shared" si="9"/>
        <v>9</v>
      </c>
      <c r="W59" s="102" t="str">
        <f t="shared" si="10"/>
        <v>Días después del pago</v>
      </c>
      <c r="X59" s="102">
        <f t="shared" si="11"/>
        <v>29</v>
      </c>
      <c r="Y59" s="102" t="str">
        <f t="shared" si="12"/>
        <v>Sí</v>
      </c>
      <c r="Z59" s="102" t="str">
        <f>CHOOSE(MATCH(B59,{"Customer Appreciation","Exclusive Offers","Flash Sale","Holiday Discounts","New Product Launch","Newsletter"},0),"Fidelizar","Vender","Vender","Vender","Lanzar","Educar")</f>
        <v>Educar</v>
      </c>
      <c r="AA59" s="102" t="str">
        <f t="shared" si="13"/>
        <v>100 a 200 mil</v>
      </c>
      <c r="AB59" s="102">
        <f>COUNTIFS($E$5:$E$493,E59,$S$5:$S$493,"&lt;"&amp;S59)+COUNTIFS($E$5:E59,E59,$S$5:S59,S59)</f>
        <v>1</v>
      </c>
      <c r="AC59" s="102">
        <f t="shared" si="14"/>
        <v>2</v>
      </c>
      <c r="AD59" s="102" t="str">
        <f t="shared" si="15"/>
        <v/>
      </c>
      <c r="AE59" s="103">
        <f t="shared" si="16"/>
        <v>17.913610256070964</v>
      </c>
      <c r="AF59" s="102" t="str">
        <f t="shared" si="17"/>
        <v xml:space="preserve"> novedades l'oréal  mantente al día con lo último en belleza </v>
      </c>
      <c r="AG59" s="102" t="str">
        <f t="shared" si="18"/>
        <v xml:space="preserve"> tu resumen semanal de noticias de belleza   entérate ya  </v>
      </c>
      <c r="AH59" s="102" t="str">
        <f>IF(SUMPRODUCT(--(LEFT(IF(LEFT(LOWER(E59),1)="¡",MID(LOWER(E59),2,300),LOWER(E59)),LEN({"actualizaci","el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Sí</v>
      </c>
      <c r="AI59" s="102" t="str">
        <f>IF(OR(SUMPRODUCT(--ISNUMBER(SEARCH({"descuento","oferta","ahorr","precio"," sale ","flash","deals"},AF59)))&gt;0,SUMPRODUCT(--ISNUMBER(SEARCH({"descuento","oferta","ahorr","precio"," sale ","flash","deals"},AG59)))&gt;0),"Sí","No")</f>
        <v>No</v>
      </c>
      <c r="AJ59" s="102" t="str">
        <f>IF(SUMPRODUCT(--ISNUMBER(SEARCH({" hoy ","horas","tiempo limitado","antes de que","se acab","se agot","finalic","última oportunidad","oportunidad única","relámpago","express","no esperes","no volver","no parpadees"},AF59)))&gt;0,"Sí","No")</f>
        <v>No</v>
      </c>
      <c r="AK59" s="102" t="str">
        <f>IF(SUMPRODUCT(--ISNUMBER(SEARCH({" hoy ","horas","tiempo limitado","antes de que","se acab","se agot","finalic","última oportunidad","oportunidad única","relámpago","express","no esperes","no volver","no parpadees"},AG59)))&gt;0,"Sí","No")</f>
        <v>No</v>
      </c>
      <c r="AL59" s="102" t="str">
        <f t="shared" si="19"/>
        <v>Sin descuento</v>
      </c>
      <c r="AM59" s="102" t="str">
        <f>IF(SUMPRODUCT(--ISNUMBER(SEARCH({"0","1","2","3","4","5","6","7","8","9","favorit","maquillaje","piel","cabello","productos","belleza","regalo"},E59)))&gt;0,"Sí","No")</f>
        <v>Sí</v>
      </c>
      <c r="AN59" s="102" t="str">
        <f>IF(SUMPRODUCT(--ISNUMBER(SEARCH({"lo que tenemos","estas ofertas","algo especial","ofertas únicas","que preparamos","no te quedes","echa un vistazo"},F59)))&gt;0,"Sí","No")</f>
        <v>No</v>
      </c>
      <c r="AO59" s="102">
        <f t="shared" si="20"/>
        <v>59</v>
      </c>
      <c r="AP59" s="102">
        <f t="shared" si="21"/>
        <v>10</v>
      </c>
      <c r="AQ59" s="102">
        <f>SUMPRODUCT(LEN(E59)-LEN(SUBSTITUTE(E59,{"!","¡","?","¿",":",",",".","%","·","-",";"},"")))</f>
        <v>1</v>
      </c>
      <c r="AR59" s="102" t="str">
        <f t="shared" si="22"/>
        <v>No</v>
      </c>
      <c r="AS59" s="102" t="str">
        <f t="shared" si="23"/>
        <v>No</v>
      </c>
      <c r="AT59" s="102" t="str">
        <f>IF(SUMPRODUCT(--ISNUMBER(FIND({"0","1","2","3","4","5","6","7","8","9"},E59)))&gt;0,"Con cifra concreta",IF(OR(ISNUMBER(FIND("?",E59)),ISNUMBER(FIND("¿",E59))),"Pregunta abierta",IF(SUMPRODUCT(--ISNUMBER(SEARCH({" hoy ","horas","tiempo limitado","antes de que","se acab","se agot","finalic","última oportunidad","oportunidad única","relámpago","express","no esperes","no volver","no parpadees"," ya ","últimas horas","últimas unidades"," ahora "},AF59)))&gt;0,"Solo urgencia, sin cifra",IF(SUMPRODUCT(--ISNUMBER(SEARCH({"recompensa","sorpresa","regalo","lealtad","detalle","gracias","pensamos en ti","para ti"},E59)))&gt;0,"Recompensa o sorpresa","Otro: beneficio o novedad"))))</f>
        <v>Otro: beneficio o novedad</v>
      </c>
    </row>
    <row r="60" spans="1:46" x14ac:dyDescent="0.2">
      <c r="A60" s="104" t="s">
        <v>892</v>
      </c>
      <c r="B60" s="104" t="s">
        <v>275</v>
      </c>
      <c r="C60" s="104" t="s">
        <v>893</v>
      </c>
      <c r="D60" s="104" t="s">
        <v>805</v>
      </c>
      <c r="E60" s="104" t="s">
        <v>478</v>
      </c>
      <c r="F60" s="104" t="s">
        <v>479</v>
      </c>
      <c r="G60" s="105">
        <v>303122</v>
      </c>
      <c r="H60" s="105">
        <v>62473</v>
      </c>
      <c r="I60" s="105">
        <v>54877</v>
      </c>
      <c r="J60" s="106">
        <v>9.65</v>
      </c>
      <c r="K60" s="106">
        <v>1.19</v>
      </c>
      <c r="L60" s="107">
        <v>69908.160000000003</v>
      </c>
      <c r="M60" s="108">
        <f t="shared" si="0"/>
        <v>20.609853458343505</v>
      </c>
      <c r="N60" s="108">
        <f t="shared" si="1"/>
        <v>18.103931750252375</v>
      </c>
      <c r="O60" s="108">
        <f t="shared" si="2"/>
        <v>87.841147375666282</v>
      </c>
      <c r="P60" s="108">
        <f t="shared" si="3"/>
        <v>230.62714022736722</v>
      </c>
      <c r="Q60" s="108">
        <f t="shared" si="4"/>
        <v>21.363100647493706</v>
      </c>
      <c r="R60" s="108">
        <f t="shared" si="5"/>
        <v>27.021447627328243</v>
      </c>
      <c r="S60" s="101">
        <f t="shared" si="6"/>
        <v>45934</v>
      </c>
      <c r="T60" s="102" t="str">
        <f t="shared" si="7"/>
        <v>Octubre</v>
      </c>
      <c r="U60" s="102" t="str">
        <f t="shared" si="8"/>
        <v>Sábado</v>
      </c>
      <c r="V60" s="102">
        <f t="shared" si="9"/>
        <v>15</v>
      </c>
      <c r="W60" s="102" t="str">
        <f t="shared" si="10"/>
        <v>Días después del pago</v>
      </c>
      <c r="X60" s="102">
        <f t="shared" si="11"/>
        <v>1</v>
      </c>
      <c r="Y60" s="102" t="str">
        <f t="shared" si="12"/>
        <v>No</v>
      </c>
      <c r="Z60" s="102" t="str">
        <f>CHOOSE(MATCH(B60,{"Customer Appreciation","Exclusive Offers","Flash Sale","Holiday Discounts","New Product Launch","Newsletter"},0),"Fidelizar","Vender","Vender","Vender","Lanzar","Educar")</f>
        <v>Vender</v>
      </c>
      <c r="AA60" s="102" t="str">
        <f t="shared" si="13"/>
        <v>300 a 400 mil</v>
      </c>
      <c r="AB60" s="102">
        <f>COUNTIFS($E$5:$E$493,E60,$S$5:$S$493,"&lt;"&amp;S60)+COUNTIFS($E$5:E60,E60,$S$5:S60,S60)</f>
        <v>6</v>
      </c>
      <c r="AC60" s="102">
        <f t="shared" si="14"/>
        <v>8</v>
      </c>
      <c r="AD60" s="102" t="str">
        <f t="shared" si="15"/>
        <v>Último tercio</v>
      </c>
      <c r="AE60" s="103">
        <f t="shared" si="16"/>
        <v>-0.75324718915020128</v>
      </c>
      <c r="AF60" s="102" t="str">
        <f t="shared" si="17"/>
        <v xml:space="preserve">  exclusivo para nuestros clientes vip  acceso limitado </v>
      </c>
      <c r="AG60" s="102" t="str">
        <f t="shared" si="18"/>
        <v xml:space="preserve"> no te pierdas estas ofertas que preparamos para ti   descubre más  </v>
      </c>
      <c r="AH60" s="102" t="str">
        <f>IF(SUMPRODUCT(--(LEFT(IF(LEFT(LOWER(E60),1)="¡",MID(LOWER(E60),2,300),LOWER(E60)),LEN({"actualizaci","el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60" s="102" t="str">
        <f>IF(OR(SUMPRODUCT(--ISNUMBER(SEARCH({"descuento","oferta","ahorr","precio"," sale ","flash","deals"},AF60)))&gt;0,SUMPRODUCT(--ISNUMBER(SEARCH({"descuento","oferta","ahorr","precio"," sale ","flash","deals"},AG60)))&gt;0),"Sí","No")</f>
        <v>Sí</v>
      </c>
      <c r="AJ60" s="102" t="str">
        <f>IF(SUMPRODUCT(--ISNUMBER(SEARCH({" hoy ","horas","tiempo limitado","antes de que","se acab","se agot","finalic","última oportunidad","oportunidad única","relámpago","express","no esperes","no volver","no parpadees"},AF60)))&gt;0,"Sí","No")</f>
        <v>No</v>
      </c>
      <c r="AK60" s="102" t="str">
        <f>IF(SUMPRODUCT(--ISNUMBER(SEARCH({" hoy ","horas","tiempo limitado","antes de que","se acab","se agot","finalic","última oportunidad","oportunidad única","relámpago","express","no esperes","no volver","no parpadees"},AG60)))&gt;0,"Sí","No")</f>
        <v>No</v>
      </c>
      <c r="AL60" s="102" t="str">
        <f t="shared" si="19"/>
        <v>Descuento sin tiempo límite</v>
      </c>
      <c r="AM60" s="102" t="str">
        <f>IF(SUMPRODUCT(--ISNUMBER(SEARCH({"0","1","2","3","4","5","6","7","8","9","favorit","maquillaje","piel","cabello","productos","belleza","regalo"},E60)))&gt;0,"Sí","No")</f>
        <v>No</v>
      </c>
      <c r="AN60" s="102" t="str">
        <f>IF(SUMPRODUCT(--ISNUMBER(SEARCH({"lo que tenemos","estas ofertas","algo especial","ofertas únicas","que preparamos","no te quedes","echa un vistazo"},F60)))&gt;0,"Sí","No")</f>
        <v>Sí</v>
      </c>
      <c r="AO60" s="102">
        <f t="shared" si="20"/>
        <v>54</v>
      </c>
      <c r="AP60" s="102">
        <f t="shared" si="21"/>
        <v>7</v>
      </c>
      <c r="AQ60" s="102">
        <f>SUMPRODUCT(LEN(E60)-LEN(SUBSTITUTE(E60,{"!","¡","?","¿",":",",",".","%","·","-",";"},"")))</f>
        <v>2</v>
      </c>
      <c r="AR60" s="102" t="str">
        <f t="shared" si="22"/>
        <v>Sí</v>
      </c>
      <c r="AS60" s="102" t="str">
        <f t="shared" si="23"/>
        <v>No</v>
      </c>
      <c r="AT60" s="102" t="str">
        <f>IF(SUMPRODUCT(--ISNUMBER(FIND({"0","1","2","3","4","5","6","7","8","9"},E60)))&gt;0,"Con cifra concreta",IF(OR(ISNUMBER(FIND("?",E60)),ISNUMBER(FIND("¿",E60))),"Pregunta abierta",IF(SUMPRODUCT(--ISNUMBER(SEARCH({" hoy ","horas","tiempo limitado","antes de que","se acab","se agot","finalic","última oportunidad","oportunidad única","relámpago","express","no esperes","no volver","no parpadees"," ya ","últimas horas","últimas unidades"," ahora "},AF60)))&gt;0,"Solo urgencia, sin cifra",IF(SUMPRODUCT(--ISNUMBER(SEARCH({"recompensa","sorpresa","regalo","lealtad","detalle","gracias","pensamos en ti","para ti"},E60)))&gt;0,"Recompensa o sorpresa","Otro: beneficio o novedad"))))</f>
        <v>Otro: beneficio o novedad</v>
      </c>
    </row>
    <row r="61" spans="1:46" x14ac:dyDescent="0.2">
      <c r="A61" s="96" t="s">
        <v>894</v>
      </c>
      <c r="B61" s="96" t="s">
        <v>277</v>
      </c>
      <c r="C61" s="96" t="s">
        <v>895</v>
      </c>
      <c r="D61" s="96" t="s">
        <v>769</v>
      </c>
      <c r="E61" s="96" t="s">
        <v>896</v>
      </c>
      <c r="F61" s="96" t="s">
        <v>470</v>
      </c>
      <c r="G61" s="97">
        <v>134659</v>
      </c>
      <c r="H61" s="97">
        <v>26487</v>
      </c>
      <c r="I61" s="97">
        <v>11406</v>
      </c>
      <c r="J61" s="98">
        <v>3.44</v>
      </c>
      <c r="K61" s="98">
        <v>2.64</v>
      </c>
      <c r="L61" s="99">
        <v>64960.61</v>
      </c>
      <c r="M61" s="100">
        <f t="shared" si="0"/>
        <v>19.669684165187622</v>
      </c>
      <c r="N61" s="100">
        <f t="shared" si="1"/>
        <v>8.4702841993479829</v>
      </c>
      <c r="O61" s="100">
        <f t="shared" si="2"/>
        <v>43.062634499943371</v>
      </c>
      <c r="P61" s="100">
        <f t="shared" si="3"/>
        <v>482.40823116167502</v>
      </c>
      <c r="Q61" s="100">
        <f t="shared" si="4"/>
        <v>19.100010084099871</v>
      </c>
      <c r="R61" s="100">
        <f t="shared" si="5"/>
        <v>30.71114383300629</v>
      </c>
      <c r="S61" s="101">
        <f t="shared" si="6"/>
        <v>45926</v>
      </c>
      <c r="T61" s="102" t="str">
        <f t="shared" si="7"/>
        <v>Septiembre</v>
      </c>
      <c r="U61" s="102" t="str">
        <f t="shared" si="8"/>
        <v>Viernes</v>
      </c>
      <c r="V61" s="102">
        <f t="shared" si="9"/>
        <v>13</v>
      </c>
      <c r="W61" s="102" t="str">
        <f t="shared" si="10"/>
        <v>Resto del mes</v>
      </c>
      <c r="X61" s="102">
        <f t="shared" si="11"/>
        <v>1</v>
      </c>
      <c r="Y61" s="102" t="str">
        <f t="shared" si="12"/>
        <v>No</v>
      </c>
      <c r="Z61" s="102" t="str">
        <f>CHOOSE(MATCH(B61,{"Customer Appreciation","Exclusive Offers","Flash Sale","Holiday Discounts","New Product Launch","Newsletter"},0),"Fidelizar","Vender","Vender","Vender","Lanzar","Educar")</f>
        <v>Vender</v>
      </c>
      <c r="AA61" s="102" t="str">
        <f t="shared" si="13"/>
        <v>100 a 200 mil</v>
      </c>
      <c r="AB61" s="102">
        <f>COUNTIFS($E$5:$E$493,E61,$S$5:$S$493,"&lt;"&amp;S61)+COUNTIFS($E$5:E61,E61,$S$5:S61,S61)</f>
        <v>5</v>
      </c>
      <c r="AC61" s="102">
        <f t="shared" si="14"/>
        <v>5</v>
      </c>
      <c r="AD61" s="102" t="str">
        <f t="shared" si="15"/>
        <v/>
      </c>
      <c r="AE61" s="103">
        <f t="shared" si="16"/>
        <v>0.56967408108775075</v>
      </c>
      <c r="AF61" s="102" t="str">
        <f t="shared" si="17"/>
        <v xml:space="preserve">  es hora de celebrar  descuentos festivos  l'oréal para ti </v>
      </c>
      <c r="AG61" s="102" t="str">
        <f t="shared" si="18"/>
        <v xml:space="preserve"> regalos perfectos y ofertas que te encantarán   descubre más  </v>
      </c>
      <c r="AH61" s="102" t="str">
        <f>IF(SUMPRODUCT(--(LEFT(IF(LEFT(LOWER(E61),1)="¡",MID(LOWER(E61),2,300),LOWER(E61)),LEN({"actualizaci","el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Sí</v>
      </c>
      <c r="AI61" s="102" t="str">
        <f>IF(OR(SUMPRODUCT(--ISNUMBER(SEARCH({"descuento","oferta","ahorr","precio"," sale ","flash","deals"},AF61)))&gt;0,SUMPRODUCT(--ISNUMBER(SEARCH({"descuento","oferta","ahorr","precio"," sale ","flash","deals"},AG61)))&gt;0),"Sí","No")</f>
        <v>Sí</v>
      </c>
      <c r="AJ61" s="102" t="str">
        <f>IF(SUMPRODUCT(--ISNUMBER(SEARCH({" hoy ","horas","tiempo limitado","antes de que","se acab","se agot","finalic","última oportunidad","oportunidad única","relámpago","express","no esperes","no volver","no parpadees"},AF61)))&gt;0,"Sí","No")</f>
        <v>No</v>
      </c>
      <c r="AK61" s="102" t="str">
        <f>IF(SUMPRODUCT(--ISNUMBER(SEARCH({" hoy ","horas","tiempo limitado","antes de que","se acab","se agot","finalic","última oportunidad","oportunidad única","relámpago","express","no esperes","no volver","no parpadees"},AG61)))&gt;0,"Sí","No")</f>
        <v>No</v>
      </c>
      <c r="AL61" s="102" t="str">
        <f t="shared" si="19"/>
        <v>Descuento sin tiempo límite</v>
      </c>
      <c r="AM61" s="102" t="str">
        <f>IF(SUMPRODUCT(--ISNUMBER(SEARCH({"0","1","2","3","4","5","6","7","8","9","favorit","maquillaje","piel","cabello","productos","belleza","regalo"},E61)))&gt;0,"Sí","No")</f>
        <v>No</v>
      </c>
      <c r="AN61" s="102" t="str">
        <f>IF(SUMPRODUCT(--ISNUMBER(SEARCH({"lo que tenemos","estas ofertas","algo especial","ofertas únicas","que preparamos","no te quedes","echa un vistazo"},F61)))&gt;0,"Sí","No")</f>
        <v>No</v>
      </c>
      <c r="AO61" s="102">
        <f t="shared" si="20"/>
        <v>58</v>
      </c>
      <c r="AP61" s="102">
        <f t="shared" si="21"/>
        <v>9</v>
      </c>
      <c r="AQ61" s="102">
        <f>SUMPRODUCT(LEN(E61)-LEN(SUBSTITUTE(E61,{"!","¡","?","¿",":",",",".","%","·","-",";"},"")))</f>
        <v>3</v>
      </c>
      <c r="AR61" s="102" t="str">
        <f t="shared" si="22"/>
        <v>Sí</v>
      </c>
      <c r="AS61" s="102" t="str">
        <f t="shared" si="23"/>
        <v>No</v>
      </c>
      <c r="AT61" s="102" t="str">
        <f>IF(SUMPRODUCT(--ISNUMBER(FIND({"0","1","2","3","4","5","6","7","8","9"},E61)))&gt;0,"Con cifra concreta",IF(OR(ISNUMBER(FIND("?",E61)),ISNUMBER(FIND("¿",E61))),"Pregunta abierta",IF(SUMPRODUCT(--ISNUMBER(SEARCH({" hoy ","horas","tiempo limitado","antes de que","se acab","se agot","finalic","última oportunidad","oportunidad única","relámpago","express","no esperes","no volver","no parpadees"," ya ","últimas horas","últimas unidades"," ahora "},AF61)))&gt;0,"Solo urgencia, sin cifra",IF(SUMPRODUCT(--ISNUMBER(SEARCH({"recompensa","sorpresa","regalo","lealtad","detalle","gracias","pensamos en ti","para ti"},E61)))&gt;0,"Recompensa o sorpresa","Otro: beneficio o novedad"))))</f>
        <v>Recompensa o sorpresa</v>
      </c>
    </row>
    <row r="62" spans="1:46" x14ac:dyDescent="0.2">
      <c r="A62" s="104" t="s">
        <v>897</v>
      </c>
      <c r="B62" s="104" t="s">
        <v>278</v>
      </c>
      <c r="C62" s="104" t="s">
        <v>898</v>
      </c>
      <c r="D62" s="104" t="s">
        <v>686</v>
      </c>
      <c r="E62" s="104" t="s">
        <v>367</v>
      </c>
      <c r="F62" s="104" t="s">
        <v>458</v>
      </c>
      <c r="G62" s="105">
        <v>134080</v>
      </c>
      <c r="H62" s="105">
        <v>58100</v>
      </c>
      <c r="I62" s="105">
        <v>22283</v>
      </c>
      <c r="J62" s="106">
        <v>9.73</v>
      </c>
      <c r="K62" s="106">
        <v>4.75</v>
      </c>
      <c r="L62" s="107">
        <v>69489.91</v>
      </c>
      <c r="M62" s="108">
        <f t="shared" si="0"/>
        <v>43.332338902147974</v>
      </c>
      <c r="N62" s="108">
        <f t="shared" si="1"/>
        <v>16.619182577565635</v>
      </c>
      <c r="O62" s="108">
        <f t="shared" si="2"/>
        <v>38.352839931153184</v>
      </c>
      <c r="P62" s="108">
        <f t="shared" si="3"/>
        <v>518.27200178997612</v>
      </c>
      <c r="Q62" s="108">
        <f t="shared" si="4"/>
        <v>36.132518317209367</v>
      </c>
      <c r="R62" s="108">
        <f t="shared" si="5"/>
        <v>29.458247936272421</v>
      </c>
      <c r="S62" s="101">
        <f t="shared" si="6"/>
        <v>45882</v>
      </c>
      <c r="T62" s="102" t="str">
        <f t="shared" si="7"/>
        <v>Agosto</v>
      </c>
      <c r="U62" s="102" t="str">
        <f t="shared" si="8"/>
        <v>Miércoles</v>
      </c>
      <c r="V62" s="102">
        <f t="shared" si="9"/>
        <v>10</v>
      </c>
      <c r="W62" s="102" t="str">
        <f t="shared" si="10"/>
        <v>Resto del mes</v>
      </c>
      <c r="X62" s="102">
        <f t="shared" si="11"/>
        <v>2</v>
      </c>
      <c r="Y62" s="102" t="str">
        <f t="shared" si="12"/>
        <v>No</v>
      </c>
      <c r="Z62" s="102" t="str">
        <f>CHOOSE(MATCH(B62,{"Customer Appreciation","Exclusive Offers","Flash Sale","Holiday Discounts","New Product Launch","Newsletter"},0),"Fidelizar","Vender","Vender","Vender","Lanzar","Educar")</f>
        <v>Lanzar</v>
      </c>
      <c r="AA62" s="102" t="str">
        <f t="shared" si="13"/>
        <v>100 a 200 mil</v>
      </c>
      <c r="AB62" s="102">
        <f>COUNTIFS($E$5:$E$493,E62,$S$5:$S$493,"&lt;"&amp;S62)+COUNTIFS($E$5:E62,E62,$S$5:S62,S62)</f>
        <v>1</v>
      </c>
      <c r="AC62" s="102">
        <f t="shared" si="14"/>
        <v>25</v>
      </c>
      <c r="AD62" s="102" t="str">
        <f t="shared" si="15"/>
        <v>Primer tercio</v>
      </c>
      <c r="AE62" s="103">
        <f t="shared" si="16"/>
        <v>7.1998205849386068</v>
      </c>
      <c r="AF62" s="102" t="str">
        <f t="shared" si="17"/>
        <v xml:space="preserve">  el futuro de tu piel ha llegado  nuevo producto revolucionario </v>
      </c>
      <c r="AG62" s="102" t="str">
        <f t="shared" si="18"/>
        <v xml:space="preserve"> una fórmula revolucionaria para resultados visibles   compruébalo  </v>
      </c>
      <c r="AH62" s="102" t="str">
        <f>IF(SUMPRODUCT(--(LEFT(IF(LEFT(LOWER(E62),1)="¡",MID(LOWER(E62),2,300),LOWER(E62)),LEN({"actualizaci","el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62" s="102" t="str">
        <f>IF(OR(SUMPRODUCT(--ISNUMBER(SEARCH({"descuento","oferta","ahorr","precio"," sale ","flash","deals"},AF62)))&gt;0,SUMPRODUCT(--ISNUMBER(SEARCH({"descuento","oferta","ahorr","precio"," sale ","flash","deals"},AG62)))&gt;0),"Sí","No")</f>
        <v>No</v>
      </c>
      <c r="AJ62" s="102" t="str">
        <f>IF(SUMPRODUCT(--ISNUMBER(SEARCH({" hoy ","horas","tiempo limitado","antes de que","se acab","se agot","finalic","última oportunidad","oportunidad única","relámpago","express","no esperes","no volver","no parpadees"},AF62)))&gt;0,"Sí","No")</f>
        <v>No</v>
      </c>
      <c r="AK62" s="102" t="str">
        <f>IF(SUMPRODUCT(--ISNUMBER(SEARCH({" hoy ","horas","tiempo limitado","antes de que","se acab","se agot","finalic","última oportunidad","oportunidad única","relámpago","express","no esperes","no volver","no parpadees"},AG62)))&gt;0,"Sí","No")</f>
        <v>No</v>
      </c>
      <c r="AL62" s="102" t="str">
        <f t="shared" si="19"/>
        <v>Sin descuento</v>
      </c>
      <c r="AM62" s="102" t="str">
        <f>IF(SUMPRODUCT(--ISNUMBER(SEARCH({"0","1","2","3","4","5","6","7","8","9","favorit","maquillaje","piel","cabello","productos","belleza","regalo"},E62)))&gt;0,"Sí","No")</f>
        <v>Sí</v>
      </c>
      <c r="AN62" s="102" t="str">
        <f>IF(SUMPRODUCT(--ISNUMBER(SEARCH({"lo que tenemos","estas ofertas","algo especial","ofertas únicas","que preparamos","no te quedes","echa un vistazo"},F62)))&gt;0,"Sí","No")</f>
        <v>No</v>
      </c>
      <c r="AO62" s="102">
        <f t="shared" si="20"/>
        <v>63</v>
      </c>
      <c r="AP62" s="102">
        <f t="shared" si="21"/>
        <v>10</v>
      </c>
      <c r="AQ62" s="102">
        <f>SUMPRODUCT(LEN(E62)-LEN(SUBSTITUTE(E62,{"!","¡","?","¿",":",",",".","%","·","-",";"},"")))</f>
        <v>2</v>
      </c>
      <c r="AR62" s="102" t="str">
        <f t="shared" si="22"/>
        <v>No</v>
      </c>
      <c r="AS62" s="102" t="str">
        <f t="shared" si="23"/>
        <v>No</v>
      </c>
      <c r="AT62" s="102" t="str">
        <f>IF(SUMPRODUCT(--ISNUMBER(FIND({"0","1","2","3","4","5","6","7","8","9"},E62)))&gt;0,"Con cifra concreta",IF(OR(ISNUMBER(FIND("?",E62)),ISNUMBER(FIND("¿",E62))),"Pregunta abierta",IF(SUMPRODUCT(--ISNUMBER(SEARCH({" hoy ","horas","tiempo limitado","antes de que","se acab","se agot","finalic","última oportunidad","oportunidad única","relámpago","express","no esperes","no volver","no parpadees"," ya ","últimas horas","últimas unidades"," ahora "},AF62)))&gt;0,"Solo urgencia, sin cifra",IF(SUMPRODUCT(--ISNUMBER(SEARCH({"recompensa","sorpresa","regalo","lealtad","detalle","gracias","pensamos en ti","para ti"},E62)))&gt;0,"Recompensa o sorpresa","Otro: beneficio o novedad"))))</f>
        <v>Otro: beneficio o novedad</v>
      </c>
    </row>
    <row r="63" spans="1:46" x14ac:dyDescent="0.2">
      <c r="A63" s="96" t="s">
        <v>899</v>
      </c>
      <c r="B63" s="96" t="s">
        <v>277</v>
      </c>
      <c r="C63" s="96" t="s">
        <v>900</v>
      </c>
      <c r="D63" s="96" t="s">
        <v>816</v>
      </c>
      <c r="E63" s="96" t="s">
        <v>459</v>
      </c>
      <c r="F63" s="96" t="s">
        <v>460</v>
      </c>
      <c r="G63" s="97">
        <v>350870</v>
      </c>
      <c r="H63" s="97">
        <v>167664</v>
      </c>
      <c r="I63" s="97">
        <v>6070</v>
      </c>
      <c r="J63" s="98">
        <v>1.84</v>
      </c>
      <c r="K63" s="98">
        <v>3.46</v>
      </c>
      <c r="L63" s="99">
        <v>32743.99</v>
      </c>
      <c r="M63" s="100">
        <f t="shared" si="0"/>
        <v>47.785219597001735</v>
      </c>
      <c r="N63" s="100">
        <f t="shared" si="1"/>
        <v>1.7299854647020263</v>
      </c>
      <c r="O63" s="100">
        <f t="shared" si="2"/>
        <v>3.6203359099150685</v>
      </c>
      <c r="P63" s="100">
        <f t="shared" si="3"/>
        <v>93.322284606834444</v>
      </c>
      <c r="Q63" s="100">
        <f t="shared" si="4"/>
        <v>35.565837226891659</v>
      </c>
      <c r="R63" s="100">
        <f t="shared" si="5"/>
        <v>30.71114383300629</v>
      </c>
      <c r="S63" s="101">
        <f t="shared" si="6"/>
        <v>45960</v>
      </c>
      <c r="T63" s="102" t="str">
        <f t="shared" si="7"/>
        <v>Octubre</v>
      </c>
      <c r="U63" s="102" t="str">
        <f t="shared" si="8"/>
        <v>Jueves</v>
      </c>
      <c r="V63" s="102">
        <f t="shared" si="9"/>
        <v>16</v>
      </c>
      <c r="W63" s="102" t="str">
        <f t="shared" si="10"/>
        <v>Quincena</v>
      </c>
      <c r="X63" s="102">
        <f t="shared" si="11"/>
        <v>1</v>
      </c>
      <c r="Y63" s="102" t="str">
        <f t="shared" si="12"/>
        <v>No</v>
      </c>
      <c r="Z63" s="102" t="str">
        <f>CHOOSE(MATCH(B63,{"Customer Appreciation","Exclusive Offers","Flash Sale","Holiday Discounts","New Product Launch","Newsletter"},0),"Fidelizar","Vender","Vender","Vender","Lanzar","Educar")</f>
        <v>Vender</v>
      </c>
      <c r="AA63" s="102" t="str">
        <f t="shared" si="13"/>
        <v>300 a 400 mil</v>
      </c>
      <c r="AB63" s="102">
        <f>COUNTIFS($E$5:$E$493,E63,$S$5:$S$493,"&lt;"&amp;S63)+COUNTIFS($E$5:E63,E63,$S$5:S63,S63)</f>
        <v>9</v>
      </c>
      <c r="AC63" s="102">
        <f t="shared" si="14"/>
        <v>9</v>
      </c>
      <c r="AD63" s="102" t="str">
        <f t="shared" si="15"/>
        <v>Último tercio</v>
      </c>
      <c r="AE63" s="103">
        <f t="shared" si="16"/>
        <v>12.219382370110075</v>
      </c>
      <c r="AF63" s="102" t="str">
        <f t="shared" si="17"/>
        <v xml:space="preserve">  aprovecha los descuentos  temporada de fiestas  beauty deals </v>
      </c>
      <c r="AG63" s="102" t="str">
        <f t="shared" si="18"/>
        <v xml:space="preserve"> tus productos favoritos con precios festivos   no te los pierdas  </v>
      </c>
      <c r="AH63" s="102" t="str">
        <f>IF(SUMPRODUCT(--(LEFT(IF(LEFT(LOWER(E63),1)="¡",MID(LOWER(E63),2,300),LOWER(E63)),LEN({"actualizaci","el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63" s="102" t="str">
        <f>IF(OR(SUMPRODUCT(--ISNUMBER(SEARCH({"descuento","oferta","ahorr","precio"," sale ","flash","deals"},AF63)))&gt;0,SUMPRODUCT(--ISNUMBER(SEARCH({"descuento","oferta","ahorr","precio"," sale ","flash","deals"},AG63)))&gt;0),"Sí","No")</f>
        <v>Sí</v>
      </c>
      <c r="AJ63" s="102" t="str">
        <f>IF(SUMPRODUCT(--ISNUMBER(SEARCH({" hoy ","horas","tiempo limitado","antes de que","se acab","se agot","finalic","última oportunidad","oportunidad única","relámpago","express","no esperes","no volver","no parpadees"},AF63)))&gt;0,"Sí","No")</f>
        <v>No</v>
      </c>
      <c r="AK63" s="102" t="str">
        <f>IF(SUMPRODUCT(--ISNUMBER(SEARCH({" hoy ","horas","tiempo limitado","antes de que","se acab","se agot","finalic","última oportunidad","oportunidad única","relámpago","express","no esperes","no volver","no parpadees"},AG63)))&gt;0,"Sí","No")</f>
        <v>No</v>
      </c>
      <c r="AL63" s="102" t="str">
        <f t="shared" si="19"/>
        <v>Descuento sin tiempo límite</v>
      </c>
      <c r="AM63" s="102" t="str">
        <f>IF(SUMPRODUCT(--ISNUMBER(SEARCH({"0","1","2","3","4","5","6","7","8","9","favorit","maquillaje","piel","cabello","productos","belleza","regalo"},E63)))&gt;0,"Sí","No")</f>
        <v>No</v>
      </c>
      <c r="AN63" s="102" t="str">
        <f>IF(SUMPRODUCT(--ISNUMBER(SEARCH({"lo que tenemos","estas ofertas","algo especial","ofertas únicas","que preparamos","no te quedes","echa un vistazo"},F63)))&gt;0,"Sí","No")</f>
        <v>No</v>
      </c>
      <c r="AO63" s="102">
        <f t="shared" si="20"/>
        <v>61</v>
      </c>
      <c r="AP63" s="102">
        <f t="shared" si="21"/>
        <v>8</v>
      </c>
      <c r="AQ63" s="102">
        <f>SUMPRODUCT(LEN(E63)-LEN(SUBSTITUTE(E63,{"!","¡","?","¿",":",",",".","%","·","-",";"},"")))</f>
        <v>3</v>
      </c>
      <c r="AR63" s="102" t="str">
        <f t="shared" si="22"/>
        <v>No</v>
      </c>
      <c r="AS63" s="102" t="str">
        <f t="shared" si="23"/>
        <v>No</v>
      </c>
      <c r="AT63" s="102" t="str">
        <f>IF(SUMPRODUCT(--ISNUMBER(FIND({"0","1","2","3","4","5","6","7","8","9"},E63)))&gt;0,"Con cifra concreta",IF(OR(ISNUMBER(FIND("?",E63)),ISNUMBER(FIND("¿",E63))),"Pregunta abierta",IF(SUMPRODUCT(--ISNUMBER(SEARCH({" hoy ","horas","tiempo limitado","antes de que","se acab","se agot","finalic","última oportunidad","oportunidad única","relámpago","express","no esperes","no volver","no parpadees"," ya ","últimas horas","últimas unidades"," ahora "},AF63)))&gt;0,"Solo urgencia, sin cifra",IF(SUMPRODUCT(--ISNUMBER(SEARCH({"recompensa","sorpresa","regalo","lealtad","detalle","gracias","pensamos en ti","para ti"},E63)))&gt;0,"Recompensa o sorpresa","Otro: beneficio o novedad"))))</f>
        <v>Otro: beneficio o novedad</v>
      </c>
    </row>
    <row r="64" spans="1:46" x14ac:dyDescent="0.2">
      <c r="A64" s="104" t="s">
        <v>901</v>
      </c>
      <c r="B64" s="104" t="s">
        <v>279</v>
      </c>
      <c r="C64" s="104" t="s">
        <v>902</v>
      </c>
      <c r="D64" s="104" t="s">
        <v>821</v>
      </c>
      <c r="E64" s="104" t="s">
        <v>903</v>
      </c>
      <c r="F64" s="104" t="s">
        <v>473</v>
      </c>
      <c r="G64" s="105">
        <v>332584</v>
      </c>
      <c r="H64" s="105">
        <v>82725</v>
      </c>
      <c r="I64" s="105">
        <v>13470</v>
      </c>
      <c r="J64" s="106">
        <v>9</v>
      </c>
      <c r="K64" s="106">
        <v>0.99</v>
      </c>
      <c r="L64" s="107">
        <v>50670.86</v>
      </c>
      <c r="M64" s="108">
        <f t="shared" si="0"/>
        <v>24.873415437904409</v>
      </c>
      <c r="N64" s="108">
        <f t="shared" si="1"/>
        <v>4.0501046352199745</v>
      </c>
      <c r="O64" s="108">
        <f t="shared" si="2"/>
        <v>16.282864913871258</v>
      </c>
      <c r="P64" s="108">
        <f t="shared" si="3"/>
        <v>152.35507420681694</v>
      </c>
      <c r="Q64" s="108">
        <f t="shared" si="4"/>
        <v>24.873415437904409</v>
      </c>
      <c r="R64" s="108">
        <f t="shared" si="5"/>
        <v>27.75136451093497</v>
      </c>
      <c r="S64" s="101">
        <f t="shared" si="6"/>
        <v>45928</v>
      </c>
      <c r="T64" s="102" t="str">
        <f t="shared" si="7"/>
        <v>Septiembre</v>
      </c>
      <c r="U64" s="102" t="str">
        <f t="shared" si="8"/>
        <v>Domingo</v>
      </c>
      <c r="V64" s="102">
        <f t="shared" si="9"/>
        <v>8</v>
      </c>
      <c r="W64" s="102" t="str">
        <f t="shared" si="10"/>
        <v>Resto del mes</v>
      </c>
      <c r="X64" s="102">
        <f t="shared" si="11"/>
        <v>1</v>
      </c>
      <c r="Y64" s="102" t="str">
        <f t="shared" si="12"/>
        <v>No</v>
      </c>
      <c r="Z64" s="102" t="str">
        <f>CHOOSE(MATCH(B64,{"Customer Appreciation","Exclusive Offers","Flash Sale","Holiday Discounts","New Product Launch","Newsletter"},0),"Fidelizar","Vender","Vender","Vender","Lanzar","Educar")</f>
        <v>Educar</v>
      </c>
      <c r="AA64" s="102" t="str">
        <f t="shared" si="13"/>
        <v>300 a 400 mil</v>
      </c>
      <c r="AB64" s="102">
        <f>COUNTIFS($E$5:$E$493,E64,$S$5:$S$493,"&lt;"&amp;S64)+COUNTIFS($E$5:E64,E64,$S$5:S64,S64)</f>
        <v>1</v>
      </c>
      <c r="AC64" s="102">
        <f t="shared" si="14"/>
        <v>1</v>
      </c>
      <c r="AD64" s="102" t="str">
        <f t="shared" si="15"/>
        <v/>
      </c>
      <c r="AE64" s="103">
        <f t="shared" si="16"/>
        <v>0</v>
      </c>
      <c r="AF64" s="102" t="str">
        <f t="shared" si="17"/>
        <v xml:space="preserve"> tu dosis semanal de belleza  novedades y tips l'oréal </v>
      </c>
      <c r="AG64" s="102" t="str">
        <f t="shared" si="18"/>
        <v xml:space="preserve"> novedades  tips y más para tu rutina diaria   entra ya  </v>
      </c>
      <c r="AH64" s="102" t="str">
        <f>IF(SUMPRODUCT(--(LEFT(IF(LEFT(LOWER(E64),1)="¡",MID(LOWER(E64),2,300),LOWER(E64)),LEN({"actualizaci","el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64" s="102" t="str">
        <f>IF(OR(SUMPRODUCT(--ISNUMBER(SEARCH({"descuento","oferta","ahorr","precio"," sale ","flash","deals"},AF64)))&gt;0,SUMPRODUCT(--ISNUMBER(SEARCH({"descuento","oferta","ahorr","precio"," sale ","flash","deals"},AG64)))&gt;0),"Sí","No")</f>
        <v>No</v>
      </c>
      <c r="AJ64" s="102" t="str">
        <f>IF(SUMPRODUCT(--ISNUMBER(SEARCH({" hoy ","horas","tiempo limitado","antes de que","se acab","se agot","finalic","última oportunidad","oportunidad única","relámpago","express","no esperes","no volver","no parpadees"},AF64)))&gt;0,"Sí","No")</f>
        <v>No</v>
      </c>
      <c r="AK64" s="102" t="str">
        <f>IF(SUMPRODUCT(--ISNUMBER(SEARCH({" hoy ","horas","tiempo limitado","antes de que","se acab","se agot","finalic","última oportunidad","oportunidad única","relámpago","express","no esperes","no volver","no parpadees"},AG64)))&gt;0,"Sí","No")</f>
        <v>No</v>
      </c>
      <c r="AL64" s="102" t="str">
        <f t="shared" si="19"/>
        <v>Sin descuento</v>
      </c>
      <c r="AM64" s="102" t="str">
        <f>IF(SUMPRODUCT(--ISNUMBER(SEARCH({"0","1","2","3","4","5","6","7","8","9","favorit","maquillaje","piel","cabello","productos","belleza","regalo"},E64)))&gt;0,"Sí","No")</f>
        <v>Sí</v>
      </c>
      <c r="AN64" s="102" t="str">
        <f>IF(SUMPRODUCT(--ISNUMBER(SEARCH({"lo que tenemos","estas ofertas","algo especial","ofertas únicas","que preparamos","no te quedes","echa un vistazo"},F64)))&gt;0,"Sí","No")</f>
        <v>No</v>
      </c>
      <c r="AO64" s="102">
        <f t="shared" si="20"/>
        <v>53</v>
      </c>
      <c r="AP64" s="102">
        <f t="shared" si="21"/>
        <v>9</v>
      </c>
      <c r="AQ64" s="102">
        <f>SUMPRODUCT(LEN(E64)-LEN(SUBSTITUTE(E64,{"!","¡","?","¿",":",",",".","%","·","-",";"},"")))</f>
        <v>1</v>
      </c>
      <c r="AR64" s="102" t="str">
        <f t="shared" si="22"/>
        <v>Sí</v>
      </c>
      <c r="AS64" s="102" t="str">
        <f t="shared" si="23"/>
        <v>No</v>
      </c>
      <c r="AT64" s="102" t="str">
        <f>IF(SUMPRODUCT(--ISNUMBER(FIND({"0","1","2","3","4","5","6","7","8","9"},E64)))&gt;0,"Con cifra concreta",IF(OR(ISNUMBER(FIND("?",E64)),ISNUMBER(FIND("¿",E64))),"Pregunta abierta",IF(SUMPRODUCT(--ISNUMBER(SEARCH({" hoy ","horas","tiempo limitado","antes de que","se acab","se agot","finalic","última oportunidad","oportunidad única","relámpago","express","no esperes","no volver","no parpadees"," ya ","últimas horas","últimas unidades"," ahora "},AF64)))&gt;0,"Solo urgencia, sin cifra",IF(SUMPRODUCT(--ISNUMBER(SEARCH({"recompensa","sorpresa","regalo","lealtad","detalle","gracias","pensamos en ti","para ti"},E64)))&gt;0,"Recompensa o sorpresa","Otro: beneficio o novedad"))))</f>
        <v>Otro: beneficio o novedad</v>
      </c>
    </row>
    <row r="65" spans="1:46" x14ac:dyDescent="0.2">
      <c r="A65" s="96" t="s">
        <v>904</v>
      </c>
      <c r="B65" s="96" t="s">
        <v>276</v>
      </c>
      <c r="C65" s="96" t="s">
        <v>905</v>
      </c>
      <c r="D65" s="96" t="s">
        <v>715</v>
      </c>
      <c r="E65" s="96" t="s">
        <v>906</v>
      </c>
      <c r="F65" s="96" t="s">
        <v>758</v>
      </c>
      <c r="G65" s="97">
        <v>99267</v>
      </c>
      <c r="H65" s="97">
        <v>44445</v>
      </c>
      <c r="I65" s="97">
        <v>3634</v>
      </c>
      <c r="J65" s="98">
        <v>3.26</v>
      </c>
      <c r="K65" s="98">
        <v>4.1100000000000003</v>
      </c>
      <c r="L65" s="99">
        <v>22616.959999999999</v>
      </c>
      <c r="M65" s="100">
        <f t="shared" si="0"/>
        <v>44.773187464111942</v>
      </c>
      <c r="N65" s="100">
        <f t="shared" si="1"/>
        <v>3.6608339125792053</v>
      </c>
      <c r="O65" s="100">
        <f t="shared" si="2"/>
        <v>8.1763977950275617</v>
      </c>
      <c r="P65" s="100">
        <f t="shared" si="3"/>
        <v>227.83966474256297</v>
      </c>
      <c r="Q65" s="100">
        <f t="shared" si="4"/>
        <v>43.243161255628017</v>
      </c>
      <c r="R65" s="100">
        <f t="shared" si="5"/>
        <v>29.440902453236173</v>
      </c>
      <c r="S65" s="101">
        <f t="shared" si="6"/>
        <v>45899</v>
      </c>
      <c r="T65" s="102" t="str">
        <f t="shared" si="7"/>
        <v>Agosto</v>
      </c>
      <c r="U65" s="102" t="str">
        <f t="shared" si="8"/>
        <v>Sábado</v>
      </c>
      <c r="V65" s="102">
        <f t="shared" si="9"/>
        <v>11</v>
      </c>
      <c r="W65" s="102" t="str">
        <f t="shared" si="10"/>
        <v>Quincena</v>
      </c>
      <c r="X65" s="102">
        <f t="shared" si="11"/>
        <v>1</v>
      </c>
      <c r="Y65" s="102" t="str">
        <f t="shared" si="12"/>
        <v>No</v>
      </c>
      <c r="Z65" s="102" t="str">
        <f>CHOOSE(MATCH(B65,{"Customer Appreciation","Exclusive Offers","Flash Sale","Holiday Discounts","New Product Launch","Newsletter"},0),"Fidelizar","Vender","Vender","Vender","Lanzar","Educar")</f>
        <v>Vender</v>
      </c>
      <c r="AA65" s="102" t="str">
        <f t="shared" si="13"/>
        <v>Menos de 100 mil</v>
      </c>
      <c r="AB65" s="102">
        <f>COUNTIFS($E$5:$E$493,E65,$S$5:$S$493,"&lt;"&amp;S65)+COUNTIFS($E$5:E65,E65,$S$5:S65,S65)</f>
        <v>2</v>
      </c>
      <c r="AC65" s="102">
        <f t="shared" si="14"/>
        <v>3</v>
      </c>
      <c r="AD65" s="102" t="str">
        <f t="shared" si="15"/>
        <v/>
      </c>
      <c r="AE65" s="103">
        <f t="shared" si="16"/>
        <v>1.5300262084839247</v>
      </c>
      <c r="AF65" s="102" t="str">
        <f t="shared" si="17"/>
        <v xml:space="preserve"> 🔥 hot sale anticipado   precios de locura en l'oréal paris  </v>
      </c>
      <c r="AG65" s="102" t="str">
        <f t="shared" si="18"/>
        <v xml:space="preserve"> consigue tus productos soñados con descuentos exclusivos   entra ya  </v>
      </c>
      <c r="AH65" s="102" t="str">
        <f>IF(SUMPRODUCT(--(LEFT(IF(LEFT(LOWER(E65),1)="¡",MID(LOWER(E65),2,300),LOWER(E65)),LEN({"actualizaci","el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65" s="102" t="str">
        <f>IF(OR(SUMPRODUCT(--ISNUMBER(SEARCH({"descuento","oferta","ahorr","precio"," sale ","flash","deals"},AF65)))&gt;0,SUMPRODUCT(--ISNUMBER(SEARCH({"descuento","oferta","ahorr","precio"," sale ","flash","deals"},AG65)))&gt;0),"Sí","No")</f>
        <v>Sí</v>
      </c>
      <c r="AJ65" s="102" t="str">
        <f>IF(SUMPRODUCT(--ISNUMBER(SEARCH({" hoy ","horas","tiempo limitado","antes de que","se acab","se agot","finalic","última oportunidad","oportunidad única","relámpago","express","no esperes","no volver","no parpadees"},AF65)))&gt;0,"Sí","No")</f>
        <v>No</v>
      </c>
      <c r="AK65" s="102" t="str">
        <f>IF(SUMPRODUCT(--ISNUMBER(SEARCH({" hoy ","horas","tiempo limitado","antes de que","se acab","se agot","finalic","última oportunidad","oportunidad única","relámpago","express","no esperes","no volver","no parpadees"},AG65)))&gt;0,"Sí","No")</f>
        <v>No</v>
      </c>
      <c r="AL65" s="102" t="str">
        <f t="shared" si="19"/>
        <v>Descuento sin tiempo límite</v>
      </c>
      <c r="AM65" s="102" t="str">
        <f>IF(SUMPRODUCT(--ISNUMBER(SEARCH({"0","1","2","3","4","5","6","7","8","9","favorit","maquillaje","piel","cabello","productos","belleza","regalo"},E65)))&gt;0,"Sí","No")</f>
        <v>No</v>
      </c>
      <c r="AN65" s="102" t="str">
        <f>IF(SUMPRODUCT(--ISNUMBER(SEARCH({"lo que tenemos","estas ofertas","algo especial","ofertas únicas","que preparamos","no te quedes","echa un vistazo"},F65)))&gt;0,"Sí","No")</f>
        <v>No</v>
      </c>
      <c r="AO65" s="102">
        <f t="shared" si="20"/>
        <v>59</v>
      </c>
      <c r="AP65" s="102">
        <f t="shared" si="21"/>
        <v>10</v>
      </c>
      <c r="AQ65" s="102">
        <f>SUMPRODUCT(LEN(E65)-LEN(SUBSTITUTE(E65,{"!","¡","?","¿",":",",",".","%","·","-",";"},"")))</f>
        <v>3</v>
      </c>
      <c r="AR65" s="102" t="str">
        <f t="shared" si="22"/>
        <v>No</v>
      </c>
      <c r="AS65" s="102" t="str">
        <f t="shared" si="23"/>
        <v>Sí</v>
      </c>
      <c r="AT65" s="102" t="str">
        <f>IF(SUMPRODUCT(--ISNUMBER(FIND({"0","1","2","3","4","5","6","7","8","9"},E65)))&gt;0,"Con cifra concreta",IF(OR(ISNUMBER(FIND("?",E65)),ISNUMBER(FIND("¿",E65))),"Pregunta abierta",IF(SUMPRODUCT(--ISNUMBER(SEARCH({" hoy ","horas","tiempo limitado","antes de que","se acab","se agot","finalic","última oportunidad","oportunidad única","relámpago","express","no esperes","no volver","no parpadees"," ya ","últimas horas","últimas unidades"," ahora "},AF65)))&gt;0,"Solo urgencia, sin cifra",IF(SUMPRODUCT(--ISNUMBER(SEARCH({"recompensa","sorpresa","regalo","lealtad","detalle","gracias","pensamos en ti","para ti"},E65)))&gt;0,"Recompensa o sorpresa","Otro: beneficio o novedad"))))</f>
        <v>Otro: beneficio o novedad</v>
      </c>
    </row>
    <row r="66" spans="1:46" x14ac:dyDescent="0.2">
      <c r="A66" s="104" t="s">
        <v>907</v>
      </c>
      <c r="B66" s="104" t="s">
        <v>279</v>
      </c>
      <c r="C66" s="104" t="s">
        <v>908</v>
      </c>
      <c r="D66" s="104" t="s">
        <v>691</v>
      </c>
      <c r="E66" s="104" t="s">
        <v>370</v>
      </c>
      <c r="F66" s="104" t="s">
        <v>485</v>
      </c>
      <c r="G66" s="105">
        <v>194417</v>
      </c>
      <c r="H66" s="105">
        <v>46604</v>
      </c>
      <c r="I66" s="105">
        <v>32412</v>
      </c>
      <c r="J66" s="106">
        <v>2.2799999999999998</v>
      </c>
      <c r="K66" s="106">
        <v>3.5</v>
      </c>
      <c r="L66" s="107">
        <v>82515.179999999993</v>
      </c>
      <c r="M66" s="108">
        <f t="shared" si="0"/>
        <v>23.971154785846917</v>
      </c>
      <c r="N66" s="108">
        <f t="shared" si="1"/>
        <v>16.671381617862636</v>
      </c>
      <c r="O66" s="108">
        <f t="shared" si="2"/>
        <v>69.547678310874602</v>
      </c>
      <c r="P66" s="108">
        <f t="shared" si="3"/>
        <v>424.42368722899744</v>
      </c>
      <c r="Q66" s="108">
        <f t="shared" si="4"/>
        <v>15.908213539730554</v>
      </c>
      <c r="R66" s="108">
        <f t="shared" si="5"/>
        <v>27.75136451093497</v>
      </c>
      <c r="S66" s="101">
        <f t="shared" si="6"/>
        <v>45940</v>
      </c>
      <c r="T66" s="102" t="str">
        <f t="shared" si="7"/>
        <v>Octubre</v>
      </c>
      <c r="U66" s="102" t="str">
        <f t="shared" si="8"/>
        <v>Viernes</v>
      </c>
      <c r="V66" s="102">
        <f t="shared" si="9"/>
        <v>14</v>
      </c>
      <c r="W66" s="102" t="str">
        <f t="shared" si="10"/>
        <v>Resto del mes</v>
      </c>
      <c r="X66" s="102">
        <f t="shared" si="11"/>
        <v>1</v>
      </c>
      <c r="Y66" s="102" t="str">
        <f t="shared" si="12"/>
        <v>No</v>
      </c>
      <c r="Z66" s="102" t="str">
        <f>CHOOSE(MATCH(B66,{"Customer Appreciation","Exclusive Offers","Flash Sale","Holiday Discounts","New Product Launch","Newsletter"},0),"Fidelizar","Vender","Vender","Vender","Lanzar","Educar")</f>
        <v>Educar</v>
      </c>
      <c r="AA66" s="102" t="str">
        <f t="shared" si="13"/>
        <v>100 a 200 mil</v>
      </c>
      <c r="AB66" s="102">
        <f>COUNTIFS($E$5:$E$493,E66,$S$5:$S$493,"&lt;"&amp;S66)+COUNTIFS($E$5:E66,E66,$S$5:S66,S66)</f>
        <v>7</v>
      </c>
      <c r="AC66" s="102">
        <f t="shared" si="14"/>
        <v>10</v>
      </c>
      <c r="AD66" s="102" t="str">
        <f t="shared" si="15"/>
        <v>Último tercio</v>
      </c>
      <c r="AE66" s="103">
        <f t="shared" si="16"/>
        <v>8.0629412461163632</v>
      </c>
      <c r="AF66" s="102" t="str">
        <f t="shared" si="17"/>
        <v xml:space="preserve"> actualización de l'oréal   qué hay de nuevo en el mundo beauty  </v>
      </c>
      <c r="AG66" s="102" t="str">
        <f t="shared" si="18"/>
        <v xml:space="preserve"> no te quedes atrás con las últimas tendencias   descubre más  </v>
      </c>
      <c r="AH66" s="102" t="str">
        <f>IF(SUMPRODUCT(--(LEFT(IF(LEFT(LOWER(E66),1)="¡",MID(LOWER(E66),2,300),LOWER(E66)),LEN({"actualizaci","el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Sí</v>
      </c>
      <c r="AI66" s="102" t="str">
        <f>IF(OR(SUMPRODUCT(--ISNUMBER(SEARCH({"descuento","oferta","ahorr","precio"," sale ","flash","deals"},AF66)))&gt;0,SUMPRODUCT(--ISNUMBER(SEARCH({"descuento","oferta","ahorr","precio"," sale ","flash","deals"},AG66)))&gt;0),"Sí","No")</f>
        <v>No</v>
      </c>
      <c r="AJ66" s="102" t="str">
        <f>IF(SUMPRODUCT(--ISNUMBER(SEARCH({" hoy ","horas","tiempo limitado","antes de que","se acab","se agot","finalic","última oportunidad","oportunidad única","relámpago","express","no esperes","no volver","no parpadees"},AF66)))&gt;0,"Sí","No")</f>
        <v>No</v>
      </c>
      <c r="AK66" s="102" t="str">
        <f>IF(SUMPRODUCT(--ISNUMBER(SEARCH({" hoy ","horas","tiempo limitado","antes de que","se acab","se agot","finalic","última oportunidad","oportunidad única","relámpago","express","no esperes","no volver","no parpadees"},AG66)))&gt;0,"Sí","No")</f>
        <v>No</v>
      </c>
      <c r="AL66" s="102" t="str">
        <f t="shared" si="19"/>
        <v>Sin descuento</v>
      </c>
      <c r="AM66" s="102" t="str">
        <f>IF(SUMPRODUCT(--ISNUMBER(SEARCH({"0","1","2","3","4","5","6","7","8","9","favorit","maquillaje","piel","cabello","productos","belleza","regalo"},E66)))&gt;0,"Sí","No")</f>
        <v>No</v>
      </c>
      <c r="AN66" s="102" t="str">
        <f>IF(SUMPRODUCT(--ISNUMBER(SEARCH({"lo que tenemos","estas ofertas","algo especial","ofertas únicas","que preparamos","no te quedes","echa un vistazo"},F66)))&gt;0,"Sí","No")</f>
        <v>Sí</v>
      </c>
      <c r="AO66" s="102">
        <f t="shared" si="20"/>
        <v>63</v>
      </c>
      <c r="AP66" s="102">
        <f t="shared" si="21"/>
        <v>11</v>
      </c>
      <c r="AQ66" s="102">
        <f>SUMPRODUCT(LEN(E66)-LEN(SUBSTITUTE(E66,{"!","¡","?","¿",":",",",".","%","·","-",";"},"")))</f>
        <v>3</v>
      </c>
      <c r="AR66" s="102" t="str">
        <f t="shared" si="22"/>
        <v>No</v>
      </c>
      <c r="AS66" s="102" t="str">
        <f t="shared" si="23"/>
        <v>No</v>
      </c>
      <c r="AT66" s="102" t="str">
        <f>IF(SUMPRODUCT(--ISNUMBER(FIND({"0","1","2","3","4","5","6","7","8","9"},E66)))&gt;0,"Con cifra concreta",IF(OR(ISNUMBER(FIND("?",E66)),ISNUMBER(FIND("¿",E66))),"Pregunta abierta",IF(SUMPRODUCT(--ISNUMBER(SEARCH({" hoy ","horas","tiempo limitado","antes de que","se acab","se agot","finalic","última oportunidad","oportunidad única","relámpago","express","no esperes","no volver","no parpadees"," ya ","últimas horas","últimas unidades"," ahora "},AF66)))&gt;0,"Solo urgencia, sin cifra",IF(SUMPRODUCT(--ISNUMBER(SEARCH({"recompensa","sorpresa","regalo","lealtad","detalle","gracias","pensamos en ti","para ti"},E66)))&gt;0,"Recompensa o sorpresa","Otro: beneficio o novedad"))))</f>
        <v>Pregunta abierta</v>
      </c>
    </row>
    <row r="67" spans="1:46" x14ac:dyDescent="0.2">
      <c r="A67" s="96" t="s">
        <v>909</v>
      </c>
      <c r="B67" s="96" t="s">
        <v>279</v>
      </c>
      <c r="C67" s="96" t="s">
        <v>745</v>
      </c>
      <c r="D67" s="96" t="s">
        <v>696</v>
      </c>
      <c r="E67" s="96" t="s">
        <v>910</v>
      </c>
      <c r="F67" s="96" t="s">
        <v>911</v>
      </c>
      <c r="G67" s="97">
        <v>405479</v>
      </c>
      <c r="H67" s="97">
        <v>33389</v>
      </c>
      <c r="I67" s="97">
        <v>16503</v>
      </c>
      <c r="J67" s="98">
        <v>5.36</v>
      </c>
      <c r="K67" s="98">
        <v>1</v>
      </c>
      <c r="L67" s="99">
        <v>71951.22</v>
      </c>
      <c r="M67" s="100">
        <f t="shared" si="0"/>
        <v>8.2344585046327925</v>
      </c>
      <c r="N67" s="100">
        <f t="shared" si="1"/>
        <v>4.0700011591229135</v>
      </c>
      <c r="O67" s="100">
        <f t="shared" si="2"/>
        <v>49.426457815448202</v>
      </c>
      <c r="P67" s="100">
        <f t="shared" si="3"/>
        <v>177.44746337048281</v>
      </c>
      <c r="Q67" s="100">
        <f t="shared" si="4"/>
        <v>15.145242573985856</v>
      </c>
      <c r="R67" s="100">
        <f t="shared" si="5"/>
        <v>27.75136451093497</v>
      </c>
      <c r="S67" s="101">
        <f t="shared" si="6"/>
        <v>45905</v>
      </c>
      <c r="T67" s="102" t="str">
        <f t="shared" si="7"/>
        <v>Septiembre</v>
      </c>
      <c r="U67" s="102" t="str">
        <f t="shared" si="8"/>
        <v>Viernes</v>
      </c>
      <c r="V67" s="102">
        <f t="shared" si="9"/>
        <v>9</v>
      </c>
      <c r="W67" s="102" t="str">
        <f t="shared" si="10"/>
        <v>Días después del pago</v>
      </c>
      <c r="X67" s="102">
        <f t="shared" si="11"/>
        <v>2</v>
      </c>
      <c r="Y67" s="102" t="str">
        <f t="shared" si="12"/>
        <v>No</v>
      </c>
      <c r="Z67" s="102" t="str">
        <f>CHOOSE(MATCH(B67,{"Customer Appreciation","Exclusive Offers","Flash Sale","Holiday Discounts","New Product Launch","Newsletter"},0),"Fidelizar","Vender","Vender","Vender","Lanzar","Educar")</f>
        <v>Educar</v>
      </c>
      <c r="AA67" s="102" t="str">
        <f t="shared" si="13"/>
        <v>Más de 400 mil</v>
      </c>
      <c r="AB67" s="102">
        <f>COUNTIFS($E$5:$E$493,E67,$S$5:$S$493,"&lt;"&amp;S67)+COUNTIFS($E$5:E67,E67,$S$5:S67,S67)</f>
        <v>1</v>
      </c>
      <c r="AC67" s="102">
        <f t="shared" si="14"/>
        <v>3</v>
      </c>
      <c r="AD67" s="102" t="str">
        <f t="shared" si="15"/>
        <v/>
      </c>
      <c r="AE67" s="103">
        <f t="shared" si="16"/>
        <v>-6.9107840693530633</v>
      </c>
      <c r="AF67" s="102" t="str">
        <f t="shared" si="17"/>
        <v xml:space="preserve"> el resumen semanal de l'oréal  novedades beauty </v>
      </c>
      <c r="AG67" s="102" t="str">
        <f t="shared" si="18"/>
        <v xml:space="preserve"> no te pierdas las últimas noticias y tendencias   lee más  </v>
      </c>
      <c r="AH67" s="102" t="str">
        <f>IF(SUMPRODUCT(--(LEFT(IF(LEFT(LOWER(E67),1)="¡",MID(LOWER(E67),2,300),LOWER(E67)),LEN({"actualizaci","el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Sí</v>
      </c>
      <c r="AI67" s="102" t="str">
        <f>IF(OR(SUMPRODUCT(--ISNUMBER(SEARCH({"descuento","oferta","ahorr","precio"," sale ","flash","deals"},AF67)))&gt;0,SUMPRODUCT(--ISNUMBER(SEARCH({"descuento","oferta","ahorr","precio"," sale ","flash","deals"},AG67)))&gt;0),"Sí","No")</f>
        <v>No</v>
      </c>
      <c r="AJ67" s="102" t="str">
        <f>IF(SUMPRODUCT(--ISNUMBER(SEARCH({" hoy ","horas","tiempo limitado","antes de que","se acab","se agot","finalic","última oportunidad","oportunidad única","relámpago","express","no esperes","no volver","no parpadees"},AF67)))&gt;0,"Sí","No")</f>
        <v>No</v>
      </c>
      <c r="AK67" s="102" t="str">
        <f>IF(SUMPRODUCT(--ISNUMBER(SEARCH({" hoy ","horas","tiempo limitado","antes de que","se acab","se agot","finalic","última oportunidad","oportunidad única","relámpago","express","no esperes","no volver","no parpadees"},AG67)))&gt;0,"Sí","No")</f>
        <v>No</v>
      </c>
      <c r="AL67" s="102" t="str">
        <f t="shared" si="19"/>
        <v>Sin descuento</v>
      </c>
      <c r="AM67" s="102" t="str">
        <f>IF(SUMPRODUCT(--ISNUMBER(SEARCH({"0","1","2","3","4","5","6","7","8","9","favorit","maquillaje","piel","cabello","productos","belleza","regalo"},E67)))&gt;0,"Sí","No")</f>
        <v>No</v>
      </c>
      <c r="AN67" s="102" t="str">
        <f>IF(SUMPRODUCT(--ISNUMBER(SEARCH({"lo que tenemos","estas ofertas","algo especial","ofertas únicas","que preparamos","no te quedes","echa un vistazo"},F67)))&gt;0,"Sí","No")</f>
        <v>No</v>
      </c>
      <c r="AO67" s="102">
        <f t="shared" si="20"/>
        <v>47</v>
      </c>
      <c r="AP67" s="102">
        <f t="shared" si="21"/>
        <v>7</v>
      </c>
      <c r="AQ67" s="102">
        <f>SUMPRODUCT(LEN(E67)-LEN(SUBSTITUTE(E67,{"!","¡","?","¿",":",",",".","%","·","-",";"},"")))</f>
        <v>1</v>
      </c>
      <c r="AR67" s="102" t="str">
        <f t="shared" si="22"/>
        <v>Sí</v>
      </c>
      <c r="AS67" s="102" t="str">
        <f t="shared" si="23"/>
        <v>No</v>
      </c>
      <c r="AT67" s="102" t="str">
        <f>IF(SUMPRODUCT(--ISNUMBER(FIND({"0","1","2","3","4","5","6","7","8","9"},E67)))&gt;0,"Con cifra concreta",IF(OR(ISNUMBER(FIND("?",E67)),ISNUMBER(FIND("¿",E67))),"Pregunta abierta",IF(SUMPRODUCT(--ISNUMBER(SEARCH({" hoy ","horas","tiempo limitado","antes de que","se acab","se agot","finalic","última oportunidad","oportunidad única","relámpago","express","no esperes","no volver","no parpadees"," ya ","últimas horas","últimas unidades"," ahora "},AF67)))&gt;0,"Solo urgencia, sin cifra",IF(SUMPRODUCT(--ISNUMBER(SEARCH({"recompensa","sorpresa","regalo","lealtad","detalle","gracias","pensamos en ti","para ti"},E67)))&gt;0,"Recompensa o sorpresa","Otro: beneficio o novedad"))))</f>
        <v>Otro: beneficio o novedad</v>
      </c>
    </row>
    <row r="68" spans="1:46" x14ac:dyDescent="0.2">
      <c r="A68" s="104" t="s">
        <v>912</v>
      </c>
      <c r="B68" s="104" t="s">
        <v>276</v>
      </c>
      <c r="C68" s="104" t="s">
        <v>913</v>
      </c>
      <c r="D68" s="104" t="s">
        <v>699</v>
      </c>
      <c r="E68" s="104" t="s">
        <v>850</v>
      </c>
      <c r="F68" s="104" t="s">
        <v>851</v>
      </c>
      <c r="G68" s="105">
        <v>406540</v>
      </c>
      <c r="H68" s="105">
        <v>121200</v>
      </c>
      <c r="I68" s="105">
        <v>77123</v>
      </c>
      <c r="J68" s="106">
        <v>7.77</v>
      </c>
      <c r="K68" s="106">
        <v>4.42</v>
      </c>
      <c r="L68" s="107">
        <v>7126.15</v>
      </c>
      <c r="M68" s="108">
        <f t="shared" si="0"/>
        <v>29.812564569292078</v>
      </c>
      <c r="N68" s="108">
        <f t="shared" si="1"/>
        <v>18.970581000639545</v>
      </c>
      <c r="O68" s="108">
        <f t="shared" si="2"/>
        <v>63.632838283828384</v>
      </c>
      <c r="P68" s="108">
        <f t="shared" si="3"/>
        <v>17.528779455896096</v>
      </c>
      <c r="Q68" s="108">
        <f t="shared" si="4"/>
        <v>31.964920766647268</v>
      </c>
      <c r="R68" s="108">
        <f t="shared" si="5"/>
        <v>29.440902453236173</v>
      </c>
      <c r="S68" s="101">
        <f t="shared" si="6"/>
        <v>45886</v>
      </c>
      <c r="T68" s="102" t="str">
        <f t="shared" si="7"/>
        <v>Agosto</v>
      </c>
      <c r="U68" s="102" t="str">
        <f t="shared" si="8"/>
        <v>Domingo</v>
      </c>
      <c r="V68" s="102">
        <f t="shared" si="9"/>
        <v>11</v>
      </c>
      <c r="W68" s="102" t="str">
        <f t="shared" si="10"/>
        <v>Días después del pago</v>
      </c>
      <c r="X68" s="102">
        <f t="shared" si="11"/>
        <v>1</v>
      </c>
      <c r="Y68" s="102" t="str">
        <f t="shared" si="12"/>
        <v>No</v>
      </c>
      <c r="Z68" s="102" t="str">
        <f>CHOOSE(MATCH(B68,{"Customer Appreciation","Exclusive Offers","Flash Sale","Holiday Discounts","New Product Launch","Newsletter"},0),"Fidelizar","Vender","Vender","Vender","Lanzar","Educar")</f>
        <v>Vender</v>
      </c>
      <c r="AA68" s="102" t="str">
        <f t="shared" si="13"/>
        <v>Más de 400 mil</v>
      </c>
      <c r="AB68" s="102">
        <f>COUNTIFS($E$5:$E$493,E68,$S$5:$S$493,"&lt;"&amp;S68)+COUNTIFS($E$5:E68,E68,$S$5:S68,S68)</f>
        <v>1</v>
      </c>
      <c r="AC68" s="102">
        <f t="shared" si="14"/>
        <v>4</v>
      </c>
      <c r="AD68" s="102" t="str">
        <f t="shared" si="15"/>
        <v/>
      </c>
      <c r="AE68" s="103">
        <f t="shared" si="16"/>
        <v>-2.1523561973551892</v>
      </c>
      <c r="AF68" s="102" t="str">
        <f t="shared" si="17"/>
        <v xml:space="preserve">  ofertas que te harán sonreír  flash sale en tus favoritos </v>
      </c>
      <c r="AG68" s="102" t="str">
        <f t="shared" si="18"/>
        <v xml:space="preserve"> descuentos exclusivos en tus favoritos   aprovecha antes de que acabe  </v>
      </c>
      <c r="AH68" s="102" t="str">
        <f>IF(SUMPRODUCT(--(LEFT(IF(LEFT(LOWER(E68),1)="¡",MID(LOWER(E68),2,300),LOWER(E68)),LEN({"actualizaci","el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68" s="102" t="str">
        <f>IF(OR(SUMPRODUCT(--ISNUMBER(SEARCH({"descuento","oferta","ahorr","precio"," sale ","flash","deals"},AF68)))&gt;0,SUMPRODUCT(--ISNUMBER(SEARCH({"descuento","oferta","ahorr","precio"," sale ","flash","deals"},AG68)))&gt;0),"Sí","No")</f>
        <v>Sí</v>
      </c>
      <c r="AJ68" s="102" t="str">
        <f>IF(SUMPRODUCT(--ISNUMBER(SEARCH({" hoy ","horas","tiempo limitado","antes de que","se acab","se agot","finalic","última oportunidad","oportunidad única","relámpago","express","no esperes","no volver","no parpadees"},AF68)))&gt;0,"Sí","No")</f>
        <v>No</v>
      </c>
      <c r="AK68" s="102" t="str">
        <f>IF(SUMPRODUCT(--ISNUMBER(SEARCH({" hoy ","horas","tiempo limitado","antes de que","se acab","se agot","finalic","última oportunidad","oportunidad única","relámpago","express","no esperes","no volver","no parpadees"},AG68)))&gt;0,"Sí","No")</f>
        <v>Sí</v>
      </c>
      <c r="AL68" s="102" t="str">
        <f t="shared" si="19"/>
        <v>Descuento con tiempo límite solo en el preheader</v>
      </c>
      <c r="AM68" s="102" t="str">
        <f>IF(SUMPRODUCT(--ISNUMBER(SEARCH({"0","1","2","3","4","5","6","7","8","9","favorit","maquillaje","piel","cabello","productos","belleza","regalo"},E68)))&gt;0,"Sí","No")</f>
        <v>Sí</v>
      </c>
      <c r="AN68" s="102" t="str">
        <f>IF(SUMPRODUCT(--ISNUMBER(SEARCH({"lo que tenemos","estas ofertas","algo especial","ofertas únicas","que preparamos","no te quedes","echa un vistazo"},F68)))&gt;0,"Sí","No")</f>
        <v>No</v>
      </c>
      <c r="AO68" s="102">
        <f t="shared" si="20"/>
        <v>58</v>
      </c>
      <c r="AP68" s="102">
        <f t="shared" si="21"/>
        <v>10</v>
      </c>
      <c r="AQ68" s="102">
        <f>SUMPRODUCT(LEN(E68)-LEN(SUBSTITUTE(E68,{"!","¡","?","¿",":",",",".","%","·","-",";"},"")))</f>
        <v>2</v>
      </c>
      <c r="AR68" s="102" t="str">
        <f t="shared" si="22"/>
        <v>No</v>
      </c>
      <c r="AS68" s="102" t="str">
        <f t="shared" si="23"/>
        <v>No</v>
      </c>
      <c r="AT68" s="102" t="str">
        <f>IF(SUMPRODUCT(--ISNUMBER(FIND({"0","1","2","3","4","5","6","7","8","9"},E68)))&gt;0,"Con cifra concreta",IF(OR(ISNUMBER(FIND("?",E68)),ISNUMBER(FIND("¿",E68))),"Pregunta abierta",IF(SUMPRODUCT(--ISNUMBER(SEARCH({" hoy ","horas","tiempo limitado","antes de que","se acab","se agot","finalic","última oportunidad","oportunidad única","relámpago","express","no esperes","no volver","no parpadees"," ya ","últimas horas","últimas unidades"," ahora "},AF68)))&gt;0,"Solo urgencia, sin cifra",IF(SUMPRODUCT(--ISNUMBER(SEARCH({"recompensa","sorpresa","regalo","lealtad","detalle","gracias","pensamos en ti","para ti"},E68)))&gt;0,"Recompensa o sorpresa","Otro: beneficio o novedad"))))</f>
        <v>Otro: beneficio o novedad</v>
      </c>
    </row>
    <row r="69" spans="1:46" x14ac:dyDescent="0.2">
      <c r="A69" s="96" t="s">
        <v>914</v>
      </c>
      <c r="B69" s="96" t="s">
        <v>276</v>
      </c>
      <c r="C69" s="96" t="s">
        <v>915</v>
      </c>
      <c r="D69" s="96" t="s">
        <v>702</v>
      </c>
      <c r="E69" s="96" t="s">
        <v>483</v>
      </c>
      <c r="F69" s="96" t="s">
        <v>484</v>
      </c>
      <c r="G69" s="97">
        <v>82559</v>
      </c>
      <c r="H69" s="97">
        <v>12521</v>
      </c>
      <c r="I69" s="97">
        <v>3963</v>
      </c>
      <c r="J69" s="98">
        <v>8.98</v>
      </c>
      <c r="K69" s="98">
        <v>3.79</v>
      </c>
      <c r="L69" s="99">
        <v>86469.28</v>
      </c>
      <c r="M69" s="100">
        <f t="shared" ref="M69:M132" si="24">IFERROR(H69/G69*100,"")</f>
        <v>15.166123620683388</v>
      </c>
      <c r="N69" s="100">
        <f t="shared" ref="N69:N132" si="25">IFERROR(I69/G69*100,"")</f>
        <v>4.8002034908368563</v>
      </c>
      <c r="O69" s="100">
        <f t="shared" ref="O69:O132" si="26">IFERROR(I69/H69*100,"")</f>
        <v>31.650826611293027</v>
      </c>
      <c r="P69" s="100">
        <f t="shared" ref="P69:P132" si="27">IFERROR(L69/G69*1000,"")</f>
        <v>1047.3634612822345</v>
      </c>
      <c r="Q69" s="100">
        <f t="shared" ref="Q69:Q132" si="28">AVERAGEIF($E$5:$E$493,$E69,$M$5:$M$493)</f>
        <v>17.395911943759799</v>
      </c>
      <c r="R69" s="100">
        <f t="shared" ref="R69:R132" si="29">AVERAGEIF($B$5:$B$493,$B69,$M$5:$M$493)</f>
        <v>29.440902453236173</v>
      </c>
      <c r="S69" s="101">
        <f t="shared" ref="S69:S132" si="30">DATEVALUE(C69)</f>
        <v>45954</v>
      </c>
      <c r="T69" s="102" t="str">
        <f t="shared" ref="T69:T132" si="31">CHOOSE(MONTH(S69)-7,"Agosto","Septiembre","Octubre")</f>
        <v>Octubre</v>
      </c>
      <c r="U69" s="102" t="str">
        <f t="shared" ref="U69:U132" si="32">CHOOSE(WEEKDAY(S69,2),"Lunes","Martes","Miércoles","Jueves","Viernes","Sábado","Domingo")</f>
        <v>Viernes</v>
      </c>
      <c r="V69" s="102">
        <f t="shared" ref="V69:V132" si="33">VALUE(LEFT(D69,2))</f>
        <v>16</v>
      </c>
      <c r="W69" s="102" t="str">
        <f t="shared" ref="W69:W132" si="34">IF(OR(AND(DAY(S69)&gt;=14,DAY(S69)&lt;=16),DAY(S69)&gt;=DAY(EOMONTH(S69,0))-1,DAY(S69)=1),"Quincena",IF(OR(AND(DAY(S69)&gt;=2,DAY(S69)&lt;=5),AND(DAY(S69)&gt;=17,DAY(S69)&lt;=20)),"Días después del pago","Resto del mes"))</f>
        <v>Resto del mes</v>
      </c>
      <c r="X69" s="102">
        <f t="shared" ref="X69:X132" si="35">COUNTIF($S$5:$S$493,S69)</f>
        <v>29</v>
      </c>
      <c r="Y69" s="102" t="str">
        <f t="shared" ref="Y69:Y132" si="36">IF(X69&gt;=20,"Sí","No")</f>
        <v>Sí</v>
      </c>
      <c r="Z69" s="102" t="str">
        <f>CHOOSE(MATCH(B69,{"Customer Appreciation","Exclusive Offers","Flash Sale","Holiday Discounts","New Product Launch","Newsletter"},0),"Fidelizar","Vender","Vender","Vender","Lanzar","Educar")</f>
        <v>Vender</v>
      </c>
      <c r="AA69" s="102" t="str">
        <f t="shared" ref="AA69:AA132" si="37">IF(G69&lt;100000,"Menos de 100 mil",IF(G69&lt;200000,"100 a 200 mil",IF(G69&lt;300000,"200 a 300 mil",IF(G69&lt;400000,"300 a 400 mil","Más de 400 mil"))))</f>
        <v>Menos de 100 mil</v>
      </c>
      <c r="AB69" s="102">
        <f>COUNTIFS($E$5:$E$493,E69,$S$5:$S$493,"&lt;"&amp;S69)+COUNTIFS($E$5:E69,E69,$S$5:S69,S69)</f>
        <v>9</v>
      </c>
      <c r="AC69" s="102">
        <f t="shared" ref="AC69:AC132" si="38">COUNTIF($E$5:$E$493,E69)</f>
        <v>9</v>
      </c>
      <c r="AD69" s="102" t="str">
        <f t="shared" ref="AD69:AD132" si="39">IF(AC69&lt;8,"",IF(AB69&lt;=AC69/3,"Primer tercio",IF(AB69&gt;AC69*2/3,"Último tercio","Medio")))</f>
        <v>Último tercio</v>
      </c>
      <c r="AE69" s="103">
        <f t="shared" ref="AE69:AE132" si="40">M69-Q69</f>
        <v>-2.2297883230764111</v>
      </c>
      <c r="AF69" s="102" t="str">
        <f t="shared" ref="AF69:AF132" si="41">" "&amp;LOWER(SUBSTITUTE(SUBSTITUTE(SUBSTITUTE(SUBSTITUTE(SUBSTITUTE(SUBSTITUTE(SUBSTITUTE(E69,"¡"," "),"!"," "),"¿"," "),"?"," "),":"," "),","," "),"."," "))&amp;" "</f>
        <v xml:space="preserve">  gran oferta  por tiempo limitado  no te lo pierdas </v>
      </c>
      <c r="AG69" s="102" t="str">
        <f t="shared" ref="AG69:AG132" si="42">" "&amp;LOWER(SUBSTITUTE(SUBSTITUTE(SUBSTITUTE(SUBSTITUTE(SUBSTITUTE(SUBSTITUTE(SUBSTITUTE(F69,"¡"," "),"!"," "),"¿"," "),"?"," "),":"," "),","," "),"."," "))&amp;" "</f>
        <v xml:space="preserve"> aprovecha los descuentos en tus productos esenciales   compra ahora  </v>
      </c>
      <c r="AH69" s="102" t="str">
        <f>IF(SUMPRODUCT(--(LEFT(IF(LEFT(LOWER(E69),1)="¡",MID(LOWER(E69),2,300),LOWER(E69)),LEN({"actualizaci","el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Sí</v>
      </c>
      <c r="AI69" s="102" t="str">
        <f>IF(OR(SUMPRODUCT(--ISNUMBER(SEARCH({"descuento","oferta","ahorr","precio"," sale ","flash","deals"},AF69)))&gt;0,SUMPRODUCT(--ISNUMBER(SEARCH({"descuento","oferta","ahorr","precio"," sale ","flash","deals"},AG69)))&gt;0),"Sí","No")</f>
        <v>Sí</v>
      </c>
      <c r="AJ69" s="102" t="str">
        <f>IF(SUMPRODUCT(--ISNUMBER(SEARCH({" hoy ","horas","tiempo limitado","antes de que","se acab","se agot","finalic","última oportunidad","oportunidad única","relámpago","express","no esperes","no volver","no parpadees"},AF69)))&gt;0,"Sí","No")</f>
        <v>Sí</v>
      </c>
      <c r="AK69" s="102" t="str">
        <f>IF(SUMPRODUCT(--ISNUMBER(SEARCH({" hoy ","horas","tiempo limitado","antes de que","se acab","se agot","finalic","última oportunidad","oportunidad única","relámpago","express","no esperes","no volver","no parpadees"},AG69)))&gt;0,"Sí","No")</f>
        <v>No</v>
      </c>
      <c r="AL69" s="102" t="str">
        <f t="shared" ref="AL69:AL132" si="43">IF(AI69="No","Sin descuento",IF(AJ69="Sí","Descuento con tiempo límite en el asunto",IF(AK69="Sí","Descuento con tiempo límite solo en el preheader","Descuento sin tiempo límite")))</f>
        <v>Descuento con tiempo límite en el asunto</v>
      </c>
      <c r="AM69" s="102" t="str">
        <f>IF(SUMPRODUCT(--ISNUMBER(SEARCH({"0","1","2","3","4","5","6","7","8","9","favorit","maquillaje","piel","cabello","productos","belleza","regalo"},E69)))&gt;0,"Sí","No")</f>
        <v>No</v>
      </c>
      <c r="AN69" s="102" t="str">
        <f>IF(SUMPRODUCT(--ISNUMBER(SEARCH({"lo que tenemos","estas ofertas","algo especial","ofertas únicas","que preparamos","no te quedes","echa un vistazo"},F69)))&gt;0,"Sí","No")</f>
        <v>No</v>
      </c>
      <c r="AO69" s="102">
        <f t="shared" ref="AO69:AO132" si="44">LEN(E69)-(LEN(E69)-LEN(SUBSTITUTE(E69,"🔥","")))/LEN("🔥")*(LEN("🔥")-1)</f>
        <v>51</v>
      </c>
      <c r="AP69" s="102">
        <f t="shared" ref="AP69:AP132" si="45">LEN(TRIM(E69))-LEN(SUBSTITUTE(TRIM(E69)," ",""))+1</f>
        <v>9</v>
      </c>
      <c r="AQ69" s="102">
        <f>SUMPRODUCT(LEN(E69)-LEN(SUBSTITUTE(E69,{"!","¡","?","¿",":",",",".","%","·","-",";"},"")))</f>
        <v>3</v>
      </c>
      <c r="AR69" s="102" t="str">
        <f t="shared" ref="AR69:AR132" si="46">IF(AND(AO69&lt;=60,AP69&lt;=9,AQ69&lt;=3,(LEN(E69)-LEN(SUBSTITUTE(E69,"🔥","")))/LEN("🔥")&lt;=1),"Sí","No")</f>
        <v>Sí</v>
      </c>
      <c r="AS69" s="102" t="str">
        <f t="shared" ref="AS69:AS132" si="47">IF(ISNUMBER(SEARCH("hot sale",E69)),"Sí","No")</f>
        <v>No</v>
      </c>
      <c r="AT69" s="102" t="str">
        <f>IF(SUMPRODUCT(--ISNUMBER(FIND({"0","1","2","3","4","5","6","7","8","9"},E69)))&gt;0,"Con cifra concreta",IF(OR(ISNUMBER(FIND("?",E69)),ISNUMBER(FIND("¿",E69))),"Pregunta abierta",IF(SUMPRODUCT(--ISNUMBER(SEARCH({" hoy ","horas","tiempo limitado","antes de que","se acab","se agot","finalic","última oportunidad","oportunidad única","relámpago","express","no esperes","no volver","no parpadees"," ya ","últimas horas","últimas unidades"," ahora "},AF69)))&gt;0,"Solo urgencia, sin cifra",IF(SUMPRODUCT(--ISNUMBER(SEARCH({"recompensa","sorpresa","regalo","lealtad","detalle","gracias","pensamos en ti","para ti"},E69)))&gt;0,"Recompensa o sorpresa","Otro: beneficio o novedad"))))</f>
        <v>Solo urgencia, sin cifra</v>
      </c>
    </row>
    <row r="70" spans="1:46" x14ac:dyDescent="0.2">
      <c r="A70" s="104" t="s">
        <v>916</v>
      </c>
      <c r="B70" s="104" t="s">
        <v>275</v>
      </c>
      <c r="C70" s="104" t="s">
        <v>917</v>
      </c>
      <c r="D70" s="104" t="s">
        <v>707</v>
      </c>
      <c r="E70" s="104" t="s">
        <v>486</v>
      </c>
      <c r="F70" s="104" t="s">
        <v>487</v>
      </c>
      <c r="G70" s="105">
        <v>492439</v>
      </c>
      <c r="H70" s="105">
        <v>53234</v>
      </c>
      <c r="I70" s="105">
        <v>17522</v>
      </c>
      <c r="J70" s="106">
        <v>7.97</v>
      </c>
      <c r="K70" s="106">
        <v>3.64</v>
      </c>
      <c r="L70" s="107">
        <v>52063.17</v>
      </c>
      <c r="M70" s="108">
        <f t="shared" si="24"/>
        <v>10.810272947512281</v>
      </c>
      <c r="N70" s="108">
        <f t="shared" si="25"/>
        <v>3.5582072094208619</v>
      </c>
      <c r="O70" s="108">
        <f t="shared" si="26"/>
        <v>32.915054288612538</v>
      </c>
      <c r="P70" s="108">
        <f t="shared" si="27"/>
        <v>105.72511519193239</v>
      </c>
      <c r="Q70" s="108">
        <f t="shared" si="28"/>
        <v>10.717211021745861</v>
      </c>
      <c r="R70" s="108">
        <f t="shared" si="29"/>
        <v>27.021447627328243</v>
      </c>
      <c r="S70" s="101">
        <f t="shared" si="30"/>
        <v>45916</v>
      </c>
      <c r="T70" s="102" t="str">
        <f t="shared" si="31"/>
        <v>Septiembre</v>
      </c>
      <c r="U70" s="102" t="str">
        <f t="shared" si="32"/>
        <v>Martes</v>
      </c>
      <c r="V70" s="102">
        <f t="shared" si="33"/>
        <v>13</v>
      </c>
      <c r="W70" s="102" t="str">
        <f t="shared" si="34"/>
        <v>Quincena</v>
      </c>
      <c r="X70" s="102">
        <f t="shared" si="35"/>
        <v>27</v>
      </c>
      <c r="Y70" s="102" t="str">
        <f t="shared" si="36"/>
        <v>Sí</v>
      </c>
      <c r="Z70" s="102" t="str">
        <f>CHOOSE(MATCH(B70,{"Customer Appreciation","Exclusive Offers","Flash Sale","Holiday Discounts","New Product Launch","Newsletter"},0),"Fidelizar","Vender","Vender","Vender","Lanzar","Educar")</f>
        <v>Vender</v>
      </c>
      <c r="AA70" s="102" t="str">
        <f t="shared" si="37"/>
        <v>Más de 400 mil</v>
      </c>
      <c r="AB70" s="102">
        <f>COUNTIFS($E$5:$E$493,E70,$S$5:$S$493,"&lt;"&amp;S70)+COUNTIFS($E$5:E70,E70,$S$5:S70,S70)</f>
        <v>4</v>
      </c>
      <c r="AC70" s="102">
        <f t="shared" si="38"/>
        <v>8</v>
      </c>
      <c r="AD70" s="102" t="str">
        <f t="shared" si="39"/>
        <v>Medio</v>
      </c>
      <c r="AE70" s="103">
        <f t="shared" si="40"/>
        <v>9.3061925766420472E-2</v>
      </c>
      <c r="AF70" s="102" t="str">
        <f t="shared" si="41"/>
        <v xml:space="preserve">  oportunidades de ahorro  descúbrelas  solo para ti </v>
      </c>
      <c r="AG70" s="102" t="str">
        <f t="shared" si="42"/>
        <v xml:space="preserve"> no te pierdas estas ofertas únicas que tenemos para ti   entra ya  </v>
      </c>
      <c r="AH70" s="102" t="str">
        <f>IF(SUMPRODUCT(--(LEFT(IF(LEFT(LOWER(E70),1)="¡",MID(LOWER(E70),2,300),LOWER(E70)),LEN({"actualizaci","el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Sí</v>
      </c>
      <c r="AI70" s="102" t="str">
        <f>IF(OR(SUMPRODUCT(--ISNUMBER(SEARCH({"descuento","oferta","ahorr","precio"," sale ","flash","deals"},AF70)))&gt;0,SUMPRODUCT(--ISNUMBER(SEARCH({"descuento","oferta","ahorr","precio"," sale ","flash","deals"},AG70)))&gt;0),"Sí","No")</f>
        <v>Sí</v>
      </c>
      <c r="AJ70" s="102" t="str">
        <f>IF(SUMPRODUCT(--ISNUMBER(SEARCH({" hoy ","horas","tiempo limitado","antes de que","se acab","se agot","finalic","última oportunidad","oportunidad única","relámpago","express","no esperes","no volver","no parpadees"},AF70)))&gt;0,"Sí","No")</f>
        <v>No</v>
      </c>
      <c r="AK70" s="102" t="str">
        <f>IF(SUMPRODUCT(--ISNUMBER(SEARCH({" hoy ","horas","tiempo limitado","antes de que","se acab","se agot","finalic","última oportunidad","oportunidad única","relámpago","express","no esperes","no volver","no parpadees"},AG70)))&gt;0,"Sí","No")</f>
        <v>No</v>
      </c>
      <c r="AL70" s="102" t="str">
        <f t="shared" si="43"/>
        <v>Descuento sin tiempo límite</v>
      </c>
      <c r="AM70" s="102" t="str">
        <f>IF(SUMPRODUCT(--ISNUMBER(SEARCH({"0","1","2","3","4","5","6","7","8","9","favorit","maquillaje","piel","cabello","productos","belleza","regalo"},E70)))&gt;0,"Sí","No")</f>
        <v>No</v>
      </c>
      <c r="AN70" s="102" t="str">
        <f>IF(SUMPRODUCT(--ISNUMBER(SEARCH({"lo que tenemos","estas ofertas","algo especial","ofertas únicas","que preparamos","no te quedes","echa un vistazo"},F70)))&gt;0,"Sí","No")</f>
        <v>Sí</v>
      </c>
      <c r="AO70" s="102">
        <f t="shared" si="44"/>
        <v>51</v>
      </c>
      <c r="AP70" s="102">
        <f t="shared" si="45"/>
        <v>7</v>
      </c>
      <c r="AQ70" s="102">
        <f>SUMPRODUCT(LEN(E70)-LEN(SUBSTITUTE(E70,{"!","¡","?","¿",":",",",".","%","·","-",";"},"")))</f>
        <v>3</v>
      </c>
      <c r="AR70" s="102" t="str">
        <f t="shared" si="46"/>
        <v>Sí</v>
      </c>
      <c r="AS70" s="102" t="str">
        <f t="shared" si="47"/>
        <v>No</v>
      </c>
      <c r="AT70" s="102" t="str">
        <f>IF(SUMPRODUCT(--ISNUMBER(FIND({"0","1","2","3","4","5","6","7","8","9"},E70)))&gt;0,"Con cifra concreta",IF(OR(ISNUMBER(FIND("?",E70)),ISNUMBER(FIND("¿",E70))),"Pregunta abierta",IF(SUMPRODUCT(--ISNUMBER(SEARCH({" hoy ","horas","tiempo limitado","antes de que","se acab","se agot","finalic","última oportunidad","oportunidad única","relámpago","express","no esperes","no volver","no parpadees"," ya ","últimas horas","últimas unidades"," ahora "},AF70)))&gt;0,"Solo urgencia, sin cifra",IF(SUMPRODUCT(--ISNUMBER(SEARCH({"recompensa","sorpresa","regalo","lealtad","detalle","gracias","pensamos en ti","para ti"},E70)))&gt;0,"Recompensa o sorpresa","Otro: beneficio o novedad"))))</f>
        <v>Recompensa o sorpresa</v>
      </c>
    </row>
    <row r="71" spans="1:46" x14ac:dyDescent="0.2">
      <c r="A71" s="96" t="s">
        <v>918</v>
      </c>
      <c r="B71" s="96" t="s">
        <v>276</v>
      </c>
      <c r="C71" s="96" t="s">
        <v>919</v>
      </c>
      <c r="D71" s="96" t="s">
        <v>824</v>
      </c>
      <c r="E71" s="96" t="s">
        <v>474</v>
      </c>
      <c r="F71" s="96" t="s">
        <v>475</v>
      </c>
      <c r="G71" s="97">
        <v>113560</v>
      </c>
      <c r="H71" s="97">
        <v>19688</v>
      </c>
      <c r="I71" s="97">
        <v>7392</v>
      </c>
      <c r="J71" s="98">
        <v>1.1599999999999999</v>
      </c>
      <c r="K71" s="98">
        <v>4.09</v>
      </c>
      <c r="L71" s="99">
        <v>59969.83</v>
      </c>
      <c r="M71" s="100">
        <f t="shared" si="24"/>
        <v>17.337090524832689</v>
      </c>
      <c r="N71" s="100">
        <f t="shared" si="25"/>
        <v>6.5093342726312082</v>
      </c>
      <c r="O71" s="100">
        <f t="shared" si="26"/>
        <v>37.545713124746037</v>
      </c>
      <c r="P71" s="100">
        <f t="shared" si="27"/>
        <v>528.0893800634027</v>
      </c>
      <c r="Q71" s="100">
        <f t="shared" si="28"/>
        <v>22.775066640377752</v>
      </c>
      <c r="R71" s="100">
        <f t="shared" si="29"/>
        <v>29.440902453236173</v>
      </c>
      <c r="S71" s="101">
        <f t="shared" si="30"/>
        <v>45872</v>
      </c>
      <c r="T71" s="102" t="str">
        <f t="shared" si="31"/>
        <v>Agosto</v>
      </c>
      <c r="U71" s="102" t="str">
        <f t="shared" si="32"/>
        <v>Domingo</v>
      </c>
      <c r="V71" s="102">
        <f t="shared" si="33"/>
        <v>10</v>
      </c>
      <c r="W71" s="102" t="str">
        <f t="shared" si="34"/>
        <v>Días después del pago</v>
      </c>
      <c r="X71" s="102">
        <f t="shared" si="35"/>
        <v>1</v>
      </c>
      <c r="Y71" s="102" t="str">
        <f t="shared" si="36"/>
        <v>No</v>
      </c>
      <c r="Z71" s="102" t="str">
        <f>CHOOSE(MATCH(B71,{"Customer Appreciation","Exclusive Offers","Flash Sale","Holiday Discounts","New Product Launch","Newsletter"},0),"Fidelizar","Vender","Vender","Vender","Lanzar","Educar")</f>
        <v>Vender</v>
      </c>
      <c r="AA71" s="102" t="str">
        <f t="shared" si="37"/>
        <v>100 a 200 mil</v>
      </c>
      <c r="AB71" s="102">
        <f>COUNTIFS($E$5:$E$493,E71,$S$5:$S$493,"&lt;"&amp;S71)+COUNTIFS($E$5:E71,E71,$S$5:S71,S71)</f>
        <v>1</v>
      </c>
      <c r="AC71" s="102">
        <f t="shared" si="38"/>
        <v>20</v>
      </c>
      <c r="AD71" s="102" t="str">
        <f t="shared" si="39"/>
        <v>Primer tercio</v>
      </c>
      <c r="AE71" s="103">
        <f t="shared" si="40"/>
        <v>-5.4379761155450623</v>
      </c>
      <c r="AF71" s="102" t="str">
        <f t="shared" si="41"/>
        <v xml:space="preserve">  aprovecha antes de que se acabe  oferta flash  productos top </v>
      </c>
      <c r="AG71" s="102" t="str">
        <f t="shared" si="42"/>
        <v xml:space="preserve"> grandes descuentos por tiempo limitado   no te lo pierdas  </v>
      </c>
      <c r="AH71" s="102" t="str">
        <f>IF(SUMPRODUCT(--(LEFT(IF(LEFT(LOWER(E71),1)="¡",MID(LOWER(E71),2,300),LOWER(E71)),LEN({"actualizaci","el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71" s="102" t="str">
        <f>IF(OR(SUMPRODUCT(--ISNUMBER(SEARCH({"descuento","oferta","ahorr","precio"," sale ","flash","deals"},AF71)))&gt;0,SUMPRODUCT(--ISNUMBER(SEARCH({"descuento","oferta","ahorr","precio"," sale ","flash","deals"},AG71)))&gt;0),"Sí","No")</f>
        <v>Sí</v>
      </c>
      <c r="AJ71" s="102" t="str">
        <f>IF(SUMPRODUCT(--ISNUMBER(SEARCH({" hoy ","horas","tiempo limitado","antes de que","se acab","se agot","finalic","última oportunidad","oportunidad única","relámpago","express","no esperes","no volver","no parpadees"},AF71)))&gt;0,"Sí","No")</f>
        <v>Sí</v>
      </c>
      <c r="AK71" s="102" t="str">
        <f>IF(SUMPRODUCT(--ISNUMBER(SEARCH({" hoy ","horas","tiempo limitado","antes de que","se acab","se agot","finalic","última oportunidad","oportunidad única","relámpago","express","no esperes","no volver","no parpadees"},AG71)))&gt;0,"Sí","No")</f>
        <v>Sí</v>
      </c>
      <c r="AL71" s="102" t="str">
        <f t="shared" si="43"/>
        <v>Descuento con tiempo límite en el asunto</v>
      </c>
      <c r="AM71" s="102" t="str">
        <f>IF(SUMPRODUCT(--ISNUMBER(SEARCH({"0","1","2","3","4","5","6","7","8","9","favorit","maquillaje","piel","cabello","productos","belleza","regalo"},E71)))&gt;0,"Sí","No")</f>
        <v>Sí</v>
      </c>
      <c r="AN71" s="102" t="str">
        <f>IF(SUMPRODUCT(--ISNUMBER(SEARCH({"lo que tenemos","estas ofertas","algo especial","ofertas únicas","que preparamos","no te quedes","echa un vistazo"},F71)))&gt;0,"Sí","No")</f>
        <v>No</v>
      </c>
      <c r="AO71" s="102">
        <f t="shared" si="44"/>
        <v>61</v>
      </c>
      <c r="AP71" s="102">
        <f t="shared" si="45"/>
        <v>10</v>
      </c>
      <c r="AQ71" s="102">
        <f>SUMPRODUCT(LEN(E71)-LEN(SUBSTITUTE(E71,{"!","¡","?","¿",":",",",".","%","·","-",";"},"")))</f>
        <v>3</v>
      </c>
      <c r="AR71" s="102" t="str">
        <f t="shared" si="46"/>
        <v>No</v>
      </c>
      <c r="AS71" s="102" t="str">
        <f t="shared" si="47"/>
        <v>No</v>
      </c>
      <c r="AT71" s="102" t="str">
        <f>IF(SUMPRODUCT(--ISNUMBER(FIND({"0","1","2","3","4","5","6","7","8","9"},E71)))&gt;0,"Con cifra concreta",IF(OR(ISNUMBER(FIND("?",E71)),ISNUMBER(FIND("¿",E71))),"Pregunta abierta",IF(SUMPRODUCT(--ISNUMBER(SEARCH({" hoy ","horas","tiempo limitado","antes de que","se acab","se agot","finalic","última oportunidad","oportunidad única","relámpago","express","no esperes","no volver","no parpadees"," ya ","últimas horas","últimas unidades"," ahora "},AF71)))&gt;0,"Solo urgencia, sin cifra",IF(SUMPRODUCT(--ISNUMBER(SEARCH({"recompensa","sorpresa","regalo","lealtad","detalle","gracias","pensamos en ti","para ti"},E71)))&gt;0,"Recompensa o sorpresa","Otro: beneficio o novedad"))))</f>
        <v>Solo urgencia, sin cifra</v>
      </c>
    </row>
    <row r="72" spans="1:46" x14ac:dyDescent="0.2">
      <c r="A72" s="104" t="s">
        <v>920</v>
      </c>
      <c r="B72" s="104" t="s">
        <v>277</v>
      </c>
      <c r="C72" s="104" t="s">
        <v>921</v>
      </c>
      <c r="D72" s="104" t="s">
        <v>764</v>
      </c>
      <c r="E72" s="104" t="s">
        <v>469</v>
      </c>
      <c r="F72" s="104" t="s">
        <v>470</v>
      </c>
      <c r="G72" s="105">
        <v>454035</v>
      </c>
      <c r="H72" s="105">
        <v>162725</v>
      </c>
      <c r="I72" s="105">
        <v>41724</v>
      </c>
      <c r="J72" s="106">
        <v>6.69</v>
      </c>
      <c r="K72" s="106">
        <v>1.73</v>
      </c>
      <c r="L72" s="107">
        <v>52610.3</v>
      </c>
      <c r="M72" s="108">
        <f t="shared" si="24"/>
        <v>35.839748037045602</v>
      </c>
      <c r="N72" s="108">
        <f t="shared" si="25"/>
        <v>9.1895999207109593</v>
      </c>
      <c r="O72" s="108">
        <f t="shared" si="26"/>
        <v>25.640805039176524</v>
      </c>
      <c r="P72" s="108">
        <f t="shared" si="27"/>
        <v>115.87278513770966</v>
      </c>
      <c r="Q72" s="108">
        <f t="shared" si="28"/>
        <v>29.233022524783024</v>
      </c>
      <c r="R72" s="108">
        <f t="shared" si="29"/>
        <v>30.71114383300629</v>
      </c>
      <c r="S72" s="101">
        <f t="shared" si="30"/>
        <v>45956</v>
      </c>
      <c r="T72" s="102" t="str">
        <f t="shared" si="31"/>
        <v>Octubre</v>
      </c>
      <c r="U72" s="102" t="str">
        <f t="shared" si="32"/>
        <v>Domingo</v>
      </c>
      <c r="V72" s="102">
        <f t="shared" si="33"/>
        <v>15</v>
      </c>
      <c r="W72" s="102" t="str">
        <f t="shared" si="34"/>
        <v>Resto del mes</v>
      </c>
      <c r="X72" s="102">
        <f t="shared" si="35"/>
        <v>1</v>
      </c>
      <c r="Y72" s="102" t="str">
        <f t="shared" si="36"/>
        <v>No</v>
      </c>
      <c r="Z72" s="102" t="str">
        <f>CHOOSE(MATCH(B72,{"Customer Appreciation","Exclusive Offers","Flash Sale","Holiday Discounts","New Product Launch","Newsletter"},0),"Fidelizar","Vender","Vender","Vender","Lanzar","Educar")</f>
        <v>Vender</v>
      </c>
      <c r="AA72" s="102" t="str">
        <f t="shared" si="37"/>
        <v>Más de 400 mil</v>
      </c>
      <c r="AB72" s="102">
        <f>COUNTIFS($E$5:$E$493,E72,$S$5:$S$493,"&lt;"&amp;S72)+COUNTIFS($E$5:E72,E72,$S$5:S72,S72)</f>
        <v>15</v>
      </c>
      <c r="AC72" s="102">
        <f t="shared" si="38"/>
        <v>20</v>
      </c>
      <c r="AD72" s="102" t="str">
        <f t="shared" si="39"/>
        <v>Último tercio</v>
      </c>
      <c r="AE72" s="103">
        <f t="shared" si="40"/>
        <v>6.6067255122625781</v>
      </c>
      <c r="AF72" s="102" t="str">
        <f t="shared" si="41"/>
        <v xml:space="preserve">  celebra con nosotros  descuentos festivos para regalar </v>
      </c>
      <c r="AG72" s="102" t="str">
        <f t="shared" si="42"/>
        <v xml:space="preserve"> regalos perfectos y ofertas que te encantarán   descubre más  </v>
      </c>
      <c r="AH72" s="102" t="str">
        <f>IF(SUMPRODUCT(--(LEFT(IF(LEFT(LOWER(E72),1)="¡",MID(LOWER(E72),2,300),LOWER(E72)),LEN({"actualizaci","el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72" s="102" t="str">
        <f>IF(OR(SUMPRODUCT(--ISNUMBER(SEARCH({"descuento","oferta","ahorr","precio"," sale ","flash","deals"},AF72)))&gt;0,SUMPRODUCT(--ISNUMBER(SEARCH({"descuento","oferta","ahorr","precio"," sale ","flash","deals"},AG72)))&gt;0),"Sí","No")</f>
        <v>Sí</v>
      </c>
      <c r="AJ72" s="102" t="str">
        <f>IF(SUMPRODUCT(--ISNUMBER(SEARCH({" hoy ","horas","tiempo limitado","antes de que","se acab","se agot","finalic","última oportunidad","oportunidad única","relámpago","express","no esperes","no volver","no parpadees"},AF72)))&gt;0,"Sí","No")</f>
        <v>No</v>
      </c>
      <c r="AK72" s="102" t="str">
        <f>IF(SUMPRODUCT(--ISNUMBER(SEARCH({" hoy ","horas","tiempo limitado","antes de que","se acab","se agot","finalic","última oportunidad","oportunidad única","relámpago","express","no esperes","no volver","no parpadees"},AG72)))&gt;0,"Sí","No")</f>
        <v>No</v>
      </c>
      <c r="AL72" s="102" t="str">
        <f t="shared" si="43"/>
        <v>Descuento sin tiempo límite</v>
      </c>
      <c r="AM72" s="102" t="str">
        <f>IF(SUMPRODUCT(--ISNUMBER(SEARCH({"0","1","2","3","4","5","6","7","8","9","favorit","maquillaje","piel","cabello","productos","belleza","regalo"},E72)))&gt;0,"Sí","No")</f>
        <v>No</v>
      </c>
      <c r="AN72" s="102" t="str">
        <f>IF(SUMPRODUCT(--ISNUMBER(SEARCH({"lo que tenemos","estas ofertas","algo especial","ofertas únicas","que preparamos","no te quedes","echa un vistazo"},F72)))&gt;0,"Sí","No")</f>
        <v>No</v>
      </c>
      <c r="AO72" s="102">
        <f t="shared" si="44"/>
        <v>55</v>
      </c>
      <c r="AP72" s="102">
        <f t="shared" si="45"/>
        <v>7</v>
      </c>
      <c r="AQ72" s="102">
        <f>SUMPRODUCT(LEN(E72)-LEN(SUBSTITUTE(E72,{"!","¡","?","¿",":",",",".","%","·","-",";"},"")))</f>
        <v>2</v>
      </c>
      <c r="AR72" s="102" t="str">
        <f t="shared" si="46"/>
        <v>Sí</v>
      </c>
      <c r="AS72" s="102" t="str">
        <f t="shared" si="47"/>
        <v>No</v>
      </c>
      <c r="AT72" s="102" t="str">
        <f>IF(SUMPRODUCT(--ISNUMBER(FIND({"0","1","2","3","4","5","6","7","8","9"},E72)))&gt;0,"Con cifra concreta",IF(OR(ISNUMBER(FIND("?",E72)),ISNUMBER(FIND("¿",E72))),"Pregunta abierta",IF(SUMPRODUCT(--ISNUMBER(SEARCH({" hoy ","horas","tiempo limitado","antes de que","se acab","se agot","finalic","última oportunidad","oportunidad única","relámpago","express","no esperes","no volver","no parpadees"," ya ","últimas horas","últimas unidades"," ahora "},AF72)))&gt;0,"Solo urgencia, sin cifra",IF(SUMPRODUCT(--ISNUMBER(SEARCH({"recompensa","sorpresa","regalo","lealtad","detalle","gracias","pensamos en ti","para ti"},E72)))&gt;0,"Recompensa o sorpresa","Otro: beneficio o novedad"))))</f>
        <v>Otro: beneficio o novedad</v>
      </c>
    </row>
    <row r="73" spans="1:46" x14ac:dyDescent="0.2">
      <c r="A73" s="96" t="s">
        <v>922</v>
      </c>
      <c r="B73" s="96" t="s">
        <v>279</v>
      </c>
      <c r="C73" s="96" t="s">
        <v>923</v>
      </c>
      <c r="D73" s="96" t="s">
        <v>715</v>
      </c>
      <c r="E73" s="96" t="s">
        <v>463</v>
      </c>
      <c r="F73" s="96" t="s">
        <v>464</v>
      </c>
      <c r="G73" s="97">
        <v>148858</v>
      </c>
      <c r="H73" s="97">
        <v>54676</v>
      </c>
      <c r="I73" s="97">
        <v>29147</v>
      </c>
      <c r="J73" s="98">
        <v>8.27</v>
      </c>
      <c r="K73" s="98">
        <v>1.73</v>
      </c>
      <c r="L73" s="99">
        <v>73624.429999999993</v>
      </c>
      <c r="M73" s="100">
        <f t="shared" si="24"/>
        <v>36.730306735277921</v>
      </c>
      <c r="N73" s="100">
        <f t="shared" si="25"/>
        <v>19.580405487108521</v>
      </c>
      <c r="O73" s="100">
        <f t="shared" si="26"/>
        <v>53.308581461701664</v>
      </c>
      <c r="P73" s="100">
        <f t="shared" si="27"/>
        <v>494.5950503164089</v>
      </c>
      <c r="Q73" s="100">
        <f t="shared" si="28"/>
        <v>33.412775116147934</v>
      </c>
      <c r="R73" s="100">
        <f t="shared" si="29"/>
        <v>27.75136451093497</v>
      </c>
      <c r="S73" s="101">
        <f t="shared" si="30"/>
        <v>45873</v>
      </c>
      <c r="T73" s="102" t="str">
        <f t="shared" si="31"/>
        <v>Agosto</v>
      </c>
      <c r="U73" s="102" t="str">
        <f t="shared" si="32"/>
        <v>Lunes</v>
      </c>
      <c r="V73" s="102">
        <f t="shared" si="33"/>
        <v>11</v>
      </c>
      <c r="W73" s="102" t="str">
        <f t="shared" si="34"/>
        <v>Días después del pago</v>
      </c>
      <c r="X73" s="102">
        <f t="shared" si="35"/>
        <v>24</v>
      </c>
      <c r="Y73" s="102" t="str">
        <f t="shared" si="36"/>
        <v>Sí</v>
      </c>
      <c r="Z73" s="102" t="str">
        <f>CHOOSE(MATCH(B73,{"Customer Appreciation","Exclusive Offers","Flash Sale","Holiday Discounts","New Product Launch","Newsletter"},0),"Fidelizar","Vender","Vender","Vender","Lanzar","Educar")</f>
        <v>Educar</v>
      </c>
      <c r="AA73" s="102" t="str">
        <f t="shared" si="37"/>
        <v>100 a 200 mil</v>
      </c>
      <c r="AB73" s="102">
        <f>COUNTIFS($E$5:$E$493,E73,$S$5:$S$493,"&lt;"&amp;S73)+COUNTIFS($E$5:E73,E73,$S$5:S73,S73)</f>
        <v>1</v>
      </c>
      <c r="AC73" s="102">
        <f t="shared" si="38"/>
        <v>25</v>
      </c>
      <c r="AD73" s="102" t="str">
        <f t="shared" si="39"/>
        <v>Primer tercio</v>
      </c>
      <c r="AE73" s="103">
        <f t="shared" si="40"/>
        <v>3.3175316191299871</v>
      </c>
      <c r="AF73" s="102" t="str">
        <f t="shared" si="41"/>
        <v xml:space="preserve"> tu dosis de belleza   no te lo pierdas  tips y trucos </v>
      </c>
      <c r="AG73" s="102" t="str">
        <f t="shared" si="42"/>
        <v xml:space="preserve"> consejos expertos  tendencias y más en tu bandeja de entrada   descúbrelo  </v>
      </c>
      <c r="AH73" s="102" t="str">
        <f>IF(SUMPRODUCT(--(LEFT(IF(LEFT(LOWER(E73),1)="¡",MID(LOWER(E73),2,300),LOWER(E73)),LEN({"actualizaci","el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73" s="102" t="str">
        <f>IF(OR(SUMPRODUCT(--ISNUMBER(SEARCH({"descuento","oferta","ahorr","precio"," sale ","flash","deals"},AF73)))&gt;0,SUMPRODUCT(--ISNUMBER(SEARCH({"descuento","oferta","ahorr","precio"," sale ","flash","deals"},AG73)))&gt;0),"Sí","No")</f>
        <v>No</v>
      </c>
      <c r="AJ73" s="102" t="str">
        <f>IF(SUMPRODUCT(--ISNUMBER(SEARCH({" hoy ","horas","tiempo limitado","antes de que","se acab","se agot","finalic","última oportunidad","oportunidad única","relámpago","express","no esperes","no volver","no parpadees"},AF73)))&gt;0,"Sí","No")</f>
        <v>No</v>
      </c>
      <c r="AK73" s="102" t="str">
        <f>IF(SUMPRODUCT(--ISNUMBER(SEARCH({" hoy ","horas","tiempo limitado","antes de que","se acab","se agot","finalic","última oportunidad","oportunidad única","relámpago","express","no esperes","no volver","no parpadees"},AG73)))&gt;0,"Sí","No")</f>
        <v>No</v>
      </c>
      <c r="AL73" s="102" t="str">
        <f t="shared" si="43"/>
        <v>Sin descuento</v>
      </c>
      <c r="AM73" s="102" t="str">
        <f>IF(SUMPRODUCT(--ISNUMBER(SEARCH({"0","1","2","3","4","5","6","7","8","9","favorit","maquillaje","piel","cabello","productos","belleza","regalo"},E73)))&gt;0,"Sí","No")</f>
        <v>Sí</v>
      </c>
      <c r="AN73" s="102" t="str">
        <f>IF(SUMPRODUCT(--ISNUMBER(SEARCH({"lo que tenemos","estas ofertas","algo especial","ofertas únicas","que preparamos","no te quedes","echa un vistazo"},F73)))&gt;0,"Sí","No")</f>
        <v>No</v>
      </c>
      <c r="AO73" s="102">
        <f t="shared" si="44"/>
        <v>53</v>
      </c>
      <c r="AP73" s="102">
        <f t="shared" si="45"/>
        <v>11</v>
      </c>
      <c r="AQ73" s="102">
        <f>SUMPRODUCT(LEN(E73)-LEN(SUBSTITUTE(E73,{"!","¡","?","¿",":",",",".","%","·","-",";"},"")))</f>
        <v>3</v>
      </c>
      <c r="AR73" s="102" t="str">
        <f t="shared" si="46"/>
        <v>No</v>
      </c>
      <c r="AS73" s="102" t="str">
        <f t="shared" si="47"/>
        <v>No</v>
      </c>
      <c r="AT73" s="102" t="str">
        <f>IF(SUMPRODUCT(--ISNUMBER(FIND({"0","1","2","3","4","5","6","7","8","9"},E73)))&gt;0,"Con cifra concreta",IF(OR(ISNUMBER(FIND("?",E73)),ISNUMBER(FIND("¿",E73))),"Pregunta abierta",IF(SUMPRODUCT(--ISNUMBER(SEARCH({" hoy ","horas","tiempo limitado","antes de que","se acab","se agot","finalic","última oportunidad","oportunidad única","relámpago","express","no esperes","no volver","no parpadees"," ya ","últimas horas","últimas unidades"," ahora "},AF73)))&gt;0,"Solo urgencia, sin cifra",IF(SUMPRODUCT(--ISNUMBER(SEARCH({"recompensa","sorpresa","regalo","lealtad","detalle","gracias","pensamos en ti","para ti"},E73)))&gt;0,"Recompensa o sorpresa","Otro: beneficio o novedad"))))</f>
        <v>Otro: beneficio o novedad</v>
      </c>
    </row>
    <row r="74" spans="1:46" x14ac:dyDescent="0.2">
      <c r="A74" s="104" t="s">
        <v>924</v>
      </c>
      <c r="B74" s="104" t="s">
        <v>278</v>
      </c>
      <c r="C74" s="104" t="s">
        <v>925</v>
      </c>
      <c r="D74" s="104" t="s">
        <v>794</v>
      </c>
      <c r="E74" s="104" t="s">
        <v>467</v>
      </c>
      <c r="F74" s="104" t="s">
        <v>468</v>
      </c>
      <c r="G74" s="105">
        <v>475774</v>
      </c>
      <c r="H74" s="105">
        <v>199042</v>
      </c>
      <c r="I74" s="105">
        <v>58607</v>
      </c>
      <c r="J74" s="106">
        <v>7.11</v>
      </c>
      <c r="K74" s="106">
        <v>2.92</v>
      </c>
      <c r="L74" s="107">
        <v>37944.71</v>
      </c>
      <c r="M74" s="108">
        <f t="shared" si="24"/>
        <v>41.835409248929111</v>
      </c>
      <c r="N74" s="108">
        <f t="shared" si="25"/>
        <v>12.318243535796409</v>
      </c>
      <c r="O74" s="108">
        <f t="shared" si="26"/>
        <v>29.444539343455151</v>
      </c>
      <c r="P74" s="108">
        <f t="shared" si="27"/>
        <v>79.753643536637142</v>
      </c>
      <c r="Q74" s="108">
        <f t="shared" si="28"/>
        <v>30.93688234168668</v>
      </c>
      <c r="R74" s="108">
        <f t="shared" si="29"/>
        <v>29.458247936272421</v>
      </c>
      <c r="S74" s="101">
        <f t="shared" si="30"/>
        <v>45941</v>
      </c>
      <c r="T74" s="102" t="str">
        <f t="shared" si="31"/>
        <v>Octubre</v>
      </c>
      <c r="U74" s="102" t="str">
        <f t="shared" si="32"/>
        <v>Sábado</v>
      </c>
      <c r="V74" s="102">
        <f t="shared" si="33"/>
        <v>12</v>
      </c>
      <c r="W74" s="102" t="str">
        <f t="shared" si="34"/>
        <v>Resto del mes</v>
      </c>
      <c r="X74" s="102">
        <f t="shared" si="35"/>
        <v>1</v>
      </c>
      <c r="Y74" s="102" t="str">
        <f t="shared" si="36"/>
        <v>No</v>
      </c>
      <c r="Z74" s="102" t="str">
        <f>CHOOSE(MATCH(B74,{"Customer Appreciation","Exclusive Offers","Flash Sale","Holiday Discounts","New Product Launch","Newsletter"},0),"Fidelizar","Vender","Vender","Vender","Lanzar","Educar")</f>
        <v>Lanzar</v>
      </c>
      <c r="AA74" s="102" t="str">
        <f t="shared" si="37"/>
        <v>Más de 400 mil</v>
      </c>
      <c r="AB74" s="102">
        <f>COUNTIFS($E$5:$E$493,E74,$S$5:$S$493,"&lt;"&amp;S74)+COUNTIFS($E$5:E74,E74,$S$5:S74,S74)</f>
        <v>21</v>
      </c>
      <c r="AC74" s="102">
        <f t="shared" si="38"/>
        <v>22</v>
      </c>
      <c r="AD74" s="102" t="str">
        <f t="shared" si="39"/>
        <v>Último tercio</v>
      </c>
      <c r="AE74" s="103">
        <f t="shared" si="40"/>
        <v>10.898526907242431</v>
      </c>
      <c r="AF74" s="102" t="str">
        <f t="shared" si="41"/>
        <v xml:space="preserve">  lo nuevo de l'oréal  te va a encantar  innovación en belleza </v>
      </c>
      <c r="AG74" s="102" t="str">
        <f t="shared" si="42"/>
        <v xml:space="preserve"> prepárate para experimentar la innovación en tu belleza   descúbrela  </v>
      </c>
      <c r="AH74" s="102" t="str">
        <f>IF(SUMPRODUCT(--(LEFT(IF(LEFT(LOWER(E74),1)="¡",MID(LOWER(E74),2,300),LOWER(E74)),LEN({"actualizaci","el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74" s="102" t="str">
        <f>IF(OR(SUMPRODUCT(--ISNUMBER(SEARCH({"descuento","oferta","ahorr","precio"," sale ","flash","deals"},AF74)))&gt;0,SUMPRODUCT(--ISNUMBER(SEARCH({"descuento","oferta","ahorr","precio"," sale ","flash","deals"},AG74)))&gt;0),"Sí","No")</f>
        <v>No</v>
      </c>
      <c r="AJ74" s="102" t="str">
        <f>IF(SUMPRODUCT(--ISNUMBER(SEARCH({" hoy ","horas","tiempo limitado","antes de que","se acab","se agot","finalic","última oportunidad","oportunidad única","relámpago","express","no esperes","no volver","no parpadees"},AF74)))&gt;0,"Sí","No")</f>
        <v>No</v>
      </c>
      <c r="AK74" s="102" t="str">
        <f>IF(SUMPRODUCT(--ISNUMBER(SEARCH({" hoy ","horas","tiempo limitado","antes de que","se acab","se agot","finalic","última oportunidad","oportunidad única","relámpago","express","no esperes","no volver","no parpadees"},AG74)))&gt;0,"Sí","No")</f>
        <v>No</v>
      </c>
      <c r="AL74" s="102" t="str">
        <f t="shared" si="43"/>
        <v>Sin descuento</v>
      </c>
      <c r="AM74" s="102" t="str">
        <f>IF(SUMPRODUCT(--ISNUMBER(SEARCH({"0","1","2","3","4","5","6","7","8","9","favorit","maquillaje","piel","cabello","productos","belleza","regalo"},E74)))&gt;0,"Sí","No")</f>
        <v>Sí</v>
      </c>
      <c r="AN74" s="102" t="str">
        <f>IF(SUMPRODUCT(--ISNUMBER(SEARCH({"lo que tenemos","estas ofertas","algo especial","ofertas únicas","que preparamos","no te quedes","echa un vistazo"},F74)))&gt;0,"Sí","No")</f>
        <v>No</v>
      </c>
      <c r="AO74" s="102">
        <f t="shared" si="44"/>
        <v>61</v>
      </c>
      <c r="AP74" s="102">
        <f t="shared" si="45"/>
        <v>11</v>
      </c>
      <c r="AQ74" s="102">
        <f>SUMPRODUCT(LEN(E74)-LEN(SUBSTITUTE(E74,{"!","¡","?","¿",":",",",".","%","·","-",";"},"")))</f>
        <v>3</v>
      </c>
      <c r="AR74" s="102" t="str">
        <f t="shared" si="46"/>
        <v>No</v>
      </c>
      <c r="AS74" s="102" t="str">
        <f t="shared" si="47"/>
        <v>No</v>
      </c>
      <c r="AT74" s="102" t="str">
        <f>IF(SUMPRODUCT(--ISNUMBER(FIND({"0","1","2","3","4","5","6","7","8","9"},E74)))&gt;0,"Con cifra concreta",IF(OR(ISNUMBER(FIND("?",E74)),ISNUMBER(FIND("¿",E74))),"Pregunta abierta",IF(SUMPRODUCT(--ISNUMBER(SEARCH({" hoy ","horas","tiempo limitado","antes de que","se acab","se agot","finalic","última oportunidad","oportunidad única","relámpago","express","no esperes","no volver","no parpadees"," ya ","últimas horas","últimas unidades"," ahora "},AF74)))&gt;0,"Solo urgencia, sin cifra",IF(SUMPRODUCT(--ISNUMBER(SEARCH({"recompensa","sorpresa","regalo","lealtad","detalle","gracias","pensamos en ti","para ti"},E74)))&gt;0,"Recompensa o sorpresa","Otro: beneficio o novedad"))))</f>
        <v>Otro: beneficio o novedad</v>
      </c>
    </row>
    <row r="75" spans="1:46" x14ac:dyDescent="0.2">
      <c r="A75" s="96" t="s">
        <v>926</v>
      </c>
      <c r="B75" s="96" t="s">
        <v>276</v>
      </c>
      <c r="C75" s="96" t="s">
        <v>861</v>
      </c>
      <c r="D75" s="96" t="s">
        <v>761</v>
      </c>
      <c r="E75" s="96" t="s">
        <v>873</v>
      </c>
      <c r="F75" s="96" t="s">
        <v>874</v>
      </c>
      <c r="G75" s="97">
        <v>398413</v>
      </c>
      <c r="H75" s="97">
        <v>167909</v>
      </c>
      <c r="I75" s="97">
        <v>11872</v>
      </c>
      <c r="J75" s="98">
        <v>9.14</v>
      </c>
      <c r="K75" s="98">
        <v>0.59</v>
      </c>
      <c r="L75" s="99">
        <v>3216.69</v>
      </c>
      <c r="M75" s="100">
        <f t="shared" si="24"/>
        <v>42.144458137661175</v>
      </c>
      <c r="N75" s="100">
        <f t="shared" si="25"/>
        <v>2.9798224455527307</v>
      </c>
      <c r="O75" s="100">
        <f t="shared" si="26"/>
        <v>7.0704965189477633</v>
      </c>
      <c r="P75" s="100">
        <f t="shared" si="27"/>
        <v>8.0737576334105565</v>
      </c>
      <c r="Q75" s="100">
        <f t="shared" si="28"/>
        <v>39.278310607790992</v>
      </c>
      <c r="R75" s="100">
        <f t="shared" si="29"/>
        <v>29.440902453236173</v>
      </c>
      <c r="S75" s="101">
        <f t="shared" si="30"/>
        <v>45906</v>
      </c>
      <c r="T75" s="102" t="str">
        <f t="shared" si="31"/>
        <v>Septiembre</v>
      </c>
      <c r="U75" s="102" t="str">
        <f t="shared" si="32"/>
        <v>Sábado</v>
      </c>
      <c r="V75" s="102">
        <f t="shared" si="33"/>
        <v>10</v>
      </c>
      <c r="W75" s="102" t="str">
        <f t="shared" si="34"/>
        <v>Resto del mes</v>
      </c>
      <c r="X75" s="102">
        <f t="shared" si="35"/>
        <v>2</v>
      </c>
      <c r="Y75" s="102" t="str">
        <f t="shared" si="36"/>
        <v>No</v>
      </c>
      <c r="Z75" s="102" t="str">
        <f>CHOOSE(MATCH(B75,{"Customer Appreciation","Exclusive Offers","Flash Sale","Holiday Discounts","New Product Launch","Newsletter"},0),"Fidelizar","Vender","Vender","Vender","Lanzar","Educar")</f>
        <v>Vender</v>
      </c>
      <c r="AA75" s="102" t="str">
        <f t="shared" si="37"/>
        <v>300 a 400 mil</v>
      </c>
      <c r="AB75" s="102">
        <f>COUNTIFS($E$5:$E$493,E75,$S$5:$S$493,"&lt;"&amp;S75)+COUNTIFS($E$5:E75,E75,$S$5:S75,S75)</f>
        <v>2</v>
      </c>
      <c r="AC75" s="102">
        <f t="shared" si="38"/>
        <v>3</v>
      </c>
      <c r="AD75" s="102" t="str">
        <f t="shared" si="39"/>
        <v/>
      </c>
      <c r="AE75" s="103">
        <f t="shared" si="40"/>
        <v>2.8661475298701831</v>
      </c>
      <c r="AF75" s="102" t="str">
        <f t="shared" si="41"/>
        <v xml:space="preserve"> 🔥 hot sale anticipado   precios increíbles en belleza  </v>
      </c>
      <c r="AG75" s="102" t="str">
        <f t="shared" si="42"/>
        <v xml:space="preserve"> consigue tus productos soñados con descuentos exclusivos   no te lo pierdas  </v>
      </c>
      <c r="AH75" s="102" t="str">
        <f>IF(SUMPRODUCT(--(LEFT(IF(LEFT(LOWER(E75),1)="¡",MID(LOWER(E75),2,300),LOWER(E75)),LEN({"actualizaci","el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75" s="102" t="str">
        <f>IF(OR(SUMPRODUCT(--ISNUMBER(SEARCH({"descuento","oferta","ahorr","precio"," sale ","flash","deals"},AF75)))&gt;0,SUMPRODUCT(--ISNUMBER(SEARCH({"descuento","oferta","ahorr","precio"," sale ","flash","deals"},AG75)))&gt;0),"Sí","No")</f>
        <v>Sí</v>
      </c>
      <c r="AJ75" s="102" t="str">
        <f>IF(SUMPRODUCT(--ISNUMBER(SEARCH({" hoy ","horas","tiempo limitado","antes de que","se acab","se agot","finalic","última oportunidad","oportunidad única","relámpago","express","no esperes","no volver","no parpadees"},AF75)))&gt;0,"Sí","No")</f>
        <v>No</v>
      </c>
      <c r="AK75" s="102" t="str">
        <f>IF(SUMPRODUCT(--ISNUMBER(SEARCH({" hoy ","horas","tiempo limitado","antes de que","se acab","se agot","finalic","última oportunidad","oportunidad única","relámpago","express","no esperes","no volver","no parpadees"},AG75)))&gt;0,"Sí","No")</f>
        <v>No</v>
      </c>
      <c r="AL75" s="102" t="str">
        <f t="shared" si="43"/>
        <v>Descuento sin tiempo límite</v>
      </c>
      <c r="AM75" s="102" t="str">
        <f>IF(SUMPRODUCT(--ISNUMBER(SEARCH({"0","1","2","3","4","5","6","7","8","9","favorit","maquillaje","piel","cabello","productos","belleza","regalo"},E75)))&gt;0,"Sí","No")</f>
        <v>Sí</v>
      </c>
      <c r="AN75" s="102" t="str">
        <f>IF(SUMPRODUCT(--ISNUMBER(SEARCH({"lo que tenemos","estas ofertas","algo especial","ofertas únicas","que preparamos","no te quedes","echa un vistazo"},F75)))&gt;0,"Sí","No")</f>
        <v>No</v>
      </c>
      <c r="AO75" s="102">
        <f t="shared" si="44"/>
        <v>54</v>
      </c>
      <c r="AP75" s="102">
        <f t="shared" si="45"/>
        <v>8</v>
      </c>
      <c r="AQ75" s="102">
        <f>SUMPRODUCT(LEN(E75)-LEN(SUBSTITUTE(E75,{"!","¡","?","¿",":",",",".","%","·","-",";"},"")))</f>
        <v>3</v>
      </c>
      <c r="AR75" s="102" t="str">
        <f t="shared" si="46"/>
        <v>Sí</v>
      </c>
      <c r="AS75" s="102" t="str">
        <f t="shared" si="47"/>
        <v>Sí</v>
      </c>
      <c r="AT75" s="102" t="str">
        <f>IF(SUMPRODUCT(--ISNUMBER(FIND({"0","1","2","3","4","5","6","7","8","9"},E75)))&gt;0,"Con cifra concreta",IF(OR(ISNUMBER(FIND("?",E75)),ISNUMBER(FIND("¿",E75))),"Pregunta abierta",IF(SUMPRODUCT(--ISNUMBER(SEARCH({" hoy ","horas","tiempo limitado","antes de que","se acab","se agot","finalic","última oportunidad","oportunidad única","relámpago","express","no esperes","no volver","no parpadees"," ya ","últimas horas","últimas unidades"," ahora "},AF75)))&gt;0,"Solo urgencia, sin cifra",IF(SUMPRODUCT(--ISNUMBER(SEARCH({"recompensa","sorpresa","regalo","lealtad","detalle","gracias","pensamos en ti","para ti"},E75)))&gt;0,"Recompensa o sorpresa","Otro: beneficio o novedad"))))</f>
        <v>Otro: beneficio o novedad</v>
      </c>
    </row>
    <row r="76" spans="1:46" x14ac:dyDescent="0.2">
      <c r="A76" s="104" t="s">
        <v>927</v>
      </c>
      <c r="B76" s="104" t="s">
        <v>274</v>
      </c>
      <c r="C76" s="104" t="s">
        <v>928</v>
      </c>
      <c r="D76" s="104" t="s">
        <v>786</v>
      </c>
      <c r="E76" s="104" t="s">
        <v>817</v>
      </c>
      <c r="F76" s="104" t="s">
        <v>818</v>
      </c>
      <c r="G76" s="105">
        <v>328562</v>
      </c>
      <c r="H76" s="105">
        <v>111075</v>
      </c>
      <c r="I76" s="105">
        <v>16723</v>
      </c>
      <c r="J76" s="106">
        <v>3.28</v>
      </c>
      <c r="K76" s="106">
        <v>4.29</v>
      </c>
      <c r="L76" s="107">
        <v>11259.63</v>
      </c>
      <c r="M76" s="108">
        <f t="shared" si="24"/>
        <v>33.806404879444365</v>
      </c>
      <c r="N76" s="108">
        <f t="shared" si="25"/>
        <v>5.0897547494841158</v>
      </c>
      <c r="O76" s="108">
        <f t="shared" si="26"/>
        <v>15.055593067747017</v>
      </c>
      <c r="P76" s="108">
        <f t="shared" si="27"/>
        <v>34.269422513863439</v>
      </c>
      <c r="Q76" s="108">
        <f t="shared" si="28"/>
        <v>29.881859851946338</v>
      </c>
      <c r="R76" s="108">
        <f t="shared" si="29"/>
        <v>31.113650744455075</v>
      </c>
      <c r="S76" s="101">
        <f t="shared" si="30"/>
        <v>45883</v>
      </c>
      <c r="T76" s="102" t="str">
        <f t="shared" si="31"/>
        <v>Agosto</v>
      </c>
      <c r="U76" s="102" t="str">
        <f t="shared" si="32"/>
        <v>Jueves</v>
      </c>
      <c r="V76" s="102">
        <f t="shared" si="33"/>
        <v>15</v>
      </c>
      <c r="W76" s="102" t="str">
        <f t="shared" si="34"/>
        <v>Quincena</v>
      </c>
      <c r="X76" s="102">
        <f t="shared" si="35"/>
        <v>23</v>
      </c>
      <c r="Y76" s="102" t="str">
        <f t="shared" si="36"/>
        <v>Sí</v>
      </c>
      <c r="Z76" s="102" t="str">
        <f>CHOOSE(MATCH(B76,{"Customer Appreciation","Exclusive Offers","Flash Sale","Holiday Discounts","New Product Launch","Newsletter"},0),"Fidelizar","Vender","Vender","Vender","Lanzar","Educar")</f>
        <v>Fidelizar</v>
      </c>
      <c r="AA76" s="102" t="str">
        <f t="shared" si="37"/>
        <v>300 a 400 mil</v>
      </c>
      <c r="AB76" s="102">
        <f>COUNTIFS($E$5:$E$493,E76,$S$5:$S$493,"&lt;"&amp;S76)+COUNTIFS($E$5:E76,E76,$S$5:S76,S76)</f>
        <v>1</v>
      </c>
      <c r="AC76" s="102">
        <f t="shared" si="38"/>
        <v>5</v>
      </c>
      <c r="AD76" s="102" t="str">
        <f t="shared" si="39"/>
        <v/>
      </c>
      <c r="AE76" s="103">
        <f t="shared" si="40"/>
        <v>3.9245450274980271</v>
      </c>
      <c r="AF76" s="102" t="str">
        <f t="shared" si="41"/>
        <v xml:space="preserve">  un gesto de gratitud de l'oréal  tu belleza  nuestra pasión </v>
      </c>
      <c r="AG76" s="102" t="str">
        <f t="shared" si="42"/>
        <v xml:space="preserve"> hemos preparado algo especial para ti   descúbrelo ahora  </v>
      </c>
      <c r="AH76" s="102" t="str">
        <f>IF(SUMPRODUCT(--(LEFT(IF(LEFT(LOWER(E76),1)="¡",MID(LOWER(E76),2,300),LOWER(E76)),LEN({"actualizaci","el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76" s="102" t="str">
        <f>IF(OR(SUMPRODUCT(--ISNUMBER(SEARCH({"descuento","oferta","ahorr","precio"," sale ","flash","deals"},AF76)))&gt;0,SUMPRODUCT(--ISNUMBER(SEARCH({"descuento","oferta","ahorr","precio"," sale ","flash","deals"},AG76)))&gt;0),"Sí","No")</f>
        <v>No</v>
      </c>
      <c r="AJ76" s="102" t="str">
        <f>IF(SUMPRODUCT(--ISNUMBER(SEARCH({" hoy ","horas","tiempo limitado","antes de que","se acab","se agot","finalic","última oportunidad","oportunidad única","relámpago","express","no esperes","no volver","no parpadees"},AF76)))&gt;0,"Sí","No")</f>
        <v>No</v>
      </c>
      <c r="AK76" s="102" t="str">
        <f>IF(SUMPRODUCT(--ISNUMBER(SEARCH({" hoy ","horas","tiempo limitado","antes de que","se acab","se agot","finalic","última oportunidad","oportunidad única","relámpago","express","no esperes","no volver","no parpadees"},AG76)))&gt;0,"Sí","No")</f>
        <v>No</v>
      </c>
      <c r="AL76" s="102" t="str">
        <f t="shared" si="43"/>
        <v>Sin descuento</v>
      </c>
      <c r="AM76" s="102" t="str">
        <f>IF(SUMPRODUCT(--ISNUMBER(SEARCH({"0","1","2","3","4","5","6","7","8","9","favorit","maquillaje","piel","cabello","productos","belleza","regalo"},E76)))&gt;0,"Sí","No")</f>
        <v>Sí</v>
      </c>
      <c r="AN76" s="102" t="str">
        <f>IF(SUMPRODUCT(--ISNUMBER(SEARCH({"lo que tenemos","estas ofertas","algo especial","ofertas únicas","que preparamos","no te quedes","echa un vistazo"},F76)))&gt;0,"Sí","No")</f>
        <v>Sí</v>
      </c>
      <c r="AO76" s="102">
        <f t="shared" si="44"/>
        <v>60</v>
      </c>
      <c r="AP76" s="102">
        <f t="shared" si="45"/>
        <v>10</v>
      </c>
      <c r="AQ76" s="102">
        <f>SUMPRODUCT(LEN(E76)-LEN(SUBSTITUTE(E76,{"!","¡","?","¿",":",",",".","%","·","-",";"},"")))</f>
        <v>3</v>
      </c>
      <c r="AR76" s="102" t="str">
        <f t="shared" si="46"/>
        <v>No</v>
      </c>
      <c r="AS76" s="102" t="str">
        <f t="shared" si="47"/>
        <v>No</v>
      </c>
      <c r="AT76" s="102" t="str">
        <f>IF(SUMPRODUCT(--ISNUMBER(FIND({"0","1","2","3","4","5","6","7","8","9"},E76)))&gt;0,"Con cifra concreta",IF(OR(ISNUMBER(FIND("?",E76)),ISNUMBER(FIND("¿",E76))),"Pregunta abierta",IF(SUMPRODUCT(--ISNUMBER(SEARCH({" hoy ","horas","tiempo limitado","antes de que","se acab","se agot","finalic","última oportunidad","oportunidad única","relámpago","express","no esperes","no volver","no parpadees"," ya ","últimas horas","últimas unidades"," ahora "},AF76)))&gt;0,"Solo urgencia, sin cifra",IF(SUMPRODUCT(--ISNUMBER(SEARCH({"recompensa","sorpresa","regalo","lealtad","detalle","gracias","pensamos en ti","para ti"},E76)))&gt;0,"Recompensa o sorpresa","Otro: beneficio o novedad"))))</f>
        <v>Otro: beneficio o novedad</v>
      </c>
    </row>
    <row r="77" spans="1:46" x14ac:dyDescent="0.2">
      <c r="A77" s="96" t="s">
        <v>929</v>
      </c>
      <c r="B77" s="96" t="s">
        <v>275</v>
      </c>
      <c r="C77" s="96" t="s">
        <v>930</v>
      </c>
      <c r="D77" s="96" t="s">
        <v>769</v>
      </c>
      <c r="E77" s="96" t="s">
        <v>465</v>
      </c>
      <c r="F77" s="96" t="s">
        <v>466</v>
      </c>
      <c r="G77" s="97">
        <v>260109</v>
      </c>
      <c r="H77" s="97">
        <v>74945</v>
      </c>
      <c r="I77" s="97">
        <v>17307</v>
      </c>
      <c r="J77" s="98">
        <v>6.41</v>
      </c>
      <c r="K77" s="98">
        <v>4.03</v>
      </c>
      <c r="L77" s="99">
        <v>32712.47</v>
      </c>
      <c r="M77" s="100">
        <f t="shared" si="24"/>
        <v>28.812920737075608</v>
      </c>
      <c r="N77" s="100">
        <f t="shared" si="25"/>
        <v>6.6537490052247321</v>
      </c>
      <c r="O77" s="100">
        <f t="shared" si="26"/>
        <v>23.092934818867171</v>
      </c>
      <c r="P77" s="100">
        <f t="shared" si="27"/>
        <v>125.76446797304209</v>
      </c>
      <c r="Q77" s="100">
        <f t="shared" si="28"/>
        <v>33.047230763392911</v>
      </c>
      <c r="R77" s="100">
        <f t="shared" si="29"/>
        <v>27.021447627328243</v>
      </c>
      <c r="S77" s="101">
        <f t="shared" si="30"/>
        <v>45947</v>
      </c>
      <c r="T77" s="102" t="str">
        <f t="shared" si="31"/>
        <v>Octubre</v>
      </c>
      <c r="U77" s="102" t="str">
        <f t="shared" si="32"/>
        <v>Viernes</v>
      </c>
      <c r="V77" s="102">
        <f t="shared" si="33"/>
        <v>13</v>
      </c>
      <c r="W77" s="102" t="str">
        <f t="shared" si="34"/>
        <v>Días después del pago</v>
      </c>
      <c r="X77" s="102">
        <f t="shared" si="35"/>
        <v>1</v>
      </c>
      <c r="Y77" s="102" t="str">
        <f t="shared" si="36"/>
        <v>No</v>
      </c>
      <c r="Z77" s="102" t="str">
        <f>CHOOSE(MATCH(B77,{"Customer Appreciation","Exclusive Offers","Flash Sale","Holiday Discounts","New Product Launch","Newsletter"},0),"Fidelizar","Vender","Vender","Vender","Lanzar","Educar")</f>
        <v>Vender</v>
      </c>
      <c r="AA77" s="102" t="str">
        <f t="shared" si="37"/>
        <v>200 a 300 mil</v>
      </c>
      <c r="AB77" s="102">
        <f>COUNTIFS($E$5:$E$493,E77,$S$5:$S$493,"&lt;"&amp;S77)+COUNTIFS($E$5:E77,E77,$S$5:S77,S77)</f>
        <v>19</v>
      </c>
      <c r="AC77" s="102">
        <f t="shared" si="38"/>
        <v>22</v>
      </c>
      <c r="AD77" s="102" t="str">
        <f t="shared" si="39"/>
        <v>Último tercio</v>
      </c>
      <c r="AE77" s="103">
        <f t="shared" si="40"/>
        <v>-4.2343100263173028</v>
      </c>
      <c r="AF77" s="102" t="str">
        <f t="shared" si="41"/>
        <v xml:space="preserve">  ofertas exclusivas  solo para nuestra comunidad vip </v>
      </c>
      <c r="AG77" s="102" t="str">
        <f t="shared" si="42"/>
        <v xml:space="preserve"> productos premium con descuentos únicos   acceso limitado  </v>
      </c>
      <c r="AH77" s="102" t="str">
        <f>IF(SUMPRODUCT(--(LEFT(IF(LEFT(LOWER(E77),1)="¡",MID(LOWER(E77),2,300),LOWER(E77)),LEN({"actualizaci","el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77" s="102" t="str">
        <f>IF(OR(SUMPRODUCT(--ISNUMBER(SEARCH({"descuento","oferta","ahorr","precio"," sale ","flash","deals"},AF77)))&gt;0,SUMPRODUCT(--ISNUMBER(SEARCH({"descuento","oferta","ahorr","precio"," sale ","flash","deals"},AG77)))&gt;0),"Sí","No")</f>
        <v>Sí</v>
      </c>
      <c r="AJ77" s="102" t="str">
        <f>IF(SUMPRODUCT(--ISNUMBER(SEARCH({" hoy ","horas","tiempo limitado","antes de que","se acab","se agot","finalic","última oportunidad","oportunidad única","relámpago","express","no esperes","no volver","no parpadees"},AF77)))&gt;0,"Sí","No")</f>
        <v>No</v>
      </c>
      <c r="AK77" s="102" t="str">
        <f>IF(SUMPRODUCT(--ISNUMBER(SEARCH({" hoy ","horas","tiempo limitado","antes de que","se acab","se agot","finalic","última oportunidad","oportunidad única","relámpago","express","no esperes","no volver","no parpadees"},AG77)))&gt;0,"Sí","No")</f>
        <v>No</v>
      </c>
      <c r="AL77" s="102" t="str">
        <f t="shared" si="43"/>
        <v>Descuento sin tiempo límite</v>
      </c>
      <c r="AM77" s="102" t="str">
        <f>IF(SUMPRODUCT(--ISNUMBER(SEARCH({"0","1","2","3","4","5","6","7","8","9","favorit","maquillaje","piel","cabello","productos","belleza","regalo"},E77)))&gt;0,"Sí","No")</f>
        <v>No</v>
      </c>
      <c r="AN77" s="102" t="str">
        <f>IF(SUMPRODUCT(--ISNUMBER(SEARCH({"lo que tenemos","estas ofertas","algo especial","ofertas únicas","que preparamos","no te quedes","echa un vistazo"},F77)))&gt;0,"Sí","No")</f>
        <v>No</v>
      </c>
      <c r="AO77" s="102">
        <f t="shared" si="44"/>
        <v>52</v>
      </c>
      <c r="AP77" s="102">
        <f t="shared" si="45"/>
        <v>7</v>
      </c>
      <c r="AQ77" s="102">
        <f>SUMPRODUCT(LEN(E77)-LEN(SUBSTITUTE(E77,{"!","¡","?","¿",":",",",".","%","·","-",";"},"")))</f>
        <v>2</v>
      </c>
      <c r="AR77" s="102" t="str">
        <f t="shared" si="46"/>
        <v>Sí</v>
      </c>
      <c r="AS77" s="102" t="str">
        <f t="shared" si="47"/>
        <v>No</v>
      </c>
      <c r="AT77" s="102" t="str">
        <f>IF(SUMPRODUCT(--ISNUMBER(FIND({"0","1","2","3","4","5","6","7","8","9"},E77)))&gt;0,"Con cifra concreta",IF(OR(ISNUMBER(FIND("?",E77)),ISNUMBER(FIND("¿",E77))),"Pregunta abierta",IF(SUMPRODUCT(--ISNUMBER(SEARCH({" hoy ","horas","tiempo limitado","antes de que","se acab","se agot","finalic","última oportunidad","oportunidad única","relámpago","express","no esperes","no volver","no parpadees"," ya ","últimas horas","últimas unidades"," ahora "},AF77)))&gt;0,"Solo urgencia, sin cifra",IF(SUMPRODUCT(--ISNUMBER(SEARCH({"recompensa","sorpresa","regalo","lealtad","detalle","gracias","pensamos en ti","para ti"},E77)))&gt;0,"Recompensa o sorpresa","Otro: beneficio o novedad"))))</f>
        <v>Otro: beneficio o novedad</v>
      </c>
    </row>
    <row r="78" spans="1:46" x14ac:dyDescent="0.2">
      <c r="A78" s="104" t="s">
        <v>931</v>
      </c>
      <c r="B78" s="104" t="s">
        <v>278</v>
      </c>
      <c r="C78" s="104" t="s">
        <v>932</v>
      </c>
      <c r="D78" s="104" t="s">
        <v>774</v>
      </c>
      <c r="E78" s="104" t="s">
        <v>368</v>
      </c>
      <c r="F78" s="104" t="s">
        <v>471</v>
      </c>
      <c r="G78" s="105">
        <v>412590</v>
      </c>
      <c r="H78" s="105">
        <v>127718</v>
      </c>
      <c r="I78" s="105">
        <v>57199</v>
      </c>
      <c r="J78" s="106">
        <v>5.76</v>
      </c>
      <c r="K78" s="106">
        <v>2.77</v>
      </c>
      <c r="L78" s="107">
        <v>62074.52</v>
      </c>
      <c r="M78" s="108">
        <f t="shared" si="24"/>
        <v>30.955185535277153</v>
      </c>
      <c r="N78" s="108">
        <f t="shared" si="25"/>
        <v>13.863399500714996</v>
      </c>
      <c r="O78" s="108">
        <f t="shared" si="26"/>
        <v>44.785386554753444</v>
      </c>
      <c r="P78" s="108">
        <f t="shared" si="27"/>
        <v>150.45085920647617</v>
      </c>
      <c r="Q78" s="108">
        <f t="shared" si="28"/>
        <v>23.315840784070005</v>
      </c>
      <c r="R78" s="108">
        <f t="shared" si="29"/>
        <v>29.458247936272421</v>
      </c>
      <c r="S78" s="101">
        <f t="shared" si="30"/>
        <v>45919</v>
      </c>
      <c r="T78" s="102" t="str">
        <f t="shared" si="31"/>
        <v>Septiembre</v>
      </c>
      <c r="U78" s="102" t="str">
        <f t="shared" si="32"/>
        <v>Viernes</v>
      </c>
      <c r="V78" s="102">
        <f t="shared" si="33"/>
        <v>11</v>
      </c>
      <c r="W78" s="102" t="str">
        <f t="shared" si="34"/>
        <v>Días después del pago</v>
      </c>
      <c r="X78" s="102">
        <f t="shared" si="35"/>
        <v>1</v>
      </c>
      <c r="Y78" s="102" t="str">
        <f t="shared" si="36"/>
        <v>No</v>
      </c>
      <c r="Z78" s="102" t="str">
        <f>CHOOSE(MATCH(B78,{"Customer Appreciation","Exclusive Offers","Flash Sale","Holiday Discounts","New Product Launch","Newsletter"},0),"Fidelizar","Vender","Vender","Vender","Lanzar","Educar")</f>
        <v>Lanzar</v>
      </c>
      <c r="AA78" s="102" t="str">
        <f t="shared" si="37"/>
        <v>Más de 400 mil</v>
      </c>
      <c r="AB78" s="102">
        <f>COUNTIFS($E$5:$E$493,E78,$S$5:$S$493,"&lt;"&amp;S78)+COUNTIFS($E$5:E78,E78,$S$5:S78,S78)</f>
        <v>20</v>
      </c>
      <c r="AC78" s="102">
        <f t="shared" si="38"/>
        <v>33</v>
      </c>
      <c r="AD78" s="102" t="str">
        <f t="shared" si="39"/>
        <v>Medio</v>
      </c>
      <c r="AE78" s="103">
        <f t="shared" si="40"/>
        <v>7.6393447512071475</v>
      </c>
      <c r="AF78" s="102" t="str">
        <f t="shared" si="41"/>
        <v xml:space="preserve"> presentamos  nuestro último lanzamiento de belleza  imperdible  </v>
      </c>
      <c r="AG78" s="102" t="str">
        <f t="shared" si="42"/>
        <v xml:space="preserve"> una innovación que cambiará tu rutina   sé de los primeros  </v>
      </c>
      <c r="AH78" s="102" t="str">
        <f>IF(SUMPRODUCT(--(LEFT(IF(LEFT(LOWER(E78),1)="¡",MID(LOWER(E78),2,300),LOWER(E78)),LEN({"actualizaci","el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Sí</v>
      </c>
      <c r="AI78" s="102" t="str">
        <f>IF(OR(SUMPRODUCT(--ISNUMBER(SEARCH({"descuento","oferta","ahorr","precio"," sale ","flash","deals"},AF78)))&gt;0,SUMPRODUCT(--ISNUMBER(SEARCH({"descuento","oferta","ahorr","precio"," sale ","flash","deals"},AG78)))&gt;0),"Sí","No")</f>
        <v>No</v>
      </c>
      <c r="AJ78" s="102" t="str">
        <f>IF(SUMPRODUCT(--ISNUMBER(SEARCH({" hoy ","horas","tiempo limitado","antes de que","se acab","se agot","finalic","última oportunidad","oportunidad única","relámpago","express","no esperes","no volver","no parpadees"},AF78)))&gt;0,"Sí","No")</f>
        <v>No</v>
      </c>
      <c r="AK78" s="102" t="str">
        <f>IF(SUMPRODUCT(--ISNUMBER(SEARCH({" hoy ","horas","tiempo limitado","antes de que","se acab","se agot","finalic","última oportunidad","oportunidad única","relámpago","express","no esperes","no volver","no parpadees"},AG78)))&gt;0,"Sí","No")</f>
        <v>No</v>
      </c>
      <c r="AL78" s="102" t="str">
        <f t="shared" si="43"/>
        <v>Sin descuento</v>
      </c>
      <c r="AM78" s="102" t="str">
        <f>IF(SUMPRODUCT(--ISNUMBER(SEARCH({"0","1","2","3","4","5","6","7","8","9","favorit","maquillaje","piel","cabello","productos","belleza","regalo"},E78)))&gt;0,"Sí","No")</f>
        <v>Sí</v>
      </c>
      <c r="AN78" s="102" t="str">
        <f>IF(SUMPRODUCT(--ISNUMBER(SEARCH({"lo que tenemos","estas ofertas","algo especial","ofertas únicas","que preparamos","no te quedes","echa un vistazo"},F78)))&gt;0,"Sí","No")</f>
        <v>No</v>
      </c>
      <c r="AO78" s="102">
        <f t="shared" si="44"/>
        <v>63</v>
      </c>
      <c r="AP78" s="102">
        <f t="shared" si="45"/>
        <v>7</v>
      </c>
      <c r="AQ78" s="102">
        <f>SUMPRODUCT(LEN(E78)-LEN(SUBSTITUTE(E78,{"!","¡","?","¿",":",",",".","%","·","-",";"},"")))</f>
        <v>3</v>
      </c>
      <c r="AR78" s="102" t="str">
        <f t="shared" si="46"/>
        <v>No</v>
      </c>
      <c r="AS78" s="102" t="str">
        <f t="shared" si="47"/>
        <v>No</v>
      </c>
      <c r="AT78" s="102" t="str">
        <f>IF(SUMPRODUCT(--ISNUMBER(FIND({"0","1","2","3","4","5","6","7","8","9"},E78)))&gt;0,"Con cifra concreta",IF(OR(ISNUMBER(FIND("?",E78)),ISNUMBER(FIND("¿",E78))),"Pregunta abierta",IF(SUMPRODUCT(--ISNUMBER(SEARCH({" hoy ","horas","tiempo limitado","antes de que","se acab","se agot","finalic","última oportunidad","oportunidad única","relámpago","express","no esperes","no volver","no parpadees"," ya ","últimas horas","últimas unidades"," ahora "},AF78)))&gt;0,"Solo urgencia, sin cifra",IF(SUMPRODUCT(--ISNUMBER(SEARCH({"recompensa","sorpresa","regalo","lealtad","detalle","gracias","pensamos en ti","para ti"},E78)))&gt;0,"Recompensa o sorpresa","Otro: beneficio o novedad"))))</f>
        <v>Otro: beneficio o novedad</v>
      </c>
    </row>
    <row r="79" spans="1:46" x14ac:dyDescent="0.2">
      <c r="A79" s="96" t="s">
        <v>933</v>
      </c>
      <c r="B79" s="96" t="s">
        <v>274</v>
      </c>
      <c r="C79" s="96" t="s">
        <v>811</v>
      </c>
      <c r="D79" s="96" t="s">
        <v>729</v>
      </c>
      <c r="E79" s="96" t="s">
        <v>371</v>
      </c>
      <c r="F79" s="96" t="s">
        <v>452</v>
      </c>
      <c r="G79" s="97">
        <v>426310</v>
      </c>
      <c r="H79" s="97">
        <v>160000</v>
      </c>
      <c r="I79" s="97">
        <v>24299</v>
      </c>
      <c r="J79" s="98">
        <v>7.91</v>
      </c>
      <c r="K79" s="98">
        <v>2.73</v>
      </c>
      <c r="L79" s="99">
        <v>56237.78</v>
      </c>
      <c r="M79" s="100">
        <f t="shared" si="24"/>
        <v>37.531373882855199</v>
      </c>
      <c r="N79" s="100">
        <f t="shared" si="25"/>
        <v>5.6998428373718655</v>
      </c>
      <c r="O79" s="100">
        <f t="shared" si="26"/>
        <v>15.186875000000001</v>
      </c>
      <c r="P79" s="100">
        <f t="shared" si="27"/>
        <v>131.91757172010978</v>
      </c>
      <c r="Q79" s="100">
        <f t="shared" si="28"/>
        <v>40.72142758959253</v>
      </c>
      <c r="R79" s="100">
        <f t="shared" si="29"/>
        <v>31.113650744455075</v>
      </c>
      <c r="S79" s="101">
        <f t="shared" si="30"/>
        <v>45876</v>
      </c>
      <c r="T79" s="102" t="str">
        <f t="shared" si="31"/>
        <v>Agosto</v>
      </c>
      <c r="U79" s="102" t="str">
        <f t="shared" si="32"/>
        <v>Jueves</v>
      </c>
      <c r="V79" s="102">
        <f t="shared" si="33"/>
        <v>10</v>
      </c>
      <c r="W79" s="102" t="str">
        <f t="shared" si="34"/>
        <v>Resto del mes</v>
      </c>
      <c r="X79" s="102">
        <f t="shared" si="35"/>
        <v>2</v>
      </c>
      <c r="Y79" s="102" t="str">
        <f t="shared" si="36"/>
        <v>No</v>
      </c>
      <c r="Z79" s="102" t="str">
        <f>CHOOSE(MATCH(B79,{"Customer Appreciation","Exclusive Offers","Flash Sale","Holiday Discounts","New Product Launch","Newsletter"},0),"Fidelizar","Vender","Vender","Vender","Lanzar","Educar")</f>
        <v>Fidelizar</v>
      </c>
      <c r="AA79" s="102" t="str">
        <f t="shared" si="37"/>
        <v>Más de 400 mil</v>
      </c>
      <c r="AB79" s="102">
        <f>COUNTIFS($E$5:$E$493,E79,$S$5:$S$493,"&lt;"&amp;S79)+COUNTIFS($E$5:E79,E79,$S$5:S79,S79)</f>
        <v>1</v>
      </c>
      <c r="AC79" s="102">
        <f t="shared" si="38"/>
        <v>16</v>
      </c>
      <c r="AD79" s="102" t="str">
        <f t="shared" si="39"/>
        <v>Primer tercio</v>
      </c>
      <c r="AE79" s="103">
        <f t="shared" si="40"/>
        <v>-3.1900537067373307</v>
      </c>
      <c r="AF79" s="102" t="str">
        <f t="shared" si="41"/>
        <v xml:space="preserve">  tu lealtad tiene recompensa  descúbrela  sorpresas para ti </v>
      </c>
      <c r="AG79" s="102" t="str">
        <f t="shared" si="42"/>
        <v xml:space="preserve"> ofertas exclusivas para nuestros clientes más especiales   no te las pierdas  </v>
      </c>
      <c r="AH79" s="102" t="str">
        <f>IF(SUMPRODUCT(--(LEFT(IF(LEFT(LOWER(E79),1)="¡",MID(LOWER(E79),2,300),LOWER(E79)),LEN({"actualizaci","el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79" s="102" t="str">
        <f>IF(OR(SUMPRODUCT(--ISNUMBER(SEARCH({"descuento","oferta","ahorr","precio"," sale ","flash","deals"},AF79)))&gt;0,SUMPRODUCT(--ISNUMBER(SEARCH({"descuento","oferta","ahorr","precio"," sale ","flash","deals"},AG79)))&gt;0),"Sí","No")</f>
        <v>Sí</v>
      </c>
      <c r="AJ79" s="102" t="str">
        <f>IF(SUMPRODUCT(--ISNUMBER(SEARCH({" hoy ","horas","tiempo limitado","antes de que","se acab","se agot","finalic","última oportunidad","oportunidad única","relámpago","express","no esperes","no volver","no parpadees"},AF79)))&gt;0,"Sí","No")</f>
        <v>No</v>
      </c>
      <c r="AK79" s="102" t="str">
        <f>IF(SUMPRODUCT(--ISNUMBER(SEARCH({" hoy ","horas","tiempo limitado","antes de que","se acab","se agot","finalic","última oportunidad","oportunidad única","relámpago","express","no esperes","no volver","no parpadees"},AG79)))&gt;0,"Sí","No")</f>
        <v>No</v>
      </c>
      <c r="AL79" s="102" t="str">
        <f t="shared" si="43"/>
        <v>Descuento sin tiempo límite</v>
      </c>
      <c r="AM79" s="102" t="str">
        <f>IF(SUMPRODUCT(--ISNUMBER(SEARCH({"0","1","2","3","4","5","6","7","8","9","favorit","maquillaje","piel","cabello","productos","belleza","regalo"},E79)))&gt;0,"Sí","No")</f>
        <v>No</v>
      </c>
      <c r="AN79" s="102" t="str">
        <f>IF(SUMPRODUCT(--ISNUMBER(SEARCH({"lo que tenemos","estas ofertas","algo especial","ofertas únicas","que preparamos","no te quedes","echa un vistazo"},F79)))&gt;0,"Sí","No")</f>
        <v>No</v>
      </c>
      <c r="AO79" s="102">
        <f t="shared" si="44"/>
        <v>59</v>
      </c>
      <c r="AP79" s="102">
        <f t="shared" si="45"/>
        <v>8</v>
      </c>
      <c r="AQ79" s="102">
        <f>SUMPRODUCT(LEN(E79)-LEN(SUBSTITUTE(E79,{"!","¡","?","¿",":",",",".","%","·","-",";"},"")))</f>
        <v>3</v>
      </c>
      <c r="AR79" s="102" t="str">
        <f t="shared" si="46"/>
        <v>Sí</v>
      </c>
      <c r="AS79" s="102" t="str">
        <f t="shared" si="47"/>
        <v>No</v>
      </c>
      <c r="AT79" s="102" t="str">
        <f>IF(SUMPRODUCT(--ISNUMBER(FIND({"0","1","2","3","4","5","6","7","8","9"},E79)))&gt;0,"Con cifra concreta",IF(OR(ISNUMBER(FIND("?",E79)),ISNUMBER(FIND("¿",E79))),"Pregunta abierta",IF(SUMPRODUCT(--ISNUMBER(SEARCH({" hoy ","horas","tiempo limitado","antes de que","se acab","se agot","finalic","última oportunidad","oportunidad única","relámpago","express","no esperes","no volver","no parpadees"," ya ","últimas horas","últimas unidades"," ahora "},AF79)))&gt;0,"Solo urgencia, sin cifra",IF(SUMPRODUCT(--ISNUMBER(SEARCH({"recompensa","sorpresa","regalo","lealtad","detalle","gracias","pensamos en ti","para ti"},E79)))&gt;0,"Recompensa o sorpresa","Otro: beneficio o novedad"))))</f>
        <v>Recompensa o sorpresa</v>
      </c>
    </row>
    <row r="80" spans="1:46" x14ac:dyDescent="0.2">
      <c r="A80" s="104" t="s">
        <v>934</v>
      </c>
      <c r="B80" s="104" t="s">
        <v>279</v>
      </c>
      <c r="C80" s="104" t="s">
        <v>728</v>
      </c>
      <c r="D80" s="104" t="s">
        <v>743</v>
      </c>
      <c r="E80" s="104" t="s">
        <v>910</v>
      </c>
      <c r="F80" s="104" t="s">
        <v>911</v>
      </c>
      <c r="G80" s="105">
        <v>13220</v>
      </c>
      <c r="H80" s="105">
        <v>3736</v>
      </c>
      <c r="I80" s="105">
        <v>2070</v>
      </c>
      <c r="J80" s="106">
        <v>6.41</v>
      </c>
      <c r="K80" s="106">
        <v>2.2799999999999998</v>
      </c>
      <c r="L80" s="107">
        <v>72855.850000000006</v>
      </c>
      <c r="M80" s="108">
        <f t="shared" si="24"/>
        <v>28.260211800302571</v>
      </c>
      <c r="N80" s="108">
        <f t="shared" si="25"/>
        <v>15.658093797276853</v>
      </c>
      <c r="O80" s="108">
        <f t="shared" si="26"/>
        <v>55.406852248394003</v>
      </c>
      <c r="P80" s="108">
        <f t="shared" si="27"/>
        <v>5511.0325264750381</v>
      </c>
      <c r="Q80" s="108">
        <f t="shared" si="28"/>
        <v>15.145242573985856</v>
      </c>
      <c r="R80" s="108">
        <f t="shared" si="29"/>
        <v>27.75136451093497</v>
      </c>
      <c r="S80" s="101">
        <f t="shared" si="30"/>
        <v>45952</v>
      </c>
      <c r="T80" s="102" t="str">
        <f t="shared" si="31"/>
        <v>Octubre</v>
      </c>
      <c r="U80" s="102" t="str">
        <f t="shared" si="32"/>
        <v>Miércoles</v>
      </c>
      <c r="V80" s="102">
        <f t="shared" si="33"/>
        <v>8</v>
      </c>
      <c r="W80" s="102" t="str">
        <f t="shared" si="34"/>
        <v>Resto del mes</v>
      </c>
      <c r="X80" s="102">
        <f t="shared" si="35"/>
        <v>2</v>
      </c>
      <c r="Y80" s="102" t="str">
        <f t="shared" si="36"/>
        <v>No</v>
      </c>
      <c r="Z80" s="102" t="str">
        <f>CHOOSE(MATCH(B80,{"Customer Appreciation","Exclusive Offers","Flash Sale","Holiday Discounts","New Product Launch","Newsletter"},0),"Fidelizar","Vender","Vender","Vender","Lanzar","Educar")</f>
        <v>Educar</v>
      </c>
      <c r="AA80" s="102" t="str">
        <f t="shared" si="37"/>
        <v>Menos de 100 mil</v>
      </c>
      <c r="AB80" s="102">
        <f>COUNTIFS($E$5:$E$493,E80,$S$5:$S$493,"&lt;"&amp;S80)+COUNTIFS($E$5:E80,E80,$S$5:S80,S80)</f>
        <v>2</v>
      </c>
      <c r="AC80" s="102">
        <f t="shared" si="38"/>
        <v>3</v>
      </c>
      <c r="AD80" s="102" t="str">
        <f t="shared" si="39"/>
        <v/>
      </c>
      <c r="AE80" s="103">
        <f t="shared" si="40"/>
        <v>13.114969226316715</v>
      </c>
      <c r="AF80" s="102" t="str">
        <f t="shared" si="41"/>
        <v xml:space="preserve"> el resumen semanal de l'oréal  novedades beauty </v>
      </c>
      <c r="AG80" s="102" t="str">
        <f t="shared" si="42"/>
        <v xml:space="preserve"> no te pierdas las últimas noticias y tendencias   lee más  </v>
      </c>
      <c r="AH80" s="102" t="str">
        <f>IF(SUMPRODUCT(--(LEFT(IF(LEFT(LOWER(E80),1)="¡",MID(LOWER(E80),2,300),LOWER(E80)),LEN({"actualizaci","el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Sí</v>
      </c>
      <c r="AI80" s="102" t="str">
        <f>IF(OR(SUMPRODUCT(--ISNUMBER(SEARCH({"descuento","oferta","ahorr","precio"," sale ","flash","deals"},AF80)))&gt;0,SUMPRODUCT(--ISNUMBER(SEARCH({"descuento","oferta","ahorr","precio"," sale ","flash","deals"},AG80)))&gt;0),"Sí","No")</f>
        <v>No</v>
      </c>
      <c r="AJ80" s="102" t="str">
        <f>IF(SUMPRODUCT(--ISNUMBER(SEARCH({" hoy ","horas","tiempo limitado","antes de que","se acab","se agot","finalic","última oportunidad","oportunidad única","relámpago","express","no esperes","no volver","no parpadees"},AF80)))&gt;0,"Sí","No")</f>
        <v>No</v>
      </c>
      <c r="AK80" s="102" t="str">
        <f>IF(SUMPRODUCT(--ISNUMBER(SEARCH({" hoy ","horas","tiempo limitado","antes de que","se acab","se agot","finalic","última oportunidad","oportunidad única","relámpago","express","no esperes","no volver","no parpadees"},AG80)))&gt;0,"Sí","No")</f>
        <v>No</v>
      </c>
      <c r="AL80" s="102" t="str">
        <f t="shared" si="43"/>
        <v>Sin descuento</v>
      </c>
      <c r="AM80" s="102" t="str">
        <f>IF(SUMPRODUCT(--ISNUMBER(SEARCH({"0","1","2","3","4","5","6","7","8","9","favorit","maquillaje","piel","cabello","productos","belleza","regalo"},E80)))&gt;0,"Sí","No")</f>
        <v>No</v>
      </c>
      <c r="AN80" s="102" t="str">
        <f>IF(SUMPRODUCT(--ISNUMBER(SEARCH({"lo que tenemos","estas ofertas","algo especial","ofertas únicas","que preparamos","no te quedes","echa un vistazo"},F80)))&gt;0,"Sí","No")</f>
        <v>No</v>
      </c>
      <c r="AO80" s="102">
        <f t="shared" si="44"/>
        <v>47</v>
      </c>
      <c r="AP80" s="102">
        <f t="shared" si="45"/>
        <v>7</v>
      </c>
      <c r="AQ80" s="102">
        <f>SUMPRODUCT(LEN(E80)-LEN(SUBSTITUTE(E80,{"!","¡","?","¿",":",",",".","%","·","-",";"},"")))</f>
        <v>1</v>
      </c>
      <c r="AR80" s="102" t="str">
        <f t="shared" si="46"/>
        <v>Sí</v>
      </c>
      <c r="AS80" s="102" t="str">
        <f t="shared" si="47"/>
        <v>No</v>
      </c>
      <c r="AT80" s="102" t="str">
        <f>IF(SUMPRODUCT(--ISNUMBER(FIND({"0","1","2","3","4","5","6","7","8","9"},E80)))&gt;0,"Con cifra concreta",IF(OR(ISNUMBER(FIND("?",E80)),ISNUMBER(FIND("¿",E80))),"Pregunta abierta",IF(SUMPRODUCT(--ISNUMBER(SEARCH({" hoy ","horas","tiempo limitado","antes de que","se acab","se agot","finalic","última oportunidad","oportunidad única","relámpago","express","no esperes","no volver","no parpadees"," ya ","últimas horas","últimas unidades"," ahora "},AF80)))&gt;0,"Solo urgencia, sin cifra",IF(SUMPRODUCT(--ISNUMBER(SEARCH({"recompensa","sorpresa","regalo","lealtad","detalle","gracias","pensamos en ti","para ti"},E80)))&gt;0,"Recompensa o sorpresa","Otro: beneficio o novedad"))))</f>
        <v>Otro: beneficio o novedad</v>
      </c>
    </row>
    <row r="81" spans="1:46" x14ac:dyDescent="0.2">
      <c r="A81" s="96" t="s">
        <v>935</v>
      </c>
      <c r="B81" s="96" t="s">
        <v>277</v>
      </c>
      <c r="C81" s="96" t="s">
        <v>936</v>
      </c>
      <c r="D81" s="96" t="s">
        <v>746</v>
      </c>
      <c r="E81" s="96" t="s">
        <v>896</v>
      </c>
      <c r="F81" s="96" t="s">
        <v>470</v>
      </c>
      <c r="G81" s="97">
        <v>149589</v>
      </c>
      <c r="H81" s="97">
        <v>36894</v>
      </c>
      <c r="I81" s="97">
        <v>6093</v>
      </c>
      <c r="J81" s="98">
        <v>0.54</v>
      </c>
      <c r="K81" s="98">
        <v>3.8</v>
      </c>
      <c r="L81" s="99">
        <v>82876.23</v>
      </c>
      <c r="M81" s="100">
        <f t="shared" si="24"/>
        <v>24.663578204279727</v>
      </c>
      <c r="N81" s="100">
        <f t="shared" si="25"/>
        <v>4.0731604596594666</v>
      </c>
      <c r="O81" s="100">
        <f t="shared" si="26"/>
        <v>16.51488046836884</v>
      </c>
      <c r="P81" s="100">
        <f t="shared" si="27"/>
        <v>554.02623187533834</v>
      </c>
      <c r="Q81" s="100">
        <f t="shared" si="28"/>
        <v>19.100010084099871</v>
      </c>
      <c r="R81" s="100">
        <f t="shared" si="29"/>
        <v>30.71114383300629</v>
      </c>
      <c r="S81" s="101">
        <f t="shared" si="30"/>
        <v>45913</v>
      </c>
      <c r="T81" s="102" t="str">
        <f t="shared" si="31"/>
        <v>Septiembre</v>
      </c>
      <c r="U81" s="102" t="str">
        <f t="shared" si="32"/>
        <v>Sábado</v>
      </c>
      <c r="V81" s="102">
        <f t="shared" si="33"/>
        <v>14</v>
      </c>
      <c r="W81" s="102" t="str">
        <f t="shared" si="34"/>
        <v>Resto del mes</v>
      </c>
      <c r="X81" s="102">
        <f t="shared" si="35"/>
        <v>1</v>
      </c>
      <c r="Y81" s="102" t="str">
        <f t="shared" si="36"/>
        <v>No</v>
      </c>
      <c r="Z81" s="102" t="str">
        <f>CHOOSE(MATCH(B81,{"Customer Appreciation","Exclusive Offers","Flash Sale","Holiday Discounts","New Product Launch","Newsletter"},0),"Fidelizar","Vender","Vender","Vender","Lanzar","Educar")</f>
        <v>Vender</v>
      </c>
      <c r="AA81" s="102" t="str">
        <f t="shared" si="37"/>
        <v>100 a 200 mil</v>
      </c>
      <c r="AB81" s="102">
        <f>COUNTIFS($E$5:$E$493,E81,$S$5:$S$493,"&lt;"&amp;S81)+COUNTIFS($E$5:E81,E81,$S$5:S81,S81)</f>
        <v>4</v>
      </c>
      <c r="AC81" s="102">
        <f t="shared" si="38"/>
        <v>5</v>
      </c>
      <c r="AD81" s="102" t="str">
        <f t="shared" si="39"/>
        <v/>
      </c>
      <c r="AE81" s="103">
        <f t="shared" si="40"/>
        <v>5.5635681201798555</v>
      </c>
      <c r="AF81" s="102" t="str">
        <f t="shared" si="41"/>
        <v xml:space="preserve">  es hora de celebrar  descuentos festivos  l'oréal para ti </v>
      </c>
      <c r="AG81" s="102" t="str">
        <f t="shared" si="42"/>
        <v xml:space="preserve"> regalos perfectos y ofertas que te encantarán   descubre más  </v>
      </c>
      <c r="AH81" s="102" t="str">
        <f>IF(SUMPRODUCT(--(LEFT(IF(LEFT(LOWER(E81),1)="¡",MID(LOWER(E81),2,300),LOWER(E81)),LEN({"actualizaci","el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Sí</v>
      </c>
      <c r="AI81" s="102" t="str">
        <f>IF(OR(SUMPRODUCT(--ISNUMBER(SEARCH({"descuento","oferta","ahorr","precio"," sale ","flash","deals"},AF81)))&gt;0,SUMPRODUCT(--ISNUMBER(SEARCH({"descuento","oferta","ahorr","precio"," sale ","flash","deals"},AG81)))&gt;0),"Sí","No")</f>
        <v>Sí</v>
      </c>
      <c r="AJ81" s="102" t="str">
        <f>IF(SUMPRODUCT(--ISNUMBER(SEARCH({" hoy ","horas","tiempo limitado","antes de que","se acab","se agot","finalic","última oportunidad","oportunidad única","relámpago","express","no esperes","no volver","no parpadees"},AF81)))&gt;0,"Sí","No")</f>
        <v>No</v>
      </c>
      <c r="AK81" s="102" t="str">
        <f>IF(SUMPRODUCT(--ISNUMBER(SEARCH({" hoy ","horas","tiempo limitado","antes de que","se acab","se agot","finalic","última oportunidad","oportunidad única","relámpago","express","no esperes","no volver","no parpadees"},AG81)))&gt;0,"Sí","No")</f>
        <v>No</v>
      </c>
      <c r="AL81" s="102" t="str">
        <f t="shared" si="43"/>
        <v>Descuento sin tiempo límite</v>
      </c>
      <c r="AM81" s="102" t="str">
        <f>IF(SUMPRODUCT(--ISNUMBER(SEARCH({"0","1","2","3","4","5","6","7","8","9","favorit","maquillaje","piel","cabello","productos","belleza","regalo"},E81)))&gt;0,"Sí","No")</f>
        <v>No</v>
      </c>
      <c r="AN81" s="102" t="str">
        <f>IF(SUMPRODUCT(--ISNUMBER(SEARCH({"lo que tenemos","estas ofertas","algo especial","ofertas únicas","que preparamos","no te quedes","echa un vistazo"},F81)))&gt;0,"Sí","No")</f>
        <v>No</v>
      </c>
      <c r="AO81" s="102">
        <f t="shared" si="44"/>
        <v>58</v>
      </c>
      <c r="AP81" s="102">
        <f t="shared" si="45"/>
        <v>9</v>
      </c>
      <c r="AQ81" s="102">
        <f>SUMPRODUCT(LEN(E81)-LEN(SUBSTITUTE(E81,{"!","¡","?","¿",":",",",".","%","·","-",";"},"")))</f>
        <v>3</v>
      </c>
      <c r="AR81" s="102" t="str">
        <f t="shared" si="46"/>
        <v>Sí</v>
      </c>
      <c r="AS81" s="102" t="str">
        <f t="shared" si="47"/>
        <v>No</v>
      </c>
      <c r="AT81" s="102" t="str">
        <f>IF(SUMPRODUCT(--ISNUMBER(FIND({"0","1","2","3","4","5","6","7","8","9"},E81)))&gt;0,"Con cifra concreta",IF(OR(ISNUMBER(FIND("?",E81)),ISNUMBER(FIND("¿",E81))),"Pregunta abierta",IF(SUMPRODUCT(--ISNUMBER(SEARCH({" hoy ","horas","tiempo limitado","antes de que","se acab","se agot","finalic","última oportunidad","oportunidad única","relámpago","express","no esperes","no volver","no parpadees"," ya ","últimas horas","últimas unidades"," ahora "},AF81)))&gt;0,"Solo urgencia, sin cifra",IF(SUMPRODUCT(--ISNUMBER(SEARCH({"recompensa","sorpresa","regalo","lealtad","detalle","gracias","pensamos en ti","para ti"},E81)))&gt;0,"Recompensa o sorpresa","Otro: beneficio o novedad"))))</f>
        <v>Recompensa o sorpresa</v>
      </c>
    </row>
    <row r="82" spans="1:46" x14ac:dyDescent="0.2">
      <c r="A82" s="104" t="s">
        <v>937</v>
      </c>
      <c r="B82" s="104" t="s">
        <v>277</v>
      </c>
      <c r="C82" s="104" t="s">
        <v>938</v>
      </c>
      <c r="D82" s="104" t="s">
        <v>756</v>
      </c>
      <c r="E82" s="104" t="s">
        <v>797</v>
      </c>
      <c r="F82" s="104" t="s">
        <v>460</v>
      </c>
      <c r="G82" s="105">
        <v>386930</v>
      </c>
      <c r="H82" s="105">
        <v>111537</v>
      </c>
      <c r="I82" s="105">
        <v>48106</v>
      </c>
      <c r="J82" s="106">
        <v>8.91</v>
      </c>
      <c r="K82" s="106">
        <v>0.11</v>
      </c>
      <c r="L82" s="107">
        <v>7899.25</v>
      </c>
      <c r="M82" s="108">
        <f t="shared" si="24"/>
        <v>28.826144263820332</v>
      </c>
      <c r="N82" s="108">
        <f t="shared" si="25"/>
        <v>12.432739772051793</v>
      </c>
      <c r="O82" s="108">
        <f t="shared" si="26"/>
        <v>43.130082394183091</v>
      </c>
      <c r="P82" s="108">
        <f t="shared" si="27"/>
        <v>20.415191378285478</v>
      </c>
      <c r="Q82" s="108">
        <f t="shared" si="28"/>
        <v>34.834213314430471</v>
      </c>
      <c r="R82" s="108">
        <f t="shared" si="29"/>
        <v>30.71114383300629</v>
      </c>
      <c r="S82" s="101">
        <f t="shared" si="30"/>
        <v>45936</v>
      </c>
      <c r="T82" s="102" t="str">
        <f t="shared" si="31"/>
        <v>Octubre</v>
      </c>
      <c r="U82" s="102" t="str">
        <f t="shared" si="32"/>
        <v>Lunes</v>
      </c>
      <c r="V82" s="102">
        <f t="shared" si="33"/>
        <v>12</v>
      </c>
      <c r="W82" s="102" t="str">
        <f t="shared" si="34"/>
        <v>Resto del mes</v>
      </c>
      <c r="X82" s="102">
        <f t="shared" si="35"/>
        <v>2</v>
      </c>
      <c r="Y82" s="102" t="str">
        <f t="shared" si="36"/>
        <v>No</v>
      </c>
      <c r="Z82" s="102" t="str">
        <f>CHOOSE(MATCH(B82,{"Customer Appreciation","Exclusive Offers","Flash Sale","Holiday Discounts","New Product Launch","Newsletter"},0),"Fidelizar","Vender","Vender","Vender","Lanzar","Educar")</f>
        <v>Vender</v>
      </c>
      <c r="AA82" s="102" t="str">
        <f t="shared" si="37"/>
        <v>300 a 400 mil</v>
      </c>
      <c r="AB82" s="102">
        <f>COUNTIFS($E$5:$E$493,E82,$S$5:$S$493,"&lt;"&amp;S82)+COUNTIFS($E$5:E82,E82,$S$5:S82,S82)</f>
        <v>2</v>
      </c>
      <c r="AC82" s="102">
        <f t="shared" si="38"/>
        <v>2</v>
      </c>
      <c r="AD82" s="102" t="str">
        <f t="shared" si="39"/>
        <v/>
      </c>
      <c r="AE82" s="103">
        <f t="shared" si="40"/>
        <v>-6.0080690506101391</v>
      </c>
      <c r="AF82" s="102" t="str">
        <f t="shared" si="41"/>
        <v xml:space="preserve">  aprovecha los descuentos  temporada de fiestas  belleza y más </v>
      </c>
      <c r="AG82" s="102" t="str">
        <f t="shared" si="42"/>
        <v xml:space="preserve"> tus productos favoritos con precios festivos   no te los pierdas  </v>
      </c>
      <c r="AH82" s="102" t="str">
        <f>IF(SUMPRODUCT(--(LEFT(IF(LEFT(LOWER(E82),1)="¡",MID(LOWER(E82),2,300),LOWER(E82)),LEN({"actualizaci","el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82" s="102" t="str">
        <f>IF(OR(SUMPRODUCT(--ISNUMBER(SEARCH({"descuento","oferta","ahorr","precio"," sale ","flash","deals"},AF82)))&gt;0,SUMPRODUCT(--ISNUMBER(SEARCH({"descuento","oferta","ahorr","precio"," sale ","flash","deals"},AG82)))&gt;0),"Sí","No")</f>
        <v>Sí</v>
      </c>
      <c r="AJ82" s="102" t="str">
        <f>IF(SUMPRODUCT(--ISNUMBER(SEARCH({" hoy ","horas","tiempo limitado","antes de que","se acab","se agot","finalic","última oportunidad","oportunidad única","relámpago","express","no esperes","no volver","no parpadees"},AF82)))&gt;0,"Sí","No")</f>
        <v>No</v>
      </c>
      <c r="AK82" s="102" t="str">
        <f>IF(SUMPRODUCT(--ISNUMBER(SEARCH({" hoy ","horas","tiempo limitado","antes de que","se acab","se agot","finalic","última oportunidad","oportunidad única","relámpago","express","no esperes","no volver","no parpadees"},AG82)))&gt;0,"Sí","No")</f>
        <v>No</v>
      </c>
      <c r="AL82" s="102" t="str">
        <f t="shared" si="43"/>
        <v>Descuento sin tiempo límite</v>
      </c>
      <c r="AM82" s="102" t="str">
        <f>IF(SUMPRODUCT(--ISNUMBER(SEARCH({"0","1","2","3","4","5","6","7","8","9","favorit","maquillaje","piel","cabello","productos","belleza","regalo"},E82)))&gt;0,"Sí","No")</f>
        <v>Sí</v>
      </c>
      <c r="AN82" s="102" t="str">
        <f>IF(SUMPRODUCT(--ISNUMBER(SEARCH({"lo que tenemos","estas ofertas","algo especial","ofertas únicas","que preparamos","no te quedes","echa un vistazo"},F82)))&gt;0,"Sí","No")</f>
        <v>No</v>
      </c>
      <c r="AO82" s="102">
        <f t="shared" si="44"/>
        <v>62</v>
      </c>
      <c r="AP82" s="102">
        <f t="shared" si="45"/>
        <v>9</v>
      </c>
      <c r="AQ82" s="102">
        <f>SUMPRODUCT(LEN(E82)-LEN(SUBSTITUTE(E82,{"!","¡","?","¿",":",",",".","%","·","-",";"},"")))</f>
        <v>3</v>
      </c>
      <c r="AR82" s="102" t="str">
        <f t="shared" si="46"/>
        <v>No</v>
      </c>
      <c r="AS82" s="102" t="str">
        <f t="shared" si="47"/>
        <v>No</v>
      </c>
      <c r="AT82" s="102" t="str">
        <f>IF(SUMPRODUCT(--ISNUMBER(FIND({"0","1","2","3","4","5","6","7","8","9"},E82)))&gt;0,"Con cifra concreta",IF(OR(ISNUMBER(FIND("?",E82)),ISNUMBER(FIND("¿",E82))),"Pregunta abierta",IF(SUMPRODUCT(--ISNUMBER(SEARCH({" hoy ","horas","tiempo limitado","antes de que","se acab","se agot","finalic","última oportunidad","oportunidad única","relámpago","express","no esperes","no volver","no parpadees"," ya ","últimas horas","últimas unidades"," ahora "},AF82)))&gt;0,"Solo urgencia, sin cifra",IF(SUMPRODUCT(--ISNUMBER(SEARCH({"recompensa","sorpresa","regalo","lealtad","detalle","gracias","pensamos en ti","para ti"},E82)))&gt;0,"Recompensa o sorpresa","Otro: beneficio o novedad"))))</f>
        <v>Otro: beneficio o novedad</v>
      </c>
    </row>
    <row r="83" spans="1:46" x14ac:dyDescent="0.2">
      <c r="A83" s="96" t="s">
        <v>939</v>
      </c>
      <c r="B83" s="96" t="s">
        <v>276</v>
      </c>
      <c r="C83" s="96" t="s">
        <v>940</v>
      </c>
      <c r="D83" s="96" t="s">
        <v>761</v>
      </c>
      <c r="E83" s="96" t="s">
        <v>450</v>
      </c>
      <c r="F83" s="96" t="s">
        <v>451</v>
      </c>
      <c r="G83" s="97">
        <v>105197</v>
      </c>
      <c r="H83" s="97">
        <v>43199</v>
      </c>
      <c r="I83" s="97">
        <v>8616</v>
      </c>
      <c r="J83" s="98">
        <v>7.54</v>
      </c>
      <c r="K83" s="98">
        <v>2.08</v>
      </c>
      <c r="L83" s="99">
        <v>58776.63</v>
      </c>
      <c r="M83" s="100">
        <f t="shared" si="24"/>
        <v>41.064859264047456</v>
      </c>
      <c r="N83" s="100">
        <f t="shared" si="25"/>
        <v>8.1903476334876473</v>
      </c>
      <c r="O83" s="100">
        <f t="shared" si="26"/>
        <v>19.944906132086391</v>
      </c>
      <c r="P83" s="100">
        <f t="shared" si="27"/>
        <v>558.72914626842976</v>
      </c>
      <c r="Q83" s="100">
        <f t="shared" si="28"/>
        <v>41.593592985418489</v>
      </c>
      <c r="R83" s="100">
        <f t="shared" si="29"/>
        <v>29.440902453236173</v>
      </c>
      <c r="S83" s="101">
        <f t="shared" si="30"/>
        <v>45923</v>
      </c>
      <c r="T83" s="102" t="str">
        <f t="shared" si="31"/>
        <v>Septiembre</v>
      </c>
      <c r="U83" s="102" t="str">
        <f t="shared" si="32"/>
        <v>Martes</v>
      </c>
      <c r="V83" s="102">
        <f t="shared" si="33"/>
        <v>10</v>
      </c>
      <c r="W83" s="102" t="str">
        <f t="shared" si="34"/>
        <v>Resto del mes</v>
      </c>
      <c r="X83" s="102">
        <f t="shared" si="35"/>
        <v>1</v>
      </c>
      <c r="Y83" s="102" t="str">
        <f t="shared" si="36"/>
        <v>No</v>
      </c>
      <c r="Z83" s="102" t="str">
        <f>CHOOSE(MATCH(B83,{"Customer Appreciation","Exclusive Offers","Flash Sale","Holiday Discounts","New Product Launch","Newsletter"},0),"Fidelizar","Vender","Vender","Vender","Lanzar","Educar")</f>
        <v>Vender</v>
      </c>
      <c r="AA83" s="102" t="str">
        <f t="shared" si="37"/>
        <v>100 a 200 mil</v>
      </c>
      <c r="AB83" s="102">
        <f>COUNTIFS($E$5:$E$493,E83,$S$5:$S$493,"&lt;"&amp;S83)+COUNTIFS($E$5:E83,E83,$S$5:S83,S83)</f>
        <v>15</v>
      </c>
      <c r="AC83" s="102">
        <f t="shared" si="38"/>
        <v>21</v>
      </c>
      <c r="AD83" s="102" t="str">
        <f t="shared" si="39"/>
        <v>Último tercio</v>
      </c>
      <c r="AE83" s="103">
        <f t="shared" si="40"/>
        <v>-0.52873372137103303</v>
      </c>
      <c r="AF83" s="102" t="str">
        <f t="shared" si="41"/>
        <v xml:space="preserve">  ahorra ya  flash sale  hasta 50% en tus favoritos </v>
      </c>
      <c r="AG83" s="102" t="str">
        <f t="shared" si="42"/>
        <v xml:space="preserve"> edición limitada  maquillaje  cuidado de piel y más   corre  </v>
      </c>
      <c r="AH83" s="102" t="str">
        <f>IF(SUMPRODUCT(--(LEFT(IF(LEFT(LOWER(E83),1)="¡",MID(LOWER(E83),2,300),LOWER(E83)),LEN({"actualizaci","el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83" s="102" t="str">
        <f>IF(OR(SUMPRODUCT(--ISNUMBER(SEARCH({"descuento","oferta","ahorr","precio"," sale ","flash","deals"},AF83)))&gt;0,SUMPRODUCT(--ISNUMBER(SEARCH({"descuento","oferta","ahorr","precio"," sale ","flash","deals"},AG83)))&gt;0),"Sí","No")</f>
        <v>Sí</v>
      </c>
      <c r="AJ83" s="102" t="str">
        <f>IF(SUMPRODUCT(--ISNUMBER(SEARCH({" hoy ","horas","tiempo limitado","antes de que","se acab","se agot","finalic","última oportunidad","oportunidad única","relámpago","express","no esperes","no volver","no parpadees"},AF83)))&gt;0,"Sí","No")</f>
        <v>No</v>
      </c>
      <c r="AK83" s="102" t="str">
        <f>IF(SUMPRODUCT(--ISNUMBER(SEARCH({" hoy ","horas","tiempo limitado","antes de que","se acab","se agot","finalic","última oportunidad","oportunidad única","relámpago","express","no esperes","no volver","no parpadees"},AG83)))&gt;0,"Sí","No")</f>
        <v>No</v>
      </c>
      <c r="AL83" s="102" t="str">
        <f t="shared" si="43"/>
        <v>Descuento sin tiempo límite</v>
      </c>
      <c r="AM83" s="102" t="str">
        <f>IF(SUMPRODUCT(--ISNUMBER(SEARCH({"0","1","2","3","4","5","6","7","8","9","favorit","maquillaje","piel","cabello","productos","belleza","regalo"},E83)))&gt;0,"Sí","No")</f>
        <v>Sí</v>
      </c>
      <c r="AN83" s="102" t="str">
        <f>IF(SUMPRODUCT(--ISNUMBER(SEARCH({"lo que tenemos","estas ofertas","algo especial","ofertas únicas","que preparamos","no te quedes","echa un vistazo"},F83)))&gt;0,"Sí","No")</f>
        <v>No</v>
      </c>
      <c r="AO83" s="102">
        <f t="shared" si="44"/>
        <v>50</v>
      </c>
      <c r="AP83" s="102">
        <f t="shared" si="45"/>
        <v>9</v>
      </c>
      <c r="AQ83" s="102">
        <f>SUMPRODUCT(LEN(E83)-LEN(SUBSTITUTE(E83,{"!","¡","?","¿",":",",",".","%","·","-",";"},"")))</f>
        <v>4</v>
      </c>
      <c r="AR83" s="102" t="str">
        <f t="shared" si="46"/>
        <v>No</v>
      </c>
      <c r="AS83" s="102" t="str">
        <f t="shared" si="47"/>
        <v>No</v>
      </c>
      <c r="AT83" s="102" t="str">
        <f>IF(SUMPRODUCT(--ISNUMBER(FIND({"0","1","2","3","4","5","6","7","8","9"},E83)))&gt;0,"Con cifra concreta",IF(OR(ISNUMBER(FIND("?",E83)),ISNUMBER(FIND("¿",E83))),"Pregunta abierta",IF(SUMPRODUCT(--ISNUMBER(SEARCH({" hoy ","horas","tiempo limitado","antes de que","se acab","se agot","finalic","última oportunidad","oportunidad única","relámpago","express","no esperes","no volver","no parpadees"," ya ","últimas horas","últimas unidades"," ahora "},AF83)))&gt;0,"Solo urgencia, sin cifra",IF(SUMPRODUCT(--ISNUMBER(SEARCH({"recompensa","sorpresa","regalo","lealtad","detalle","gracias","pensamos en ti","para ti"},E83)))&gt;0,"Recompensa o sorpresa","Otro: beneficio o novedad"))))</f>
        <v>Con cifra concreta</v>
      </c>
    </row>
    <row r="84" spans="1:46" x14ac:dyDescent="0.2">
      <c r="A84" s="104" t="s">
        <v>941</v>
      </c>
      <c r="B84" s="104" t="s">
        <v>276</v>
      </c>
      <c r="C84" s="104" t="s">
        <v>942</v>
      </c>
      <c r="D84" s="104" t="s">
        <v>764</v>
      </c>
      <c r="E84" s="104" t="s">
        <v>906</v>
      </c>
      <c r="F84" s="104" t="s">
        <v>758</v>
      </c>
      <c r="G84" s="105">
        <v>45051</v>
      </c>
      <c r="H84" s="105">
        <v>18951</v>
      </c>
      <c r="I84" s="105">
        <v>7371</v>
      </c>
      <c r="J84" s="106">
        <v>6.91</v>
      </c>
      <c r="K84" s="106">
        <v>0.5</v>
      </c>
      <c r="L84" s="107">
        <v>812.31</v>
      </c>
      <c r="M84" s="108">
        <f t="shared" si="24"/>
        <v>42.065658919890794</v>
      </c>
      <c r="N84" s="108">
        <f t="shared" si="25"/>
        <v>16.361457015382566</v>
      </c>
      <c r="O84" s="108">
        <f t="shared" si="26"/>
        <v>38.895045116352698</v>
      </c>
      <c r="P84" s="108">
        <f t="shared" si="27"/>
        <v>18.030898315242723</v>
      </c>
      <c r="Q84" s="108">
        <f t="shared" si="28"/>
        <v>43.243161255628017</v>
      </c>
      <c r="R84" s="108">
        <f t="shared" si="29"/>
        <v>29.440902453236173</v>
      </c>
      <c r="S84" s="101">
        <f t="shared" si="30"/>
        <v>45895</v>
      </c>
      <c r="T84" s="102" t="str">
        <f t="shared" si="31"/>
        <v>Agosto</v>
      </c>
      <c r="U84" s="102" t="str">
        <f t="shared" si="32"/>
        <v>Martes</v>
      </c>
      <c r="V84" s="102">
        <f t="shared" si="33"/>
        <v>15</v>
      </c>
      <c r="W84" s="102" t="str">
        <f t="shared" si="34"/>
        <v>Resto del mes</v>
      </c>
      <c r="X84" s="102">
        <f t="shared" si="35"/>
        <v>1</v>
      </c>
      <c r="Y84" s="102" t="str">
        <f t="shared" si="36"/>
        <v>No</v>
      </c>
      <c r="Z84" s="102" t="str">
        <f>CHOOSE(MATCH(B84,{"Customer Appreciation","Exclusive Offers","Flash Sale","Holiday Discounts","New Product Launch","Newsletter"},0),"Fidelizar","Vender","Vender","Vender","Lanzar","Educar")</f>
        <v>Vender</v>
      </c>
      <c r="AA84" s="102" t="str">
        <f t="shared" si="37"/>
        <v>Menos de 100 mil</v>
      </c>
      <c r="AB84" s="102">
        <f>COUNTIFS($E$5:$E$493,E84,$S$5:$S$493,"&lt;"&amp;S84)+COUNTIFS($E$5:E84,E84,$S$5:S84,S84)</f>
        <v>1</v>
      </c>
      <c r="AC84" s="102">
        <f t="shared" si="38"/>
        <v>3</v>
      </c>
      <c r="AD84" s="102" t="str">
        <f t="shared" si="39"/>
        <v/>
      </c>
      <c r="AE84" s="103">
        <f t="shared" si="40"/>
        <v>-1.1775023357372234</v>
      </c>
      <c r="AF84" s="102" t="str">
        <f t="shared" si="41"/>
        <v xml:space="preserve"> 🔥 hot sale anticipado   precios de locura en l'oréal paris  </v>
      </c>
      <c r="AG84" s="102" t="str">
        <f t="shared" si="42"/>
        <v xml:space="preserve"> consigue tus productos soñados con descuentos exclusivos   entra ya  </v>
      </c>
      <c r="AH84" s="102" t="str">
        <f>IF(SUMPRODUCT(--(LEFT(IF(LEFT(LOWER(E84),1)="¡",MID(LOWER(E84),2,300),LOWER(E84)),LEN({"actualizaci","el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84" s="102" t="str">
        <f>IF(OR(SUMPRODUCT(--ISNUMBER(SEARCH({"descuento","oferta","ahorr","precio"," sale ","flash","deals"},AF84)))&gt;0,SUMPRODUCT(--ISNUMBER(SEARCH({"descuento","oferta","ahorr","precio"," sale ","flash","deals"},AG84)))&gt;0),"Sí","No")</f>
        <v>Sí</v>
      </c>
      <c r="AJ84" s="102" t="str">
        <f>IF(SUMPRODUCT(--ISNUMBER(SEARCH({" hoy ","horas","tiempo limitado","antes de que","se acab","se agot","finalic","última oportunidad","oportunidad única","relámpago","express","no esperes","no volver","no parpadees"},AF84)))&gt;0,"Sí","No")</f>
        <v>No</v>
      </c>
      <c r="AK84" s="102" t="str">
        <f>IF(SUMPRODUCT(--ISNUMBER(SEARCH({" hoy ","horas","tiempo limitado","antes de que","se acab","se agot","finalic","última oportunidad","oportunidad única","relámpago","express","no esperes","no volver","no parpadees"},AG84)))&gt;0,"Sí","No")</f>
        <v>No</v>
      </c>
      <c r="AL84" s="102" t="str">
        <f t="shared" si="43"/>
        <v>Descuento sin tiempo límite</v>
      </c>
      <c r="AM84" s="102" t="str">
        <f>IF(SUMPRODUCT(--ISNUMBER(SEARCH({"0","1","2","3","4","5","6","7","8","9","favorit","maquillaje","piel","cabello","productos","belleza","regalo"},E84)))&gt;0,"Sí","No")</f>
        <v>No</v>
      </c>
      <c r="AN84" s="102" t="str">
        <f>IF(SUMPRODUCT(--ISNUMBER(SEARCH({"lo que tenemos","estas ofertas","algo especial","ofertas únicas","que preparamos","no te quedes","echa un vistazo"},F84)))&gt;0,"Sí","No")</f>
        <v>No</v>
      </c>
      <c r="AO84" s="102">
        <f t="shared" si="44"/>
        <v>59</v>
      </c>
      <c r="AP84" s="102">
        <f t="shared" si="45"/>
        <v>10</v>
      </c>
      <c r="AQ84" s="102">
        <f>SUMPRODUCT(LEN(E84)-LEN(SUBSTITUTE(E84,{"!","¡","?","¿",":",",",".","%","·","-",";"},"")))</f>
        <v>3</v>
      </c>
      <c r="AR84" s="102" t="str">
        <f t="shared" si="46"/>
        <v>No</v>
      </c>
      <c r="AS84" s="102" t="str">
        <f t="shared" si="47"/>
        <v>Sí</v>
      </c>
      <c r="AT84" s="102" t="str">
        <f>IF(SUMPRODUCT(--ISNUMBER(FIND({"0","1","2","3","4","5","6","7","8","9"},E84)))&gt;0,"Con cifra concreta",IF(OR(ISNUMBER(FIND("?",E84)),ISNUMBER(FIND("¿",E84))),"Pregunta abierta",IF(SUMPRODUCT(--ISNUMBER(SEARCH({" hoy ","horas","tiempo limitado","antes de que","se acab","se agot","finalic","última oportunidad","oportunidad única","relámpago","express","no esperes","no volver","no parpadees"," ya ","últimas horas","últimas unidades"," ahora "},AF84)))&gt;0,"Solo urgencia, sin cifra",IF(SUMPRODUCT(--ISNUMBER(SEARCH({"recompensa","sorpresa","regalo","lealtad","detalle","gracias","pensamos en ti","para ti"},E84)))&gt;0,"Recompensa o sorpresa","Otro: beneficio o novedad"))))</f>
        <v>Otro: beneficio o novedad</v>
      </c>
    </row>
    <row r="85" spans="1:46" x14ac:dyDescent="0.2">
      <c r="A85" s="96" t="s">
        <v>943</v>
      </c>
      <c r="B85" s="96" t="s">
        <v>278</v>
      </c>
      <c r="C85" s="96" t="s">
        <v>944</v>
      </c>
      <c r="D85" s="96" t="s">
        <v>769</v>
      </c>
      <c r="E85" s="96" t="s">
        <v>367</v>
      </c>
      <c r="F85" s="96" t="s">
        <v>458</v>
      </c>
      <c r="G85" s="97">
        <v>142060</v>
      </c>
      <c r="H85" s="97">
        <v>67836</v>
      </c>
      <c r="I85" s="97">
        <v>23933</v>
      </c>
      <c r="J85" s="98">
        <v>9.19</v>
      </c>
      <c r="K85" s="98">
        <v>3.4</v>
      </c>
      <c r="L85" s="99">
        <v>42310.11</v>
      </c>
      <c r="M85" s="100">
        <f t="shared" si="24"/>
        <v>47.751654230606789</v>
      </c>
      <c r="N85" s="100">
        <f t="shared" si="25"/>
        <v>16.847106856257916</v>
      </c>
      <c r="O85" s="100">
        <f t="shared" si="26"/>
        <v>35.280676926705581</v>
      </c>
      <c r="P85" s="100">
        <f t="shared" si="27"/>
        <v>297.83267633394337</v>
      </c>
      <c r="Q85" s="100">
        <f t="shared" si="28"/>
        <v>36.132518317209367</v>
      </c>
      <c r="R85" s="100">
        <f t="shared" si="29"/>
        <v>29.458247936272421</v>
      </c>
      <c r="S85" s="101">
        <f t="shared" si="30"/>
        <v>45943</v>
      </c>
      <c r="T85" s="102" t="str">
        <f t="shared" si="31"/>
        <v>Octubre</v>
      </c>
      <c r="U85" s="102" t="str">
        <f t="shared" si="32"/>
        <v>Lunes</v>
      </c>
      <c r="V85" s="102">
        <f t="shared" si="33"/>
        <v>13</v>
      </c>
      <c r="W85" s="102" t="str">
        <f t="shared" si="34"/>
        <v>Resto del mes</v>
      </c>
      <c r="X85" s="102">
        <f t="shared" si="35"/>
        <v>23</v>
      </c>
      <c r="Y85" s="102" t="str">
        <f t="shared" si="36"/>
        <v>Sí</v>
      </c>
      <c r="Z85" s="102" t="str">
        <f>CHOOSE(MATCH(B85,{"Customer Appreciation","Exclusive Offers","Flash Sale","Holiday Discounts","New Product Launch","Newsletter"},0),"Fidelizar","Vender","Vender","Vender","Lanzar","Educar")</f>
        <v>Lanzar</v>
      </c>
      <c r="AA85" s="102" t="str">
        <f t="shared" si="37"/>
        <v>100 a 200 mil</v>
      </c>
      <c r="AB85" s="102">
        <f>COUNTIFS($E$5:$E$493,E85,$S$5:$S$493,"&lt;"&amp;S85)+COUNTIFS($E$5:E85,E85,$S$5:S85,S85)</f>
        <v>16</v>
      </c>
      <c r="AC85" s="102">
        <f t="shared" si="38"/>
        <v>25</v>
      </c>
      <c r="AD85" s="102" t="str">
        <f t="shared" si="39"/>
        <v>Medio</v>
      </c>
      <c r="AE85" s="103">
        <f t="shared" si="40"/>
        <v>11.619135913397422</v>
      </c>
      <c r="AF85" s="102" t="str">
        <f t="shared" si="41"/>
        <v xml:space="preserve">  el futuro de tu piel ha llegado  nuevo producto revolucionario </v>
      </c>
      <c r="AG85" s="102" t="str">
        <f t="shared" si="42"/>
        <v xml:space="preserve"> una fórmula revolucionaria para resultados visibles   compruébalo  </v>
      </c>
      <c r="AH85" s="102" t="str">
        <f>IF(SUMPRODUCT(--(LEFT(IF(LEFT(LOWER(E85),1)="¡",MID(LOWER(E85),2,300),LOWER(E85)),LEN({"actualizaci","el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85" s="102" t="str">
        <f>IF(OR(SUMPRODUCT(--ISNUMBER(SEARCH({"descuento","oferta","ahorr","precio"," sale ","flash","deals"},AF85)))&gt;0,SUMPRODUCT(--ISNUMBER(SEARCH({"descuento","oferta","ahorr","precio"," sale ","flash","deals"},AG85)))&gt;0),"Sí","No")</f>
        <v>No</v>
      </c>
      <c r="AJ85" s="102" t="str">
        <f>IF(SUMPRODUCT(--ISNUMBER(SEARCH({" hoy ","horas","tiempo limitado","antes de que","se acab","se agot","finalic","última oportunidad","oportunidad única","relámpago","express","no esperes","no volver","no parpadees"},AF85)))&gt;0,"Sí","No")</f>
        <v>No</v>
      </c>
      <c r="AK85" s="102" t="str">
        <f>IF(SUMPRODUCT(--ISNUMBER(SEARCH({" hoy ","horas","tiempo limitado","antes de que","se acab","se agot","finalic","última oportunidad","oportunidad única","relámpago","express","no esperes","no volver","no parpadees"},AG85)))&gt;0,"Sí","No")</f>
        <v>No</v>
      </c>
      <c r="AL85" s="102" t="str">
        <f t="shared" si="43"/>
        <v>Sin descuento</v>
      </c>
      <c r="AM85" s="102" t="str">
        <f>IF(SUMPRODUCT(--ISNUMBER(SEARCH({"0","1","2","3","4","5","6","7","8","9","favorit","maquillaje","piel","cabello","productos","belleza","regalo"},E85)))&gt;0,"Sí","No")</f>
        <v>Sí</v>
      </c>
      <c r="AN85" s="102" t="str">
        <f>IF(SUMPRODUCT(--ISNUMBER(SEARCH({"lo que tenemos","estas ofertas","algo especial","ofertas únicas","que preparamos","no te quedes","echa un vistazo"},F85)))&gt;0,"Sí","No")</f>
        <v>No</v>
      </c>
      <c r="AO85" s="102">
        <f t="shared" si="44"/>
        <v>63</v>
      </c>
      <c r="AP85" s="102">
        <f t="shared" si="45"/>
        <v>10</v>
      </c>
      <c r="AQ85" s="102">
        <f>SUMPRODUCT(LEN(E85)-LEN(SUBSTITUTE(E85,{"!","¡","?","¿",":",",",".","%","·","-",";"},"")))</f>
        <v>2</v>
      </c>
      <c r="AR85" s="102" t="str">
        <f t="shared" si="46"/>
        <v>No</v>
      </c>
      <c r="AS85" s="102" t="str">
        <f t="shared" si="47"/>
        <v>No</v>
      </c>
      <c r="AT85" s="102" t="str">
        <f>IF(SUMPRODUCT(--ISNUMBER(FIND({"0","1","2","3","4","5","6","7","8","9"},E85)))&gt;0,"Con cifra concreta",IF(OR(ISNUMBER(FIND("?",E85)),ISNUMBER(FIND("¿",E85))),"Pregunta abierta",IF(SUMPRODUCT(--ISNUMBER(SEARCH({" hoy ","horas","tiempo limitado","antes de que","se acab","se agot","finalic","última oportunidad","oportunidad única","relámpago","express","no esperes","no volver","no parpadees"," ya ","últimas horas","últimas unidades"," ahora "},AF85)))&gt;0,"Solo urgencia, sin cifra",IF(SUMPRODUCT(--ISNUMBER(SEARCH({"recompensa","sorpresa","regalo","lealtad","detalle","gracias","pensamos en ti","para ti"},E85)))&gt;0,"Recompensa o sorpresa","Otro: beneficio o novedad"))))</f>
        <v>Otro: beneficio o novedad</v>
      </c>
    </row>
    <row r="86" spans="1:46" x14ac:dyDescent="0.2">
      <c r="A86" s="104" t="s">
        <v>945</v>
      </c>
      <c r="B86" s="104" t="s">
        <v>277</v>
      </c>
      <c r="C86" s="104" t="s">
        <v>695</v>
      </c>
      <c r="D86" s="104" t="s">
        <v>729</v>
      </c>
      <c r="E86" s="104" t="s">
        <v>896</v>
      </c>
      <c r="F86" s="104" t="s">
        <v>470</v>
      </c>
      <c r="G86" s="105">
        <v>466730</v>
      </c>
      <c r="H86" s="105">
        <v>73977</v>
      </c>
      <c r="I86" s="105">
        <v>23858</v>
      </c>
      <c r="J86" s="106">
        <v>5.46</v>
      </c>
      <c r="K86" s="106">
        <v>3.04</v>
      </c>
      <c r="L86" s="107">
        <v>86483.74</v>
      </c>
      <c r="M86" s="108">
        <f t="shared" si="24"/>
        <v>15.850063205707796</v>
      </c>
      <c r="N86" s="108">
        <f t="shared" si="25"/>
        <v>5.1117348359865451</v>
      </c>
      <c r="O86" s="108">
        <f t="shared" si="26"/>
        <v>32.250564364599811</v>
      </c>
      <c r="P86" s="108">
        <f t="shared" si="27"/>
        <v>185.29715252929961</v>
      </c>
      <c r="Q86" s="108">
        <f t="shared" si="28"/>
        <v>19.100010084099871</v>
      </c>
      <c r="R86" s="108">
        <f t="shared" si="29"/>
        <v>30.71114383300629</v>
      </c>
      <c r="S86" s="101">
        <f t="shared" si="30"/>
        <v>45889</v>
      </c>
      <c r="T86" s="102" t="str">
        <f t="shared" si="31"/>
        <v>Agosto</v>
      </c>
      <c r="U86" s="102" t="str">
        <f t="shared" si="32"/>
        <v>Miércoles</v>
      </c>
      <c r="V86" s="102">
        <f t="shared" si="33"/>
        <v>10</v>
      </c>
      <c r="W86" s="102" t="str">
        <f t="shared" si="34"/>
        <v>Días después del pago</v>
      </c>
      <c r="X86" s="102">
        <f t="shared" si="35"/>
        <v>2</v>
      </c>
      <c r="Y86" s="102" t="str">
        <f t="shared" si="36"/>
        <v>No</v>
      </c>
      <c r="Z86" s="102" t="str">
        <f>CHOOSE(MATCH(B86,{"Customer Appreciation","Exclusive Offers","Flash Sale","Holiday Discounts","New Product Launch","Newsletter"},0),"Fidelizar","Vender","Vender","Vender","Lanzar","Educar")</f>
        <v>Vender</v>
      </c>
      <c r="AA86" s="102" t="str">
        <f t="shared" si="37"/>
        <v>Más de 400 mil</v>
      </c>
      <c r="AB86" s="102">
        <f>COUNTIFS($E$5:$E$493,E86,$S$5:$S$493,"&lt;"&amp;S86)+COUNTIFS($E$5:E86,E86,$S$5:S86,S86)</f>
        <v>1</v>
      </c>
      <c r="AC86" s="102">
        <f t="shared" si="38"/>
        <v>5</v>
      </c>
      <c r="AD86" s="102" t="str">
        <f t="shared" si="39"/>
        <v/>
      </c>
      <c r="AE86" s="103">
        <f t="shared" si="40"/>
        <v>-3.2499468783920751</v>
      </c>
      <c r="AF86" s="102" t="str">
        <f t="shared" si="41"/>
        <v xml:space="preserve">  es hora de celebrar  descuentos festivos  l'oréal para ti </v>
      </c>
      <c r="AG86" s="102" t="str">
        <f t="shared" si="42"/>
        <v xml:space="preserve"> regalos perfectos y ofertas que te encantarán   descubre más  </v>
      </c>
      <c r="AH86" s="102" t="str">
        <f>IF(SUMPRODUCT(--(LEFT(IF(LEFT(LOWER(E86),1)="¡",MID(LOWER(E86),2,300),LOWER(E86)),LEN({"actualizaci","el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Sí</v>
      </c>
      <c r="AI86" s="102" t="str">
        <f>IF(OR(SUMPRODUCT(--ISNUMBER(SEARCH({"descuento","oferta","ahorr","precio"," sale ","flash","deals"},AF86)))&gt;0,SUMPRODUCT(--ISNUMBER(SEARCH({"descuento","oferta","ahorr","precio"," sale ","flash","deals"},AG86)))&gt;0),"Sí","No")</f>
        <v>Sí</v>
      </c>
      <c r="AJ86" s="102" t="str">
        <f>IF(SUMPRODUCT(--ISNUMBER(SEARCH({" hoy ","horas","tiempo limitado","antes de que","se acab","se agot","finalic","última oportunidad","oportunidad única","relámpago","express","no esperes","no volver","no parpadees"},AF86)))&gt;0,"Sí","No")</f>
        <v>No</v>
      </c>
      <c r="AK86" s="102" t="str">
        <f>IF(SUMPRODUCT(--ISNUMBER(SEARCH({" hoy ","horas","tiempo limitado","antes de que","se acab","se agot","finalic","última oportunidad","oportunidad única","relámpago","express","no esperes","no volver","no parpadees"},AG86)))&gt;0,"Sí","No")</f>
        <v>No</v>
      </c>
      <c r="AL86" s="102" t="str">
        <f t="shared" si="43"/>
        <v>Descuento sin tiempo límite</v>
      </c>
      <c r="AM86" s="102" t="str">
        <f>IF(SUMPRODUCT(--ISNUMBER(SEARCH({"0","1","2","3","4","5","6","7","8","9","favorit","maquillaje","piel","cabello","productos","belleza","regalo"},E86)))&gt;0,"Sí","No")</f>
        <v>No</v>
      </c>
      <c r="AN86" s="102" t="str">
        <f>IF(SUMPRODUCT(--ISNUMBER(SEARCH({"lo que tenemos","estas ofertas","algo especial","ofertas únicas","que preparamos","no te quedes","echa un vistazo"},F86)))&gt;0,"Sí","No")</f>
        <v>No</v>
      </c>
      <c r="AO86" s="102">
        <f t="shared" si="44"/>
        <v>58</v>
      </c>
      <c r="AP86" s="102">
        <f t="shared" si="45"/>
        <v>9</v>
      </c>
      <c r="AQ86" s="102">
        <f>SUMPRODUCT(LEN(E86)-LEN(SUBSTITUTE(E86,{"!","¡","?","¿",":",",",".","%","·","-",";"},"")))</f>
        <v>3</v>
      </c>
      <c r="AR86" s="102" t="str">
        <f t="shared" si="46"/>
        <v>Sí</v>
      </c>
      <c r="AS86" s="102" t="str">
        <f t="shared" si="47"/>
        <v>No</v>
      </c>
      <c r="AT86" s="102" t="str">
        <f>IF(SUMPRODUCT(--ISNUMBER(FIND({"0","1","2","3","4","5","6","7","8","9"},E86)))&gt;0,"Con cifra concreta",IF(OR(ISNUMBER(FIND("?",E86)),ISNUMBER(FIND("¿",E86))),"Pregunta abierta",IF(SUMPRODUCT(--ISNUMBER(SEARCH({" hoy ","horas","tiempo limitado","antes de que","se acab","se agot","finalic","última oportunidad","oportunidad única","relámpago","express","no esperes","no volver","no parpadees"," ya ","últimas horas","últimas unidades"," ahora "},AF86)))&gt;0,"Solo urgencia, sin cifra",IF(SUMPRODUCT(--ISNUMBER(SEARCH({"recompensa","sorpresa","regalo","lealtad","detalle","gracias","pensamos en ti","para ti"},E86)))&gt;0,"Recompensa o sorpresa","Otro: beneficio o novedad"))))</f>
        <v>Recompensa o sorpresa</v>
      </c>
    </row>
    <row r="87" spans="1:46" x14ac:dyDescent="0.2">
      <c r="A87" s="96" t="s">
        <v>946</v>
      </c>
      <c r="B87" s="96" t="s">
        <v>274</v>
      </c>
      <c r="C87" s="96" t="s">
        <v>685</v>
      </c>
      <c r="D87" s="96" t="s">
        <v>947</v>
      </c>
      <c r="E87" s="96" t="s">
        <v>948</v>
      </c>
      <c r="F87" s="96" t="s">
        <v>480</v>
      </c>
      <c r="G87" s="97">
        <v>19939</v>
      </c>
      <c r="H87" s="97">
        <v>3525</v>
      </c>
      <c r="I87" s="97">
        <v>2899</v>
      </c>
      <c r="J87" s="98">
        <v>6.62</v>
      </c>
      <c r="K87" s="98">
        <v>2.91</v>
      </c>
      <c r="L87" s="99">
        <v>5826.86</v>
      </c>
      <c r="M87" s="100">
        <f t="shared" si="24"/>
        <v>17.678920708159886</v>
      </c>
      <c r="N87" s="100">
        <f t="shared" si="25"/>
        <v>14.539345002256884</v>
      </c>
      <c r="O87" s="100">
        <f t="shared" si="26"/>
        <v>82.241134751773046</v>
      </c>
      <c r="P87" s="100">
        <f t="shared" si="27"/>
        <v>292.23431465971214</v>
      </c>
      <c r="Q87" s="100">
        <f t="shared" si="28"/>
        <v>15.012382065107001</v>
      </c>
      <c r="R87" s="100">
        <f t="shared" si="29"/>
        <v>31.113650744455075</v>
      </c>
      <c r="S87" s="101">
        <f t="shared" si="30"/>
        <v>45945</v>
      </c>
      <c r="T87" s="102" t="str">
        <f t="shared" si="31"/>
        <v>Octubre</v>
      </c>
      <c r="U87" s="102" t="str">
        <f t="shared" si="32"/>
        <v>Miércoles</v>
      </c>
      <c r="V87" s="102">
        <f t="shared" si="33"/>
        <v>9</v>
      </c>
      <c r="W87" s="102" t="str">
        <f t="shared" si="34"/>
        <v>Quincena</v>
      </c>
      <c r="X87" s="102">
        <f t="shared" si="35"/>
        <v>2</v>
      </c>
      <c r="Y87" s="102" t="str">
        <f t="shared" si="36"/>
        <v>No</v>
      </c>
      <c r="Z87" s="102" t="str">
        <f>CHOOSE(MATCH(B87,{"Customer Appreciation","Exclusive Offers","Flash Sale","Holiday Discounts","New Product Launch","Newsletter"},0),"Fidelizar","Vender","Vender","Vender","Lanzar","Educar")</f>
        <v>Fidelizar</v>
      </c>
      <c r="AA87" s="102" t="str">
        <f t="shared" si="37"/>
        <v>Menos de 100 mil</v>
      </c>
      <c r="AB87" s="102">
        <f>COUNTIFS($E$5:$E$493,E87,$S$5:$S$493,"&lt;"&amp;S87)+COUNTIFS($E$5:E87,E87,$S$5:S87,S87)</f>
        <v>2</v>
      </c>
      <c r="AC87" s="102">
        <f t="shared" si="38"/>
        <v>4</v>
      </c>
      <c r="AD87" s="102" t="str">
        <f t="shared" si="39"/>
        <v/>
      </c>
      <c r="AE87" s="103">
        <f t="shared" si="40"/>
        <v>2.6665386430528848</v>
      </c>
      <c r="AF87" s="102" t="str">
        <f t="shared" si="41"/>
        <v xml:space="preserve">  un pequeño detalle para agradecerte tu lealtad  </v>
      </c>
      <c r="AG87" s="102" t="str">
        <f t="shared" si="42"/>
        <v xml:space="preserve"> echa un vistazo a lo que tenemos para ti   te va a encantar  </v>
      </c>
      <c r="AH87" s="102" t="str">
        <f>IF(SUMPRODUCT(--(LEFT(IF(LEFT(LOWER(E87),1)="¡",MID(LOWER(E87),2,300),LOWER(E87)),LEN({"actualizaci","el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Sí</v>
      </c>
      <c r="AI87" s="102" t="str">
        <f>IF(OR(SUMPRODUCT(--ISNUMBER(SEARCH({"descuento","oferta","ahorr","precio"," sale ","flash","deals"},AF87)))&gt;0,SUMPRODUCT(--ISNUMBER(SEARCH({"descuento","oferta","ahorr","precio"," sale ","flash","deals"},AG87)))&gt;0),"Sí","No")</f>
        <v>No</v>
      </c>
      <c r="AJ87" s="102" t="str">
        <f>IF(SUMPRODUCT(--ISNUMBER(SEARCH({" hoy ","horas","tiempo limitado","antes de que","se acab","se agot","finalic","última oportunidad","oportunidad única","relámpago","express","no esperes","no volver","no parpadees"},AF87)))&gt;0,"Sí","No")</f>
        <v>No</v>
      </c>
      <c r="AK87" s="102" t="str">
        <f>IF(SUMPRODUCT(--ISNUMBER(SEARCH({" hoy ","horas","tiempo limitado","antes de que","se acab","se agot","finalic","última oportunidad","oportunidad única","relámpago","express","no esperes","no volver","no parpadees"},AG87)))&gt;0,"Sí","No")</f>
        <v>No</v>
      </c>
      <c r="AL87" s="102" t="str">
        <f t="shared" si="43"/>
        <v>Sin descuento</v>
      </c>
      <c r="AM87" s="102" t="str">
        <f>IF(SUMPRODUCT(--ISNUMBER(SEARCH({"0","1","2","3","4","5","6","7","8","9","favorit","maquillaje","piel","cabello","productos","belleza","regalo"},E87)))&gt;0,"Sí","No")</f>
        <v>No</v>
      </c>
      <c r="AN87" s="102" t="str">
        <f>IF(SUMPRODUCT(--ISNUMBER(SEARCH({"lo que tenemos","estas ofertas","algo especial","ofertas únicas","que preparamos","no te quedes","echa un vistazo"},F87)))&gt;0,"Sí","No")</f>
        <v>Sí</v>
      </c>
      <c r="AO87" s="102">
        <f t="shared" si="44"/>
        <v>48</v>
      </c>
      <c r="AP87" s="102">
        <f t="shared" si="45"/>
        <v>7</v>
      </c>
      <c r="AQ87" s="102">
        <f>SUMPRODUCT(LEN(E87)-LEN(SUBSTITUTE(E87,{"!","¡","?","¿",":",",",".","%","·","-",";"},"")))</f>
        <v>2</v>
      </c>
      <c r="AR87" s="102" t="str">
        <f t="shared" si="46"/>
        <v>Sí</v>
      </c>
      <c r="AS87" s="102" t="str">
        <f t="shared" si="47"/>
        <v>No</v>
      </c>
      <c r="AT87" s="102" t="str">
        <f>IF(SUMPRODUCT(--ISNUMBER(FIND({"0","1","2","3","4","5","6","7","8","9"},E87)))&gt;0,"Con cifra concreta",IF(OR(ISNUMBER(FIND("?",E87)),ISNUMBER(FIND("¿",E87))),"Pregunta abierta",IF(SUMPRODUCT(--ISNUMBER(SEARCH({" hoy ","horas","tiempo limitado","antes de que","se acab","se agot","finalic","última oportunidad","oportunidad única","relámpago","express","no esperes","no volver","no parpadees"," ya ","últimas horas","últimas unidades"," ahora "},AF87)))&gt;0,"Solo urgencia, sin cifra",IF(SUMPRODUCT(--ISNUMBER(SEARCH({"recompensa","sorpresa","regalo","lealtad","detalle","gracias","pensamos en ti","para ti"},E87)))&gt;0,"Recompensa o sorpresa","Otro: beneficio o novedad"))))</f>
        <v>Recompensa o sorpresa</v>
      </c>
    </row>
    <row r="88" spans="1:46" x14ac:dyDescent="0.2">
      <c r="A88" s="104" t="s">
        <v>949</v>
      </c>
      <c r="B88" s="104" t="s">
        <v>276</v>
      </c>
      <c r="C88" s="104" t="s">
        <v>830</v>
      </c>
      <c r="D88" s="104" t="s">
        <v>950</v>
      </c>
      <c r="E88" s="104" t="s">
        <v>692</v>
      </c>
      <c r="F88" s="104" t="s">
        <v>693</v>
      </c>
      <c r="G88" s="105">
        <v>178603</v>
      </c>
      <c r="H88" s="105">
        <v>25211</v>
      </c>
      <c r="I88" s="105">
        <v>15469</v>
      </c>
      <c r="J88" s="106">
        <v>2.57</v>
      </c>
      <c r="K88" s="106">
        <v>3.38</v>
      </c>
      <c r="L88" s="107">
        <v>86393.13</v>
      </c>
      <c r="M88" s="108">
        <f t="shared" si="24"/>
        <v>14.115664350542826</v>
      </c>
      <c r="N88" s="108">
        <f t="shared" si="25"/>
        <v>8.6611087159790134</v>
      </c>
      <c r="O88" s="108">
        <f t="shared" si="26"/>
        <v>61.358137321010673</v>
      </c>
      <c r="P88" s="108">
        <f t="shared" si="27"/>
        <v>483.71600700996066</v>
      </c>
      <c r="Q88" s="108">
        <f t="shared" si="28"/>
        <v>10.812608203610466</v>
      </c>
      <c r="R88" s="108">
        <f t="shared" si="29"/>
        <v>29.440902453236173</v>
      </c>
      <c r="S88" s="101">
        <f t="shared" si="30"/>
        <v>45901</v>
      </c>
      <c r="T88" s="102" t="str">
        <f t="shared" si="31"/>
        <v>Septiembre</v>
      </c>
      <c r="U88" s="102" t="str">
        <f t="shared" si="32"/>
        <v>Lunes</v>
      </c>
      <c r="V88" s="102">
        <f t="shared" si="33"/>
        <v>14</v>
      </c>
      <c r="W88" s="102" t="str">
        <f t="shared" si="34"/>
        <v>Quincena</v>
      </c>
      <c r="X88" s="102">
        <f t="shared" si="35"/>
        <v>29</v>
      </c>
      <c r="Y88" s="102" t="str">
        <f t="shared" si="36"/>
        <v>Sí</v>
      </c>
      <c r="Z88" s="102" t="str">
        <f>CHOOSE(MATCH(B88,{"Customer Appreciation","Exclusive Offers","Flash Sale","Holiday Discounts","New Product Launch","Newsletter"},0),"Fidelizar","Vender","Vender","Vender","Lanzar","Educar")</f>
        <v>Vender</v>
      </c>
      <c r="AA88" s="102" t="str">
        <f t="shared" si="37"/>
        <v>100 a 200 mil</v>
      </c>
      <c r="AB88" s="102">
        <f>COUNTIFS($E$5:$E$493,E88,$S$5:$S$493,"&lt;"&amp;S88)+COUNTIFS($E$5:E88,E88,$S$5:S88,S88)</f>
        <v>1</v>
      </c>
      <c r="AC88" s="102">
        <f t="shared" si="38"/>
        <v>4</v>
      </c>
      <c r="AD88" s="102" t="str">
        <f t="shared" si="39"/>
        <v/>
      </c>
      <c r="AE88" s="103">
        <f t="shared" si="40"/>
        <v>3.3030561469323594</v>
      </c>
      <c r="AF88" s="102" t="str">
        <f t="shared" si="41"/>
        <v xml:space="preserve">  últimas horas  flash sale  no te quedes sin tu descuento </v>
      </c>
      <c r="AG88" s="102" t="str">
        <f t="shared" si="42"/>
        <v xml:space="preserve"> solo por hoy  descuentos increíbles en tus favoritos   compra ahora  </v>
      </c>
      <c r="AH88" s="102" t="str">
        <f>IF(SUMPRODUCT(--(LEFT(IF(LEFT(LOWER(E88),1)="¡",MID(LOWER(E88),2,300),LOWER(E88)),LEN({"actualizaci","el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Sí</v>
      </c>
      <c r="AI88" s="102" t="str">
        <f>IF(OR(SUMPRODUCT(--ISNUMBER(SEARCH({"descuento","oferta","ahorr","precio"," sale ","flash","deals"},AF88)))&gt;0,SUMPRODUCT(--ISNUMBER(SEARCH({"descuento","oferta","ahorr","precio"," sale ","flash","deals"},AG88)))&gt;0),"Sí","No")</f>
        <v>Sí</v>
      </c>
      <c r="AJ88" s="102" t="str">
        <f>IF(SUMPRODUCT(--ISNUMBER(SEARCH({" hoy ","horas","tiempo limitado","antes de que","se acab","se agot","finalic","última oportunidad","oportunidad única","relámpago","express","no esperes","no volver","no parpadees"},AF88)))&gt;0,"Sí","No")</f>
        <v>Sí</v>
      </c>
      <c r="AK88" s="102" t="str">
        <f>IF(SUMPRODUCT(--ISNUMBER(SEARCH({" hoy ","horas","tiempo limitado","antes de que","se acab","se agot","finalic","última oportunidad","oportunidad única","relámpago","express","no esperes","no volver","no parpadees"},AG88)))&gt;0,"Sí","No")</f>
        <v>Sí</v>
      </c>
      <c r="AL88" s="102" t="str">
        <f t="shared" si="43"/>
        <v>Descuento con tiempo límite en el asunto</v>
      </c>
      <c r="AM88" s="102" t="str">
        <f>IF(SUMPRODUCT(--ISNUMBER(SEARCH({"0","1","2","3","4","5","6","7","8","9","favorit","maquillaje","piel","cabello","productos","belleza","regalo"},E88)))&gt;0,"Sí","No")</f>
        <v>No</v>
      </c>
      <c r="AN88" s="102" t="str">
        <f>IF(SUMPRODUCT(--ISNUMBER(SEARCH({"lo que tenemos","estas ofertas","algo especial","ofertas únicas","que preparamos","no te quedes","echa un vistazo"},F88)))&gt;0,"Sí","No")</f>
        <v>No</v>
      </c>
      <c r="AO88" s="102">
        <f t="shared" si="44"/>
        <v>57</v>
      </c>
      <c r="AP88" s="102">
        <f t="shared" si="45"/>
        <v>10</v>
      </c>
      <c r="AQ88" s="102">
        <f>SUMPRODUCT(LEN(E88)-LEN(SUBSTITUTE(E88,{"!","¡","?","¿",":",",",".","%","·","-",";"},"")))</f>
        <v>3</v>
      </c>
      <c r="AR88" s="102" t="str">
        <f t="shared" si="46"/>
        <v>No</v>
      </c>
      <c r="AS88" s="102" t="str">
        <f t="shared" si="47"/>
        <v>No</v>
      </c>
      <c r="AT88" s="102" t="str">
        <f>IF(SUMPRODUCT(--ISNUMBER(FIND({"0","1","2","3","4","5","6","7","8","9"},E88)))&gt;0,"Con cifra concreta",IF(OR(ISNUMBER(FIND("?",E88)),ISNUMBER(FIND("¿",E88))),"Pregunta abierta",IF(SUMPRODUCT(--ISNUMBER(SEARCH({" hoy ","horas","tiempo limitado","antes de que","se acab","se agot","finalic","última oportunidad","oportunidad única","relámpago","express","no esperes","no volver","no parpadees"," ya ","últimas horas","últimas unidades"," ahora "},AF88)))&gt;0,"Solo urgencia, sin cifra",IF(SUMPRODUCT(--ISNUMBER(SEARCH({"recompensa","sorpresa","regalo","lealtad","detalle","gracias","pensamos en ti","para ti"},E88)))&gt;0,"Recompensa o sorpresa","Otro: beneficio o novedad"))))</f>
        <v>Solo urgencia, sin cifra</v>
      </c>
    </row>
    <row r="89" spans="1:46" x14ac:dyDescent="0.2">
      <c r="A89" s="96" t="s">
        <v>951</v>
      </c>
      <c r="B89" s="96" t="s">
        <v>277</v>
      </c>
      <c r="C89" s="96" t="s">
        <v>737</v>
      </c>
      <c r="D89" s="96" t="s">
        <v>751</v>
      </c>
      <c r="E89" s="96" t="s">
        <v>459</v>
      </c>
      <c r="F89" s="96" t="s">
        <v>460</v>
      </c>
      <c r="G89" s="97">
        <v>381365</v>
      </c>
      <c r="H89" s="97">
        <v>40502</v>
      </c>
      <c r="I89" s="97">
        <v>25492</v>
      </c>
      <c r="J89" s="98">
        <v>4.2699999999999996</v>
      </c>
      <c r="K89" s="98">
        <v>2.5299999999999998</v>
      </c>
      <c r="L89" s="99">
        <v>53475.74</v>
      </c>
      <c r="M89" s="100">
        <f t="shared" si="24"/>
        <v>10.620271917978839</v>
      </c>
      <c r="N89" s="100">
        <f t="shared" si="25"/>
        <v>6.684409948474558</v>
      </c>
      <c r="O89" s="100">
        <f t="shared" si="26"/>
        <v>62.94010172337169</v>
      </c>
      <c r="P89" s="100">
        <f t="shared" si="27"/>
        <v>140.22193961165814</v>
      </c>
      <c r="Q89" s="100">
        <f t="shared" si="28"/>
        <v>35.565837226891659</v>
      </c>
      <c r="R89" s="100">
        <f t="shared" si="29"/>
        <v>30.71114383300629</v>
      </c>
      <c r="S89" s="101">
        <f t="shared" si="30"/>
        <v>45877</v>
      </c>
      <c r="T89" s="102" t="str">
        <f t="shared" si="31"/>
        <v>Agosto</v>
      </c>
      <c r="U89" s="102" t="str">
        <f t="shared" si="32"/>
        <v>Viernes</v>
      </c>
      <c r="V89" s="102">
        <f t="shared" si="33"/>
        <v>11</v>
      </c>
      <c r="W89" s="102" t="str">
        <f t="shared" si="34"/>
        <v>Resto del mes</v>
      </c>
      <c r="X89" s="102">
        <f t="shared" si="35"/>
        <v>2</v>
      </c>
      <c r="Y89" s="102" t="str">
        <f t="shared" si="36"/>
        <v>No</v>
      </c>
      <c r="Z89" s="102" t="str">
        <f>CHOOSE(MATCH(B89,{"Customer Appreciation","Exclusive Offers","Flash Sale","Holiday Discounts","New Product Launch","Newsletter"},0),"Fidelizar","Vender","Vender","Vender","Lanzar","Educar")</f>
        <v>Vender</v>
      </c>
      <c r="AA89" s="102" t="str">
        <f t="shared" si="37"/>
        <v>300 a 400 mil</v>
      </c>
      <c r="AB89" s="102">
        <f>COUNTIFS($E$5:$E$493,E89,$S$5:$S$493,"&lt;"&amp;S89)+COUNTIFS($E$5:E89,E89,$S$5:S89,S89)</f>
        <v>2</v>
      </c>
      <c r="AC89" s="102">
        <f t="shared" si="38"/>
        <v>9</v>
      </c>
      <c r="AD89" s="102" t="str">
        <f t="shared" si="39"/>
        <v>Primer tercio</v>
      </c>
      <c r="AE89" s="103">
        <f t="shared" si="40"/>
        <v>-24.945565308912819</v>
      </c>
      <c r="AF89" s="102" t="str">
        <f t="shared" si="41"/>
        <v xml:space="preserve">  aprovecha los descuentos  temporada de fiestas  beauty deals </v>
      </c>
      <c r="AG89" s="102" t="str">
        <f t="shared" si="42"/>
        <v xml:space="preserve"> tus productos favoritos con precios festivos   no te los pierdas  </v>
      </c>
      <c r="AH89" s="102" t="str">
        <f>IF(SUMPRODUCT(--(LEFT(IF(LEFT(LOWER(E89),1)="¡",MID(LOWER(E89),2,300),LOWER(E89)),LEN({"actualizaci","el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89" s="102" t="str">
        <f>IF(OR(SUMPRODUCT(--ISNUMBER(SEARCH({"descuento","oferta","ahorr","precio"," sale ","flash","deals"},AF89)))&gt;0,SUMPRODUCT(--ISNUMBER(SEARCH({"descuento","oferta","ahorr","precio"," sale ","flash","deals"},AG89)))&gt;0),"Sí","No")</f>
        <v>Sí</v>
      </c>
      <c r="AJ89" s="102" t="str">
        <f>IF(SUMPRODUCT(--ISNUMBER(SEARCH({" hoy ","horas","tiempo limitado","antes de que","se acab","se agot","finalic","última oportunidad","oportunidad única","relámpago","express","no esperes","no volver","no parpadees"},AF89)))&gt;0,"Sí","No")</f>
        <v>No</v>
      </c>
      <c r="AK89" s="102" t="str">
        <f>IF(SUMPRODUCT(--ISNUMBER(SEARCH({" hoy ","horas","tiempo limitado","antes de que","se acab","se agot","finalic","última oportunidad","oportunidad única","relámpago","express","no esperes","no volver","no parpadees"},AG89)))&gt;0,"Sí","No")</f>
        <v>No</v>
      </c>
      <c r="AL89" s="102" t="str">
        <f t="shared" si="43"/>
        <v>Descuento sin tiempo límite</v>
      </c>
      <c r="AM89" s="102" t="str">
        <f>IF(SUMPRODUCT(--ISNUMBER(SEARCH({"0","1","2","3","4","5","6","7","8","9","favorit","maquillaje","piel","cabello","productos","belleza","regalo"},E89)))&gt;0,"Sí","No")</f>
        <v>No</v>
      </c>
      <c r="AN89" s="102" t="str">
        <f>IF(SUMPRODUCT(--ISNUMBER(SEARCH({"lo que tenemos","estas ofertas","algo especial","ofertas únicas","que preparamos","no te quedes","echa un vistazo"},F89)))&gt;0,"Sí","No")</f>
        <v>No</v>
      </c>
      <c r="AO89" s="102">
        <f t="shared" si="44"/>
        <v>61</v>
      </c>
      <c r="AP89" s="102">
        <f t="shared" si="45"/>
        <v>8</v>
      </c>
      <c r="AQ89" s="102">
        <f>SUMPRODUCT(LEN(E89)-LEN(SUBSTITUTE(E89,{"!","¡","?","¿",":",",",".","%","·","-",";"},"")))</f>
        <v>3</v>
      </c>
      <c r="AR89" s="102" t="str">
        <f t="shared" si="46"/>
        <v>No</v>
      </c>
      <c r="AS89" s="102" t="str">
        <f t="shared" si="47"/>
        <v>No</v>
      </c>
      <c r="AT89" s="102" t="str">
        <f>IF(SUMPRODUCT(--ISNUMBER(FIND({"0","1","2","3","4","5","6","7","8","9"},E89)))&gt;0,"Con cifra concreta",IF(OR(ISNUMBER(FIND("?",E89)),ISNUMBER(FIND("¿",E89))),"Pregunta abierta",IF(SUMPRODUCT(--ISNUMBER(SEARCH({" hoy ","horas","tiempo limitado","antes de que","se acab","se agot","finalic","última oportunidad","oportunidad única","relámpago","express","no esperes","no volver","no parpadees"," ya ","últimas horas","últimas unidades"," ahora "},AF89)))&gt;0,"Solo urgencia, sin cifra",IF(SUMPRODUCT(--ISNUMBER(SEARCH({"recompensa","sorpresa","regalo","lealtad","detalle","gracias","pensamos en ti","para ti"},E89)))&gt;0,"Recompensa o sorpresa","Otro: beneficio o novedad"))))</f>
        <v>Otro: beneficio o novedad</v>
      </c>
    </row>
    <row r="90" spans="1:46" x14ac:dyDescent="0.2">
      <c r="A90" s="104" t="s">
        <v>952</v>
      </c>
      <c r="B90" s="104" t="s">
        <v>278</v>
      </c>
      <c r="C90" s="104" t="s">
        <v>698</v>
      </c>
      <c r="D90" s="104" t="s">
        <v>702</v>
      </c>
      <c r="E90" s="104" t="s">
        <v>368</v>
      </c>
      <c r="F90" s="104" t="s">
        <v>471</v>
      </c>
      <c r="G90" s="105">
        <v>215123</v>
      </c>
      <c r="H90" s="105">
        <v>38965</v>
      </c>
      <c r="I90" s="105">
        <v>9365</v>
      </c>
      <c r="J90" s="106">
        <v>9.6199999999999992</v>
      </c>
      <c r="K90" s="106">
        <v>4.91</v>
      </c>
      <c r="L90" s="107">
        <v>55544.98</v>
      </c>
      <c r="M90" s="108">
        <f t="shared" si="24"/>
        <v>18.112893553920316</v>
      </c>
      <c r="N90" s="108">
        <f t="shared" si="25"/>
        <v>4.3533234475160718</v>
      </c>
      <c r="O90" s="108">
        <f t="shared" si="26"/>
        <v>24.034389837033235</v>
      </c>
      <c r="P90" s="108">
        <f t="shared" si="27"/>
        <v>258.20102917865597</v>
      </c>
      <c r="Q90" s="108">
        <f t="shared" si="28"/>
        <v>23.315840784070005</v>
      </c>
      <c r="R90" s="108">
        <f t="shared" si="29"/>
        <v>29.458247936272421</v>
      </c>
      <c r="S90" s="101">
        <f t="shared" si="30"/>
        <v>45958</v>
      </c>
      <c r="T90" s="102" t="str">
        <f t="shared" si="31"/>
        <v>Octubre</v>
      </c>
      <c r="U90" s="102" t="str">
        <f t="shared" si="32"/>
        <v>Martes</v>
      </c>
      <c r="V90" s="102">
        <f t="shared" si="33"/>
        <v>16</v>
      </c>
      <c r="W90" s="102" t="str">
        <f t="shared" si="34"/>
        <v>Resto del mes</v>
      </c>
      <c r="X90" s="102">
        <f t="shared" si="35"/>
        <v>2</v>
      </c>
      <c r="Y90" s="102" t="str">
        <f t="shared" si="36"/>
        <v>No</v>
      </c>
      <c r="Z90" s="102" t="str">
        <f>CHOOSE(MATCH(B90,{"Customer Appreciation","Exclusive Offers","Flash Sale","Holiday Discounts","New Product Launch","Newsletter"},0),"Fidelizar","Vender","Vender","Vender","Lanzar","Educar")</f>
        <v>Lanzar</v>
      </c>
      <c r="AA90" s="102" t="str">
        <f t="shared" si="37"/>
        <v>200 a 300 mil</v>
      </c>
      <c r="AB90" s="102">
        <f>COUNTIFS($E$5:$E$493,E90,$S$5:$S$493,"&lt;"&amp;S90)+COUNTIFS($E$5:E90,E90,$S$5:S90,S90)</f>
        <v>33</v>
      </c>
      <c r="AC90" s="102">
        <f t="shared" si="38"/>
        <v>33</v>
      </c>
      <c r="AD90" s="102" t="str">
        <f t="shared" si="39"/>
        <v>Último tercio</v>
      </c>
      <c r="AE90" s="103">
        <f t="shared" si="40"/>
        <v>-5.2029472301496895</v>
      </c>
      <c r="AF90" s="102" t="str">
        <f t="shared" si="41"/>
        <v xml:space="preserve"> presentamos  nuestro último lanzamiento de belleza  imperdible  </v>
      </c>
      <c r="AG90" s="102" t="str">
        <f t="shared" si="42"/>
        <v xml:space="preserve"> una innovación que cambiará tu rutina   sé de los primeros  </v>
      </c>
      <c r="AH90" s="102" t="str">
        <f>IF(SUMPRODUCT(--(LEFT(IF(LEFT(LOWER(E90),1)="¡",MID(LOWER(E90),2,300),LOWER(E90)),LEN({"actualizaci","el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Sí</v>
      </c>
      <c r="AI90" s="102" t="str">
        <f>IF(OR(SUMPRODUCT(--ISNUMBER(SEARCH({"descuento","oferta","ahorr","precio"," sale ","flash","deals"},AF90)))&gt;0,SUMPRODUCT(--ISNUMBER(SEARCH({"descuento","oferta","ahorr","precio"," sale ","flash","deals"},AG90)))&gt;0),"Sí","No")</f>
        <v>No</v>
      </c>
      <c r="AJ90" s="102" t="str">
        <f>IF(SUMPRODUCT(--ISNUMBER(SEARCH({" hoy ","horas","tiempo limitado","antes de que","se acab","se agot","finalic","última oportunidad","oportunidad única","relámpago","express","no esperes","no volver","no parpadees"},AF90)))&gt;0,"Sí","No")</f>
        <v>No</v>
      </c>
      <c r="AK90" s="102" t="str">
        <f>IF(SUMPRODUCT(--ISNUMBER(SEARCH({" hoy ","horas","tiempo limitado","antes de que","se acab","se agot","finalic","última oportunidad","oportunidad única","relámpago","express","no esperes","no volver","no parpadees"},AG90)))&gt;0,"Sí","No")</f>
        <v>No</v>
      </c>
      <c r="AL90" s="102" t="str">
        <f t="shared" si="43"/>
        <v>Sin descuento</v>
      </c>
      <c r="AM90" s="102" t="str">
        <f>IF(SUMPRODUCT(--ISNUMBER(SEARCH({"0","1","2","3","4","5","6","7","8","9","favorit","maquillaje","piel","cabello","productos","belleza","regalo"},E90)))&gt;0,"Sí","No")</f>
        <v>Sí</v>
      </c>
      <c r="AN90" s="102" t="str">
        <f>IF(SUMPRODUCT(--ISNUMBER(SEARCH({"lo que tenemos","estas ofertas","algo especial","ofertas únicas","que preparamos","no te quedes","echa un vistazo"},F90)))&gt;0,"Sí","No")</f>
        <v>No</v>
      </c>
      <c r="AO90" s="102">
        <f t="shared" si="44"/>
        <v>63</v>
      </c>
      <c r="AP90" s="102">
        <f t="shared" si="45"/>
        <v>7</v>
      </c>
      <c r="AQ90" s="102">
        <f>SUMPRODUCT(LEN(E90)-LEN(SUBSTITUTE(E90,{"!","¡","?","¿",":",",",".","%","·","-",";"},"")))</f>
        <v>3</v>
      </c>
      <c r="AR90" s="102" t="str">
        <f t="shared" si="46"/>
        <v>No</v>
      </c>
      <c r="AS90" s="102" t="str">
        <f t="shared" si="47"/>
        <v>No</v>
      </c>
      <c r="AT90" s="102" t="str">
        <f>IF(SUMPRODUCT(--ISNUMBER(FIND({"0","1","2","3","4","5","6","7","8","9"},E90)))&gt;0,"Con cifra concreta",IF(OR(ISNUMBER(FIND("?",E90)),ISNUMBER(FIND("¿",E90))),"Pregunta abierta",IF(SUMPRODUCT(--ISNUMBER(SEARCH({" hoy ","horas","tiempo limitado","antes de que","se acab","se agot","finalic","última oportunidad","oportunidad única","relámpago","express","no esperes","no volver","no parpadees"," ya ","últimas horas","últimas unidades"," ahora "},AF90)))&gt;0,"Solo urgencia, sin cifra",IF(SUMPRODUCT(--ISNUMBER(SEARCH({"recompensa","sorpresa","regalo","lealtad","detalle","gracias","pensamos en ti","para ti"},E90)))&gt;0,"Recompensa o sorpresa","Otro: beneficio o novedad"))))</f>
        <v>Otro: beneficio o novedad</v>
      </c>
    </row>
    <row r="91" spans="1:46" x14ac:dyDescent="0.2">
      <c r="A91" s="96" t="s">
        <v>953</v>
      </c>
      <c r="B91" s="96" t="s">
        <v>279</v>
      </c>
      <c r="C91" s="96" t="s">
        <v>701</v>
      </c>
      <c r="D91" s="96" t="s">
        <v>707</v>
      </c>
      <c r="E91" s="96" t="s">
        <v>472</v>
      </c>
      <c r="F91" s="96" t="s">
        <v>473</v>
      </c>
      <c r="G91" s="97">
        <v>110570</v>
      </c>
      <c r="H91" s="97">
        <v>53074</v>
      </c>
      <c r="I91" s="97">
        <v>2985</v>
      </c>
      <c r="J91" s="98">
        <v>4.32</v>
      </c>
      <c r="K91" s="98">
        <v>4.76</v>
      </c>
      <c r="L91" s="99">
        <v>84901.43</v>
      </c>
      <c r="M91" s="100">
        <f t="shared" si="24"/>
        <v>48.000361761779871</v>
      </c>
      <c r="N91" s="100">
        <f t="shared" si="25"/>
        <v>2.6996472822646287</v>
      </c>
      <c r="O91" s="100">
        <f t="shared" si="26"/>
        <v>5.6242227832837175</v>
      </c>
      <c r="P91" s="100">
        <f t="shared" si="27"/>
        <v>767.85231075336878</v>
      </c>
      <c r="Q91" s="100">
        <f t="shared" si="28"/>
        <v>22.891293825435607</v>
      </c>
      <c r="R91" s="100">
        <f t="shared" si="29"/>
        <v>27.75136451093497</v>
      </c>
      <c r="S91" s="101">
        <f t="shared" si="30"/>
        <v>45910</v>
      </c>
      <c r="T91" s="102" t="str">
        <f t="shared" si="31"/>
        <v>Septiembre</v>
      </c>
      <c r="U91" s="102" t="str">
        <f t="shared" si="32"/>
        <v>Miércoles</v>
      </c>
      <c r="V91" s="102">
        <f t="shared" si="33"/>
        <v>13</v>
      </c>
      <c r="W91" s="102" t="str">
        <f t="shared" si="34"/>
        <v>Resto del mes</v>
      </c>
      <c r="X91" s="102">
        <f t="shared" si="35"/>
        <v>2</v>
      </c>
      <c r="Y91" s="102" t="str">
        <f t="shared" si="36"/>
        <v>No</v>
      </c>
      <c r="Z91" s="102" t="str">
        <f>CHOOSE(MATCH(B91,{"Customer Appreciation","Exclusive Offers","Flash Sale","Holiday Discounts","New Product Launch","Newsletter"},0),"Fidelizar","Vender","Vender","Vender","Lanzar","Educar")</f>
        <v>Educar</v>
      </c>
      <c r="AA91" s="102" t="str">
        <f t="shared" si="37"/>
        <v>100 a 200 mil</v>
      </c>
      <c r="AB91" s="102">
        <f>COUNTIFS($E$5:$E$493,E91,$S$5:$S$493,"&lt;"&amp;S91)+COUNTIFS($E$5:E91,E91,$S$5:S91,S91)</f>
        <v>13</v>
      </c>
      <c r="AC91" s="102">
        <f t="shared" si="38"/>
        <v>22</v>
      </c>
      <c r="AD91" s="102" t="str">
        <f t="shared" si="39"/>
        <v>Medio</v>
      </c>
      <c r="AE91" s="103">
        <f t="shared" si="40"/>
        <v>25.109067936344264</v>
      </c>
      <c r="AF91" s="102" t="str">
        <f t="shared" si="41"/>
        <v xml:space="preserve"> tu dosis semanal de belleza  novedades y tips </v>
      </c>
      <c r="AG91" s="102" t="str">
        <f t="shared" si="42"/>
        <v xml:space="preserve"> novedades  tips y más para tu rutina diaria   entra ya  </v>
      </c>
      <c r="AH91" s="102" t="str">
        <f>IF(SUMPRODUCT(--(LEFT(IF(LEFT(LOWER(E91),1)="¡",MID(LOWER(E91),2,300),LOWER(E91)),LEN({"actualizaci","el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91" s="102" t="str">
        <f>IF(OR(SUMPRODUCT(--ISNUMBER(SEARCH({"descuento","oferta","ahorr","precio"," sale ","flash","deals"},AF91)))&gt;0,SUMPRODUCT(--ISNUMBER(SEARCH({"descuento","oferta","ahorr","precio"," sale ","flash","deals"},AG91)))&gt;0),"Sí","No")</f>
        <v>No</v>
      </c>
      <c r="AJ91" s="102" t="str">
        <f>IF(SUMPRODUCT(--ISNUMBER(SEARCH({" hoy ","horas","tiempo limitado","antes de que","se acab","se agot","finalic","última oportunidad","oportunidad única","relámpago","express","no esperes","no volver","no parpadees"},AF91)))&gt;0,"Sí","No")</f>
        <v>No</v>
      </c>
      <c r="AK91" s="102" t="str">
        <f>IF(SUMPRODUCT(--ISNUMBER(SEARCH({" hoy ","horas","tiempo limitado","antes de que","se acab","se agot","finalic","última oportunidad","oportunidad única","relámpago","express","no esperes","no volver","no parpadees"},AG91)))&gt;0,"Sí","No")</f>
        <v>No</v>
      </c>
      <c r="AL91" s="102" t="str">
        <f t="shared" si="43"/>
        <v>Sin descuento</v>
      </c>
      <c r="AM91" s="102" t="str">
        <f>IF(SUMPRODUCT(--ISNUMBER(SEARCH({"0","1","2","3","4","5","6","7","8","9","favorit","maquillaje","piel","cabello","productos","belleza","regalo"},E91)))&gt;0,"Sí","No")</f>
        <v>Sí</v>
      </c>
      <c r="AN91" s="102" t="str">
        <f>IF(SUMPRODUCT(--ISNUMBER(SEARCH({"lo que tenemos","estas ofertas","algo especial","ofertas únicas","que preparamos","no te quedes","echa un vistazo"},F91)))&gt;0,"Sí","No")</f>
        <v>No</v>
      </c>
      <c r="AO91" s="102">
        <f t="shared" si="44"/>
        <v>45</v>
      </c>
      <c r="AP91" s="102">
        <f t="shared" si="45"/>
        <v>8</v>
      </c>
      <c r="AQ91" s="102">
        <f>SUMPRODUCT(LEN(E91)-LEN(SUBSTITUTE(E91,{"!","¡","?","¿",":",",",".","%","·","-",";"},"")))</f>
        <v>1</v>
      </c>
      <c r="AR91" s="102" t="str">
        <f t="shared" si="46"/>
        <v>Sí</v>
      </c>
      <c r="AS91" s="102" t="str">
        <f t="shared" si="47"/>
        <v>No</v>
      </c>
      <c r="AT91" s="102" t="str">
        <f>IF(SUMPRODUCT(--ISNUMBER(FIND({"0","1","2","3","4","5","6","7","8","9"},E91)))&gt;0,"Con cifra concreta",IF(OR(ISNUMBER(FIND("?",E91)),ISNUMBER(FIND("¿",E91))),"Pregunta abierta",IF(SUMPRODUCT(--ISNUMBER(SEARCH({" hoy ","horas","tiempo limitado","antes de que","se acab","se agot","finalic","última oportunidad","oportunidad única","relámpago","express","no esperes","no volver","no parpadees"," ya ","últimas horas","últimas unidades"," ahora "},AF91)))&gt;0,"Solo urgencia, sin cifra",IF(SUMPRODUCT(--ISNUMBER(SEARCH({"recompensa","sorpresa","regalo","lealtad","detalle","gracias","pensamos en ti","para ti"},E91)))&gt;0,"Recompensa o sorpresa","Otro: beneficio o novedad"))))</f>
        <v>Otro: beneficio o novedad</v>
      </c>
    </row>
    <row r="92" spans="1:46" x14ac:dyDescent="0.2">
      <c r="A92" s="104" t="s">
        <v>954</v>
      </c>
      <c r="B92" s="104" t="s">
        <v>277</v>
      </c>
      <c r="C92" s="104" t="s">
        <v>955</v>
      </c>
      <c r="D92" s="104" t="s">
        <v>824</v>
      </c>
      <c r="E92" s="104" t="s">
        <v>469</v>
      </c>
      <c r="F92" s="104" t="s">
        <v>470</v>
      </c>
      <c r="G92" s="105">
        <v>459312</v>
      </c>
      <c r="H92" s="105">
        <v>180842</v>
      </c>
      <c r="I92" s="105">
        <v>46849</v>
      </c>
      <c r="J92" s="106">
        <v>6.18</v>
      </c>
      <c r="K92" s="106">
        <v>4.72</v>
      </c>
      <c r="L92" s="107">
        <v>77549.61</v>
      </c>
      <c r="M92" s="108">
        <f t="shared" si="24"/>
        <v>39.372365625108856</v>
      </c>
      <c r="N92" s="108">
        <f t="shared" si="25"/>
        <v>10.199820601247083</v>
      </c>
      <c r="O92" s="108">
        <f t="shared" si="26"/>
        <v>25.906039526216258</v>
      </c>
      <c r="P92" s="108">
        <f t="shared" si="27"/>
        <v>168.83863256348624</v>
      </c>
      <c r="Q92" s="108">
        <f t="shared" si="28"/>
        <v>29.233022524783024</v>
      </c>
      <c r="R92" s="108">
        <f t="shared" si="29"/>
        <v>30.71114383300629</v>
      </c>
      <c r="S92" s="101">
        <f t="shared" si="30"/>
        <v>45874</v>
      </c>
      <c r="T92" s="102" t="str">
        <f t="shared" si="31"/>
        <v>Agosto</v>
      </c>
      <c r="U92" s="102" t="str">
        <f t="shared" si="32"/>
        <v>Martes</v>
      </c>
      <c r="V92" s="102">
        <f t="shared" si="33"/>
        <v>10</v>
      </c>
      <c r="W92" s="102" t="str">
        <f t="shared" si="34"/>
        <v>Días después del pago</v>
      </c>
      <c r="X92" s="102">
        <f t="shared" si="35"/>
        <v>1</v>
      </c>
      <c r="Y92" s="102" t="str">
        <f t="shared" si="36"/>
        <v>No</v>
      </c>
      <c r="Z92" s="102" t="str">
        <f>CHOOSE(MATCH(B92,{"Customer Appreciation","Exclusive Offers","Flash Sale","Holiday Discounts","New Product Launch","Newsletter"},0),"Fidelizar","Vender","Vender","Vender","Lanzar","Educar")</f>
        <v>Vender</v>
      </c>
      <c r="AA92" s="102" t="str">
        <f t="shared" si="37"/>
        <v>Más de 400 mil</v>
      </c>
      <c r="AB92" s="102">
        <f>COUNTIFS($E$5:$E$493,E92,$S$5:$S$493,"&lt;"&amp;S92)+COUNTIFS($E$5:E92,E92,$S$5:S92,S92)</f>
        <v>2</v>
      </c>
      <c r="AC92" s="102">
        <f t="shared" si="38"/>
        <v>20</v>
      </c>
      <c r="AD92" s="102" t="str">
        <f t="shared" si="39"/>
        <v>Primer tercio</v>
      </c>
      <c r="AE92" s="103">
        <f t="shared" si="40"/>
        <v>10.139343100325831</v>
      </c>
      <c r="AF92" s="102" t="str">
        <f t="shared" si="41"/>
        <v xml:space="preserve">  celebra con nosotros  descuentos festivos para regalar </v>
      </c>
      <c r="AG92" s="102" t="str">
        <f t="shared" si="42"/>
        <v xml:space="preserve"> regalos perfectos y ofertas que te encantarán   descubre más  </v>
      </c>
      <c r="AH92" s="102" t="str">
        <f>IF(SUMPRODUCT(--(LEFT(IF(LEFT(LOWER(E92),1)="¡",MID(LOWER(E92),2,300),LOWER(E92)),LEN({"actualizaci","el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92" s="102" t="str">
        <f>IF(OR(SUMPRODUCT(--ISNUMBER(SEARCH({"descuento","oferta","ahorr","precio"," sale ","flash","deals"},AF92)))&gt;0,SUMPRODUCT(--ISNUMBER(SEARCH({"descuento","oferta","ahorr","precio"," sale ","flash","deals"},AG92)))&gt;0),"Sí","No")</f>
        <v>Sí</v>
      </c>
      <c r="AJ92" s="102" t="str">
        <f>IF(SUMPRODUCT(--ISNUMBER(SEARCH({" hoy ","horas","tiempo limitado","antes de que","se acab","se agot","finalic","última oportunidad","oportunidad única","relámpago","express","no esperes","no volver","no parpadees"},AF92)))&gt;0,"Sí","No")</f>
        <v>No</v>
      </c>
      <c r="AK92" s="102" t="str">
        <f>IF(SUMPRODUCT(--ISNUMBER(SEARCH({" hoy ","horas","tiempo limitado","antes de que","se acab","se agot","finalic","última oportunidad","oportunidad única","relámpago","express","no esperes","no volver","no parpadees"},AG92)))&gt;0,"Sí","No")</f>
        <v>No</v>
      </c>
      <c r="AL92" s="102" t="str">
        <f t="shared" si="43"/>
        <v>Descuento sin tiempo límite</v>
      </c>
      <c r="AM92" s="102" t="str">
        <f>IF(SUMPRODUCT(--ISNUMBER(SEARCH({"0","1","2","3","4","5","6","7","8","9","favorit","maquillaje","piel","cabello","productos","belleza","regalo"},E92)))&gt;0,"Sí","No")</f>
        <v>No</v>
      </c>
      <c r="AN92" s="102" t="str">
        <f>IF(SUMPRODUCT(--ISNUMBER(SEARCH({"lo que tenemos","estas ofertas","algo especial","ofertas únicas","que preparamos","no te quedes","echa un vistazo"},F92)))&gt;0,"Sí","No")</f>
        <v>No</v>
      </c>
      <c r="AO92" s="102">
        <f t="shared" si="44"/>
        <v>55</v>
      </c>
      <c r="AP92" s="102">
        <f t="shared" si="45"/>
        <v>7</v>
      </c>
      <c r="AQ92" s="102">
        <f>SUMPRODUCT(LEN(E92)-LEN(SUBSTITUTE(E92,{"!","¡","?","¿",":",",",".","%","·","-",";"},"")))</f>
        <v>2</v>
      </c>
      <c r="AR92" s="102" t="str">
        <f t="shared" si="46"/>
        <v>Sí</v>
      </c>
      <c r="AS92" s="102" t="str">
        <f t="shared" si="47"/>
        <v>No</v>
      </c>
      <c r="AT92" s="102" t="str">
        <f>IF(SUMPRODUCT(--ISNUMBER(FIND({"0","1","2","3","4","5","6","7","8","9"},E92)))&gt;0,"Con cifra concreta",IF(OR(ISNUMBER(FIND("?",E92)),ISNUMBER(FIND("¿",E92))),"Pregunta abierta",IF(SUMPRODUCT(--ISNUMBER(SEARCH({" hoy ","horas","tiempo limitado","antes de que","se acab","se agot","finalic","última oportunidad","oportunidad única","relámpago","express","no esperes","no volver","no parpadees"," ya ","últimas horas","últimas unidades"," ahora "},AF92)))&gt;0,"Solo urgencia, sin cifra",IF(SUMPRODUCT(--ISNUMBER(SEARCH({"recompensa","sorpresa","regalo","lealtad","detalle","gracias","pensamos en ti","para ti"},E92)))&gt;0,"Recompensa o sorpresa","Otro: beneficio o novedad"))))</f>
        <v>Otro: beneficio o novedad</v>
      </c>
    </row>
    <row r="93" spans="1:46" x14ac:dyDescent="0.2">
      <c r="A93" s="96" t="s">
        <v>956</v>
      </c>
      <c r="B93" s="96" t="s">
        <v>275</v>
      </c>
      <c r="C93" s="96" t="s">
        <v>838</v>
      </c>
      <c r="D93" s="96" t="s">
        <v>821</v>
      </c>
      <c r="E93" s="96" t="s">
        <v>455</v>
      </c>
      <c r="F93" s="96" t="s">
        <v>456</v>
      </c>
      <c r="G93" s="97">
        <v>379552</v>
      </c>
      <c r="H93" s="97">
        <v>154807</v>
      </c>
      <c r="I93" s="97">
        <v>61005</v>
      </c>
      <c r="J93" s="98">
        <v>4.79</v>
      </c>
      <c r="K93" s="98">
        <v>4.26</v>
      </c>
      <c r="L93" s="99">
        <v>4852.82</v>
      </c>
      <c r="M93" s="100">
        <f t="shared" si="24"/>
        <v>40.786769665289604</v>
      </c>
      <c r="N93" s="100">
        <f t="shared" si="25"/>
        <v>16.072896467414214</v>
      </c>
      <c r="O93" s="100">
        <f t="shared" si="26"/>
        <v>39.407132752394922</v>
      </c>
      <c r="P93" s="100">
        <f t="shared" si="27"/>
        <v>12.785652558806172</v>
      </c>
      <c r="Q93" s="100">
        <f t="shared" si="28"/>
        <v>38.720231784441999</v>
      </c>
      <c r="R93" s="100">
        <f t="shared" si="29"/>
        <v>27.021447627328243</v>
      </c>
      <c r="S93" s="101">
        <f t="shared" si="30"/>
        <v>45903</v>
      </c>
      <c r="T93" s="102" t="str">
        <f t="shared" si="31"/>
        <v>Septiembre</v>
      </c>
      <c r="U93" s="102" t="str">
        <f t="shared" si="32"/>
        <v>Miércoles</v>
      </c>
      <c r="V93" s="102">
        <f t="shared" si="33"/>
        <v>8</v>
      </c>
      <c r="W93" s="102" t="str">
        <f t="shared" si="34"/>
        <v>Días después del pago</v>
      </c>
      <c r="X93" s="102">
        <f t="shared" si="35"/>
        <v>2</v>
      </c>
      <c r="Y93" s="102" t="str">
        <f t="shared" si="36"/>
        <v>No</v>
      </c>
      <c r="Z93" s="102" t="str">
        <f>CHOOSE(MATCH(B93,{"Customer Appreciation","Exclusive Offers","Flash Sale","Holiday Discounts","New Product Launch","Newsletter"},0),"Fidelizar","Vender","Vender","Vender","Lanzar","Educar")</f>
        <v>Vender</v>
      </c>
      <c r="AA93" s="102" t="str">
        <f t="shared" si="37"/>
        <v>300 a 400 mil</v>
      </c>
      <c r="AB93" s="102">
        <f>COUNTIFS($E$5:$E$493,E93,$S$5:$S$493,"&lt;"&amp;S93)+COUNTIFS($E$5:E93,E93,$S$5:S93,S93)</f>
        <v>7</v>
      </c>
      <c r="AC93" s="102">
        <f t="shared" si="38"/>
        <v>15</v>
      </c>
      <c r="AD93" s="102" t="str">
        <f t="shared" si="39"/>
        <v>Medio</v>
      </c>
      <c r="AE93" s="103">
        <f t="shared" si="40"/>
        <v>2.0665378808476049</v>
      </c>
      <c r="AF93" s="102" t="str">
        <f t="shared" si="41"/>
        <v xml:space="preserve">  solo un clic te separa de estas ofertas  l'oréal paris </v>
      </c>
      <c r="AG93" s="102" t="str">
        <f t="shared" si="42"/>
        <v xml:space="preserve"> descuentos irresistibles en productos seleccionados   últimas horas  </v>
      </c>
      <c r="AH93" s="102" t="str">
        <f>IF(SUMPRODUCT(--(LEFT(IF(LEFT(LOWER(E93),1)="¡",MID(LOWER(E93),2,300),LOWER(E93)),LEN({"actualizaci","el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93" s="102" t="str">
        <f>IF(OR(SUMPRODUCT(--ISNUMBER(SEARCH({"descuento","oferta","ahorr","precio"," sale ","flash","deals"},AF93)))&gt;0,SUMPRODUCT(--ISNUMBER(SEARCH({"descuento","oferta","ahorr","precio"," sale ","flash","deals"},AG93)))&gt;0),"Sí","No")</f>
        <v>Sí</v>
      </c>
      <c r="AJ93" s="102" t="str">
        <f>IF(SUMPRODUCT(--ISNUMBER(SEARCH({" hoy ","horas","tiempo limitado","antes de que","se acab","se agot","finalic","última oportunidad","oportunidad única","relámpago","express","no esperes","no volver","no parpadees"},AF93)))&gt;0,"Sí","No")</f>
        <v>No</v>
      </c>
      <c r="AK93" s="102" t="str">
        <f>IF(SUMPRODUCT(--ISNUMBER(SEARCH({" hoy ","horas","tiempo limitado","antes de que","se acab","se agot","finalic","última oportunidad","oportunidad única","relámpago","express","no esperes","no volver","no parpadees"},AG93)))&gt;0,"Sí","No")</f>
        <v>Sí</v>
      </c>
      <c r="AL93" s="102" t="str">
        <f t="shared" si="43"/>
        <v>Descuento con tiempo límite solo en el preheader</v>
      </c>
      <c r="AM93" s="102" t="str">
        <f>IF(SUMPRODUCT(--ISNUMBER(SEARCH({"0","1","2","3","4","5","6","7","8","9","favorit","maquillaje","piel","cabello","productos","belleza","regalo"},E93)))&gt;0,"Sí","No")</f>
        <v>No</v>
      </c>
      <c r="AN93" s="102" t="str">
        <f>IF(SUMPRODUCT(--ISNUMBER(SEARCH({"lo que tenemos","estas ofertas","algo especial","ofertas únicas","que preparamos","no te quedes","echa un vistazo"},F93)))&gt;0,"Sí","No")</f>
        <v>No</v>
      </c>
      <c r="AO93" s="102">
        <f t="shared" si="44"/>
        <v>55</v>
      </c>
      <c r="AP93" s="102">
        <f t="shared" si="45"/>
        <v>10</v>
      </c>
      <c r="AQ93" s="102">
        <f>SUMPRODUCT(LEN(E93)-LEN(SUBSTITUTE(E93,{"!","¡","?","¿",":",",",".","%","·","-",";"},"")))</f>
        <v>2</v>
      </c>
      <c r="AR93" s="102" t="str">
        <f t="shared" si="46"/>
        <v>No</v>
      </c>
      <c r="AS93" s="102" t="str">
        <f t="shared" si="47"/>
        <v>No</v>
      </c>
      <c r="AT93" s="102" t="str">
        <f>IF(SUMPRODUCT(--ISNUMBER(FIND({"0","1","2","3","4","5","6","7","8","9"},E93)))&gt;0,"Con cifra concreta",IF(OR(ISNUMBER(FIND("?",E93)),ISNUMBER(FIND("¿",E93))),"Pregunta abierta",IF(SUMPRODUCT(--ISNUMBER(SEARCH({" hoy ","horas","tiempo limitado","antes de que","se acab","se agot","finalic","última oportunidad","oportunidad única","relámpago","express","no esperes","no volver","no parpadees"," ya ","últimas horas","últimas unidades"," ahora "},AF93)))&gt;0,"Solo urgencia, sin cifra",IF(SUMPRODUCT(--ISNUMBER(SEARCH({"recompensa","sorpresa","regalo","lealtad","detalle","gracias","pensamos en ti","para ti"},E93)))&gt;0,"Recompensa o sorpresa","Otro: beneficio o novedad"))))</f>
        <v>Otro: beneficio o novedad</v>
      </c>
    </row>
    <row r="94" spans="1:46" x14ac:dyDescent="0.2">
      <c r="A94" s="104" t="s">
        <v>957</v>
      </c>
      <c r="B94" s="104" t="s">
        <v>279</v>
      </c>
      <c r="C94" s="104" t="s">
        <v>742</v>
      </c>
      <c r="D94" s="104" t="s">
        <v>794</v>
      </c>
      <c r="E94" s="104" t="s">
        <v>801</v>
      </c>
      <c r="F94" s="104" t="s">
        <v>802</v>
      </c>
      <c r="G94" s="105">
        <v>4564</v>
      </c>
      <c r="H94" s="105">
        <v>1276</v>
      </c>
      <c r="I94" s="105">
        <v>182</v>
      </c>
      <c r="J94" s="106">
        <v>4.26</v>
      </c>
      <c r="K94" s="106">
        <v>1.39</v>
      </c>
      <c r="L94" s="107">
        <v>42334.99</v>
      </c>
      <c r="M94" s="108">
        <f t="shared" si="24"/>
        <v>27.957931638913237</v>
      </c>
      <c r="N94" s="108">
        <f t="shared" si="25"/>
        <v>3.9877300613496933</v>
      </c>
      <c r="O94" s="108">
        <f t="shared" si="26"/>
        <v>14.263322884012538</v>
      </c>
      <c r="P94" s="108">
        <f t="shared" si="27"/>
        <v>9275.8523225241024</v>
      </c>
      <c r="Q94" s="108">
        <f t="shared" si="28"/>
        <v>32.57726336512259</v>
      </c>
      <c r="R94" s="108">
        <f t="shared" si="29"/>
        <v>27.75136451093497</v>
      </c>
      <c r="S94" s="101">
        <f t="shared" si="30"/>
        <v>45948</v>
      </c>
      <c r="T94" s="102" t="str">
        <f t="shared" si="31"/>
        <v>Octubre</v>
      </c>
      <c r="U94" s="102" t="str">
        <f t="shared" si="32"/>
        <v>Sábado</v>
      </c>
      <c r="V94" s="102">
        <f t="shared" si="33"/>
        <v>12</v>
      </c>
      <c r="W94" s="102" t="str">
        <f t="shared" si="34"/>
        <v>Días después del pago</v>
      </c>
      <c r="X94" s="102">
        <f t="shared" si="35"/>
        <v>27</v>
      </c>
      <c r="Y94" s="102" t="str">
        <f t="shared" si="36"/>
        <v>Sí</v>
      </c>
      <c r="Z94" s="102" t="str">
        <f>CHOOSE(MATCH(B94,{"Customer Appreciation","Exclusive Offers","Flash Sale","Holiday Discounts","New Product Launch","Newsletter"},0),"Fidelizar","Vender","Vender","Vender","Lanzar","Educar")</f>
        <v>Educar</v>
      </c>
      <c r="AA94" s="102" t="str">
        <f t="shared" si="37"/>
        <v>Menos de 100 mil</v>
      </c>
      <c r="AB94" s="102">
        <f>COUNTIFS($E$5:$E$493,E94,$S$5:$S$493,"&lt;"&amp;S94)+COUNTIFS($E$5:E94,E94,$S$5:S94,S94)</f>
        <v>2</v>
      </c>
      <c r="AC94" s="102">
        <f t="shared" si="38"/>
        <v>2</v>
      </c>
      <c r="AD94" s="102" t="str">
        <f t="shared" si="39"/>
        <v/>
      </c>
      <c r="AE94" s="103">
        <f t="shared" si="40"/>
        <v>-4.619331726209353</v>
      </c>
      <c r="AF94" s="102" t="str">
        <f t="shared" si="41"/>
        <v xml:space="preserve"> descubre las últimas tendencias en belleza y cuidado personal </v>
      </c>
      <c r="AG94" s="102" t="str">
        <f t="shared" si="42"/>
        <v xml:space="preserve"> tu guía completa para un look perfecto   entra ya  </v>
      </c>
      <c r="AH94" s="102" t="str">
        <f>IF(SUMPRODUCT(--(LEFT(IF(LEFT(LOWER(E94),1)="¡",MID(LOWER(E94),2,300),LOWER(E94)),LEN({"actualizaci","el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94" s="102" t="str">
        <f>IF(OR(SUMPRODUCT(--ISNUMBER(SEARCH({"descuento","oferta","ahorr","precio"," sale ","flash","deals"},AF94)))&gt;0,SUMPRODUCT(--ISNUMBER(SEARCH({"descuento","oferta","ahorr","precio"," sale ","flash","deals"},AG94)))&gt;0),"Sí","No")</f>
        <v>No</v>
      </c>
      <c r="AJ94" s="102" t="str">
        <f>IF(SUMPRODUCT(--ISNUMBER(SEARCH({" hoy ","horas","tiempo limitado","antes de que","se acab","se agot","finalic","última oportunidad","oportunidad única","relámpago","express","no esperes","no volver","no parpadees"},AF94)))&gt;0,"Sí","No")</f>
        <v>No</v>
      </c>
      <c r="AK94" s="102" t="str">
        <f>IF(SUMPRODUCT(--ISNUMBER(SEARCH({" hoy ","horas","tiempo limitado","antes de que","se acab","se agot","finalic","última oportunidad","oportunidad única","relámpago","express","no esperes","no volver","no parpadees"},AG94)))&gt;0,"Sí","No")</f>
        <v>No</v>
      </c>
      <c r="AL94" s="102" t="str">
        <f t="shared" si="43"/>
        <v>Sin descuento</v>
      </c>
      <c r="AM94" s="102" t="str">
        <f>IF(SUMPRODUCT(--ISNUMBER(SEARCH({"0","1","2","3","4","5","6","7","8","9","favorit","maquillaje","piel","cabello","productos","belleza","regalo"},E94)))&gt;0,"Sí","No")</f>
        <v>Sí</v>
      </c>
      <c r="AN94" s="102" t="str">
        <f>IF(SUMPRODUCT(--ISNUMBER(SEARCH({"lo que tenemos","estas ofertas","algo especial","ofertas únicas","que preparamos","no te quedes","echa un vistazo"},F94)))&gt;0,"Sí","No")</f>
        <v>No</v>
      </c>
      <c r="AO94" s="102">
        <f t="shared" si="44"/>
        <v>61</v>
      </c>
      <c r="AP94" s="102">
        <f t="shared" si="45"/>
        <v>9</v>
      </c>
      <c r="AQ94" s="102">
        <f>SUMPRODUCT(LEN(E94)-LEN(SUBSTITUTE(E94,{"!","¡","?","¿",":",",",".","%","·","-",";"},"")))</f>
        <v>0</v>
      </c>
      <c r="AR94" s="102" t="str">
        <f t="shared" si="46"/>
        <v>No</v>
      </c>
      <c r="AS94" s="102" t="str">
        <f t="shared" si="47"/>
        <v>No</v>
      </c>
      <c r="AT94" s="102" t="str">
        <f>IF(SUMPRODUCT(--ISNUMBER(FIND({"0","1","2","3","4","5","6","7","8","9"},E94)))&gt;0,"Con cifra concreta",IF(OR(ISNUMBER(FIND("?",E94)),ISNUMBER(FIND("¿",E94))),"Pregunta abierta",IF(SUMPRODUCT(--ISNUMBER(SEARCH({" hoy ","horas","tiempo limitado","antes de que","se acab","se agot","finalic","última oportunidad","oportunidad única","relámpago","express","no esperes","no volver","no parpadees"," ya ","últimas horas","últimas unidades"," ahora "},AF94)))&gt;0,"Solo urgencia, sin cifra",IF(SUMPRODUCT(--ISNUMBER(SEARCH({"recompensa","sorpresa","regalo","lealtad","detalle","gracias","pensamos en ti","para ti"},E94)))&gt;0,"Recompensa o sorpresa","Otro: beneficio o novedad"))))</f>
        <v>Otro: beneficio o novedad</v>
      </c>
    </row>
    <row r="95" spans="1:46" x14ac:dyDescent="0.2">
      <c r="A95" s="96" t="s">
        <v>958</v>
      </c>
      <c r="B95" s="96" t="s">
        <v>274</v>
      </c>
      <c r="C95" s="96" t="s">
        <v>872</v>
      </c>
      <c r="D95" s="96" t="s">
        <v>786</v>
      </c>
      <c r="E95" s="96" t="s">
        <v>453</v>
      </c>
      <c r="F95" s="96" t="s">
        <v>454</v>
      </c>
      <c r="G95" s="97">
        <v>423657</v>
      </c>
      <c r="H95" s="97">
        <v>160359</v>
      </c>
      <c r="I95" s="97">
        <v>12959</v>
      </c>
      <c r="J95" s="98">
        <v>4.92</v>
      </c>
      <c r="K95" s="98">
        <v>0.66</v>
      </c>
      <c r="L95" s="99">
        <v>23759.31</v>
      </c>
      <c r="M95" s="100">
        <f t="shared" si="24"/>
        <v>37.851139011039592</v>
      </c>
      <c r="N95" s="100">
        <f t="shared" si="25"/>
        <v>3.0588424126120897</v>
      </c>
      <c r="O95" s="100">
        <f t="shared" si="26"/>
        <v>8.0812427116657002</v>
      </c>
      <c r="P95" s="100">
        <f t="shared" si="27"/>
        <v>56.081476288601401</v>
      </c>
      <c r="Q95" s="100">
        <f t="shared" si="28"/>
        <v>39.210446566150395</v>
      </c>
      <c r="R95" s="100">
        <f t="shared" si="29"/>
        <v>31.113650744455075</v>
      </c>
      <c r="S95" s="101">
        <f t="shared" si="30"/>
        <v>45878</v>
      </c>
      <c r="T95" s="102" t="str">
        <f t="shared" si="31"/>
        <v>Agosto</v>
      </c>
      <c r="U95" s="102" t="str">
        <f t="shared" si="32"/>
        <v>Sábado</v>
      </c>
      <c r="V95" s="102">
        <f t="shared" si="33"/>
        <v>15</v>
      </c>
      <c r="W95" s="102" t="str">
        <f t="shared" si="34"/>
        <v>Resto del mes</v>
      </c>
      <c r="X95" s="102">
        <f t="shared" si="35"/>
        <v>2</v>
      </c>
      <c r="Y95" s="102" t="str">
        <f t="shared" si="36"/>
        <v>No</v>
      </c>
      <c r="Z95" s="102" t="str">
        <f>CHOOSE(MATCH(B95,{"Customer Appreciation","Exclusive Offers","Flash Sale","Holiday Discounts","New Product Launch","Newsletter"},0),"Fidelizar","Vender","Vender","Vender","Lanzar","Educar")</f>
        <v>Fidelizar</v>
      </c>
      <c r="AA95" s="102" t="str">
        <f t="shared" si="37"/>
        <v>Más de 400 mil</v>
      </c>
      <c r="AB95" s="102">
        <f>COUNTIFS($E$5:$E$493,E95,$S$5:$S$493,"&lt;"&amp;S95)+COUNTIFS($E$5:E95,E95,$S$5:S95,S95)</f>
        <v>5</v>
      </c>
      <c r="AC95" s="102">
        <f t="shared" si="38"/>
        <v>20</v>
      </c>
      <c r="AD95" s="102" t="str">
        <f t="shared" si="39"/>
        <v>Primer tercio</v>
      </c>
      <c r="AE95" s="103">
        <f t="shared" si="40"/>
        <v>-1.3593075551108029</v>
      </c>
      <c r="AF95" s="102" t="str">
        <f t="shared" si="41"/>
        <v xml:space="preserve">  pensamos en ti  descubre estas sorpresas exclusivas </v>
      </c>
      <c r="AG95" s="102" t="str">
        <f t="shared" si="42"/>
        <v xml:space="preserve"> ofertas exclusivas por tu lealtad a l'oréal   aprovecha  </v>
      </c>
      <c r="AH95" s="102" t="str">
        <f>IF(SUMPRODUCT(--(LEFT(IF(LEFT(LOWER(E95),1)="¡",MID(LOWER(E95),2,300),LOWER(E95)),LEN({"actualizaci","el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95" s="102" t="str">
        <f>IF(OR(SUMPRODUCT(--ISNUMBER(SEARCH({"descuento","oferta","ahorr","precio"," sale ","flash","deals"},AF95)))&gt;0,SUMPRODUCT(--ISNUMBER(SEARCH({"descuento","oferta","ahorr","precio"," sale ","flash","deals"},AG95)))&gt;0),"Sí","No")</f>
        <v>Sí</v>
      </c>
      <c r="AJ95" s="102" t="str">
        <f>IF(SUMPRODUCT(--ISNUMBER(SEARCH({" hoy ","horas","tiempo limitado","antes de que","se acab","se agot","finalic","última oportunidad","oportunidad única","relámpago","express","no esperes","no volver","no parpadees"},AF95)))&gt;0,"Sí","No")</f>
        <v>No</v>
      </c>
      <c r="AK95" s="102" t="str">
        <f>IF(SUMPRODUCT(--ISNUMBER(SEARCH({" hoy ","horas","tiempo limitado","antes de que","se acab","se agot","finalic","última oportunidad","oportunidad única","relámpago","express","no esperes","no volver","no parpadees"},AG95)))&gt;0,"Sí","No")</f>
        <v>No</v>
      </c>
      <c r="AL95" s="102" t="str">
        <f t="shared" si="43"/>
        <v>Descuento sin tiempo límite</v>
      </c>
      <c r="AM95" s="102" t="str">
        <f>IF(SUMPRODUCT(--ISNUMBER(SEARCH({"0","1","2","3","4","5","6","7","8","9","favorit","maquillaje","piel","cabello","productos","belleza","regalo"},E95)))&gt;0,"Sí","No")</f>
        <v>No</v>
      </c>
      <c r="AN95" s="102" t="str">
        <f>IF(SUMPRODUCT(--ISNUMBER(SEARCH({"lo que tenemos","estas ofertas","algo especial","ofertas únicas","que preparamos","no te quedes","echa un vistazo"},F95)))&gt;0,"Sí","No")</f>
        <v>No</v>
      </c>
      <c r="AO95" s="102">
        <f t="shared" si="44"/>
        <v>52</v>
      </c>
      <c r="AP95" s="102">
        <f t="shared" si="45"/>
        <v>7</v>
      </c>
      <c r="AQ95" s="102">
        <f>SUMPRODUCT(LEN(E95)-LEN(SUBSTITUTE(E95,{"!","¡","?","¿",":",",",".","%","·","-",";"},"")))</f>
        <v>2</v>
      </c>
      <c r="AR95" s="102" t="str">
        <f t="shared" si="46"/>
        <v>Sí</v>
      </c>
      <c r="AS95" s="102" t="str">
        <f t="shared" si="47"/>
        <v>No</v>
      </c>
      <c r="AT95" s="102" t="str">
        <f>IF(SUMPRODUCT(--ISNUMBER(FIND({"0","1","2","3","4","5","6","7","8","9"},E95)))&gt;0,"Con cifra concreta",IF(OR(ISNUMBER(FIND("?",E95)),ISNUMBER(FIND("¿",E95))),"Pregunta abierta",IF(SUMPRODUCT(--ISNUMBER(SEARCH({" hoy ","horas","tiempo limitado","antes de que","se acab","se agot","finalic","última oportunidad","oportunidad única","relámpago","express","no esperes","no volver","no parpadees"," ya ","últimas horas","últimas unidades"," ahora "},AF95)))&gt;0,"Solo urgencia, sin cifra",IF(SUMPRODUCT(--ISNUMBER(SEARCH({"recompensa","sorpresa","regalo","lealtad","detalle","gracias","pensamos en ti","para ti"},E95)))&gt;0,"Recompensa o sorpresa","Otro: beneficio o novedad"))))</f>
        <v>Recompensa o sorpresa</v>
      </c>
    </row>
    <row r="96" spans="1:46" x14ac:dyDescent="0.2">
      <c r="A96" s="104" t="s">
        <v>959</v>
      </c>
      <c r="B96" s="104" t="s">
        <v>274</v>
      </c>
      <c r="C96" s="104" t="s">
        <v>815</v>
      </c>
      <c r="D96" s="104" t="s">
        <v>769</v>
      </c>
      <c r="E96" s="104" t="s">
        <v>687</v>
      </c>
      <c r="F96" s="104" t="s">
        <v>688</v>
      </c>
      <c r="G96" s="105">
        <v>138240</v>
      </c>
      <c r="H96" s="105">
        <v>68625</v>
      </c>
      <c r="I96" s="105">
        <v>10397</v>
      </c>
      <c r="J96" s="106">
        <v>4.9400000000000004</v>
      </c>
      <c r="K96" s="106">
        <v>2.4</v>
      </c>
      <c r="L96" s="107">
        <v>12277.03</v>
      </c>
      <c r="M96" s="108">
        <f t="shared" si="24"/>
        <v>49.641927083333329</v>
      </c>
      <c r="N96" s="108">
        <f t="shared" si="25"/>
        <v>7.5209780092592586</v>
      </c>
      <c r="O96" s="108">
        <f t="shared" si="26"/>
        <v>15.150455373406194</v>
      </c>
      <c r="P96" s="108">
        <f t="shared" si="27"/>
        <v>88.809534143518519</v>
      </c>
      <c r="Q96" s="108">
        <f t="shared" si="28"/>
        <v>22.904078042170426</v>
      </c>
      <c r="R96" s="108">
        <f t="shared" si="29"/>
        <v>31.113650744455075</v>
      </c>
      <c r="S96" s="101">
        <f t="shared" si="30"/>
        <v>45959</v>
      </c>
      <c r="T96" s="102" t="str">
        <f t="shared" si="31"/>
        <v>Octubre</v>
      </c>
      <c r="U96" s="102" t="str">
        <f t="shared" si="32"/>
        <v>Miércoles</v>
      </c>
      <c r="V96" s="102">
        <f t="shared" si="33"/>
        <v>13</v>
      </c>
      <c r="W96" s="102" t="str">
        <f t="shared" si="34"/>
        <v>Resto del mes</v>
      </c>
      <c r="X96" s="102">
        <f t="shared" si="35"/>
        <v>27</v>
      </c>
      <c r="Y96" s="102" t="str">
        <f t="shared" si="36"/>
        <v>Sí</v>
      </c>
      <c r="Z96" s="102" t="str">
        <f>CHOOSE(MATCH(B96,{"Customer Appreciation","Exclusive Offers","Flash Sale","Holiday Discounts","New Product Launch","Newsletter"},0),"Fidelizar","Vender","Vender","Vender","Lanzar","Educar")</f>
        <v>Fidelizar</v>
      </c>
      <c r="AA96" s="102" t="str">
        <f t="shared" si="37"/>
        <v>100 a 200 mil</v>
      </c>
      <c r="AB96" s="102">
        <f>COUNTIFS($E$5:$E$493,E96,$S$5:$S$493,"&lt;"&amp;S96)+COUNTIFS($E$5:E96,E96,$S$5:S96,S96)</f>
        <v>4</v>
      </c>
      <c r="AC96" s="102">
        <f t="shared" si="38"/>
        <v>4</v>
      </c>
      <c r="AD96" s="102" t="str">
        <f t="shared" si="39"/>
        <v/>
      </c>
      <c r="AE96" s="103">
        <f t="shared" si="40"/>
        <v>26.737849041162903</v>
      </c>
      <c r="AF96" s="102" t="str">
        <f t="shared" si="41"/>
        <v xml:space="preserve">  gracias por ser parte de l'oréal  ofertas para ti </v>
      </c>
      <c r="AG96" s="102" t="str">
        <f t="shared" si="42"/>
        <v xml:space="preserve"> descubre nuestras novedades y ofertas exclusivas para ti   te encantarán  </v>
      </c>
      <c r="AH96" s="102" t="str">
        <f>IF(SUMPRODUCT(--(LEFT(IF(LEFT(LOWER(E96),1)="¡",MID(LOWER(E96),2,300),LOWER(E96)),LEN({"actualizaci","el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96" s="102" t="str">
        <f>IF(OR(SUMPRODUCT(--ISNUMBER(SEARCH({"descuento","oferta","ahorr","precio"," sale ","flash","deals"},AF96)))&gt;0,SUMPRODUCT(--ISNUMBER(SEARCH({"descuento","oferta","ahorr","precio"," sale ","flash","deals"},AG96)))&gt;0),"Sí","No")</f>
        <v>Sí</v>
      </c>
      <c r="AJ96" s="102" t="str">
        <f>IF(SUMPRODUCT(--ISNUMBER(SEARCH({" hoy ","horas","tiempo limitado","antes de que","se acab","se agot","finalic","última oportunidad","oportunidad única","relámpago","express","no esperes","no volver","no parpadees"},AF96)))&gt;0,"Sí","No")</f>
        <v>No</v>
      </c>
      <c r="AK96" s="102" t="str">
        <f>IF(SUMPRODUCT(--ISNUMBER(SEARCH({" hoy ","horas","tiempo limitado","antes de que","se acab","se agot","finalic","última oportunidad","oportunidad única","relámpago","express","no esperes","no volver","no parpadees"},AG96)))&gt;0,"Sí","No")</f>
        <v>No</v>
      </c>
      <c r="AL96" s="102" t="str">
        <f t="shared" si="43"/>
        <v>Descuento sin tiempo límite</v>
      </c>
      <c r="AM96" s="102" t="str">
        <f>IF(SUMPRODUCT(--ISNUMBER(SEARCH({"0","1","2","3","4","5","6","7","8","9","favorit","maquillaje","piel","cabello","productos","belleza","regalo"},E96)))&gt;0,"Sí","No")</f>
        <v>No</v>
      </c>
      <c r="AN96" s="102" t="str">
        <f>IF(SUMPRODUCT(--ISNUMBER(SEARCH({"lo que tenemos","estas ofertas","algo especial","ofertas únicas","que preparamos","no te quedes","echa un vistazo"},F96)))&gt;0,"Sí","No")</f>
        <v>No</v>
      </c>
      <c r="AO96" s="102">
        <f t="shared" si="44"/>
        <v>50</v>
      </c>
      <c r="AP96" s="102">
        <f t="shared" si="45"/>
        <v>9</v>
      </c>
      <c r="AQ96" s="102">
        <f>SUMPRODUCT(LEN(E96)-LEN(SUBSTITUTE(E96,{"!","¡","?","¿",":",",",".","%","·","-",";"},"")))</f>
        <v>2</v>
      </c>
      <c r="AR96" s="102" t="str">
        <f t="shared" si="46"/>
        <v>Sí</v>
      </c>
      <c r="AS96" s="102" t="str">
        <f t="shared" si="47"/>
        <v>No</v>
      </c>
      <c r="AT96" s="102" t="str">
        <f>IF(SUMPRODUCT(--ISNUMBER(FIND({"0","1","2","3","4","5","6","7","8","9"},E96)))&gt;0,"Con cifra concreta",IF(OR(ISNUMBER(FIND("?",E96)),ISNUMBER(FIND("¿",E96))),"Pregunta abierta",IF(SUMPRODUCT(--ISNUMBER(SEARCH({" hoy ","horas","tiempo limitado","antes de que","se acab","se agot","finalic","última oportunidad","oportunidad única","relámpago","express","no esperes","no volver","no parpadees"," ya ","últimas horas","últimas unidades"," ahora "},AF96)))&gt;0,"Solo urgencia, sin cifra",IF(SUMPRODUCT(--ISNUMBER(SEARCH({"recompensa","sorpresa","regalo","lealtad","detalle","gracias","pensamos en ti","para ti"},E96)))&gt;0,"Recompensa o sorpresa","Otro: beneficio o novedad"))))</f>
        <v>Recompensa o sorpresa</v>
      </c>
    </row>
    <row r="97" spans="1:46" x14ac:dyDescent="0.2">
      <c r="A97" s="96" t="s">
        <v>960</v>
      </c>
      <c r="B97" s="96" t="s">
        <v>276</v>
      </c>
      <c r="C97" s="96" t="s">
        <v>878</v>
      </c>
      <c r="D97" s="96" t="s">
        <v>774</v>
      </c>
      <c r="E97" s="96" t="s">
        <v>450</v>
      </c>
      <c r="F97" s="96" t="s">
        <v>451</v>
      </c>
      <c r="G97" s="97">
        <v>215783</v>
      </c>
      <c r="H97" s="97">
        <v>68744</v>
      </c>
      <c r="I97" s="97">
        <v>15277</v>
      </c>
      <c r="J97" s="98">
        <v>8.44</v>
      </c>
      <c r="K97" s="98">
        <v>2.25</v>
      </c>
      <c r="L97" s="99">
        <v>85625.12</v>
      </c>
      <c r="M97" s="100">
        <f t="shared" si="24"/>
        <v>31.857931347696528</v>
      </c>
      <c r="N97" s="100">
        <f t="shared" si="25"/>
        <v>7.0797977597864516</v>
      </c>
      <c r="O97" s="100">
        <f t="shared" si="26"/>
        <v>22.223030373559872</v>
      </c>
      <c r="P97" s="100">
        <f t="shared" si="27"/>
        <v>396.81124092259353</v>
      </c>
      <c r="Q97" s="100">
        <f t="shared" si="28"/>
        <v>41.593592985418489</v>
      </c>
      <c r="R97" s="100">
        <f t="shared" si="29"/>
        <v>29.440902453236173</v>
      </c>
      <c r="S97" s="101">
        <f t="shared" si="30"/>
        <v>45924</v>
      </c>
      <c r="T97" s="102" t="str">
        <f t="shared" si="31"/>
        <v>Septiembre</v>
      </c>
      <c r="U97" s="102" t="str">
        <f t="shared" si="32"/>
        <v>Miércoles</v>
      </c>
      <c r="V97" s="102">
        <f t="shared" si="33"/>
        <v>11</v>
      </c>
      <c r="W97" s="102" t="str">
        <f t="shared" si="34"/>
        <v>Resto del mes</v>
      </c>
      <c r="X97" s="102">
        <f t="shared" si="35"/>
        <v>2</v>
      </c>
      <c r="Y97" s="102" t="str">
        <f t="shared" si="36"/>
        <v>No</v>
      </c>
      <c r="Z97" s="102" t="str">
        <f>CHOOSE(MATCH(B97,{"Customer Appreciation","Exclusive Offers","Flash Sale","Holiday Discounts","New Product Launch","Newsletter"},0),"Fidelizar","Vender","Vender","Vender","Lanzar","Educar")</f>
        <v>Vender</v>
      </c>
      <c r="AA97" s="102" t="str">
        <f t="shared" si="37"/>
        <v>200 a 300 mil</v>
      </c>
      <c r="AB97" s="102">
        <f>COUNTIFS($E$5:$E$493,E97,$S$5:$S$493,"&lt;"&amp;S97)+COUNTIFS($E$5:E97,E97,$S$5:S97,S97)</f>
        <v>16</v>
      </c>
      <c r="AC97" s="102">
        <f t="shared" si="38"/>
        <v>21</v>
      </c>
      <c r="AD97" s="102" t="str">
        <f t="shared" si="39"/>
        <v>Último tercio</v>
      </c>
      <c r="AE97" s="103">
        <f t="shared" si="40"/>
        <v>-9.7356616377219609</v>
      </c>
      <c r="AF97" s="102" t="str">
        <f t="shared" si="41"/>
        <v xml:space="preserve">  ahorra ya  flash sale  hasta 50% en tus favoritos </v>
      </c>
      <c r="AG97" s="102" t="str">
        <f t="shared" si="42"/>
        <v xml:space="preserve"> edición limitada  maquillaje  cuidado de piel y más   corre  </v>
      </c>
      <c r="AH97" s="102" t="str">
        <f>IF(SUMPRODUCT(--(LEFT(IF(LEFT(LOWER(E97),1)="¡",MID(LOWER(E97),2,300),LOWER(E97)),LEN({"actualizaci","el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97" s="102" t="str">
        <f>IF(OR(SUMPRODUCT(--ISNUMBER(SEARCH({"descuento","oferta","ahorr","precio"," sale ","flash","deals"},AF97)))&gt;0,SUMPRODUCT(--ISNUMBER(SEARCH({"descuento","oferta","ahorr","precio"," sale ","flash","deals"},AG97)))&gt;0),"Sí","No")</f>
        <v>Sí</v>
      </c>
      <c r="AJ97" s="102" t="str">
        <f>IF(SUMPRODUCT(--ISNUMBER(SEARCH({" hoy ","horas","tiempo limitado","antes de que","se acab","se agot","finalic","última oportunidad","oportunidad única","relámpago","express","no esperes","no volver","no parpadees"},AF97)))&gt;0,"Sí","No")</f>
        <v>No</v>
      </c>
      <c r="AK97" s="102" t="str">
        <f>IF(SUMPRODUCT(--ISNUMBER(SEARCH({" hoy ","horas","tiempo limitado","antes de que","se acab","se agot","finalic","última oportunidad","oportunidad única","relámpago","express","no esperes","no volver","no parpadees"},AG97)))&gt;0,"Sí","No")</f>
        <v>No</v>
      </c>
      <c r="AL97" s="102" t="str">
        <f t="shared" si="43"/>
        <v>Descuento sin tiempo límite</v>
      </c>
      <c r="AM97" s="102" t="str">
        <f>IF(SUMPRODUCT(--ISNUMBER(SEARCH({"0","1","2","3","4","5","6","7","8","9","favorit","maquillaje","piel","cabello","productos","belleza","regalo"},E97)))&gt;0,"Sí","No")</f>
        <v>Sí</v>
      </c>
      <c r="AN97" s="102" t="str">
        <f>IF(SUMPRODUCT(--ISNUMBER(SEARCH({"lo que tenemos","estas ofertas","algo especial","ofertas únicas","que preparamos","no te quedes","echa un vistazo"},F97)))&gt;0,"Sí","No")</f>
        <v>No</v>
      </c>
      <c r="AO97" s="102">
        <f t="shared" si="44"/>
        <v>50</v>
      </c>
      <c r="AP97" s="102">
        <f t="shared" si="45"/>
        <v>9</v>
      </c>
      <c r="AQ97" s="102">
        <f>SUMPRODUCT(LEN(E97)-LEN(SUBSTITUTE(E97,{"!","¡","?","¿",":",",",".","%","·","-",";"},"")))</f>
        <v>4</v>
      </c>
      <c r="AR97" s="102" t="str">
        <f t="shared" si="46"/>
        <v>No</v>
      </c>
      <c r="AS97" s="102" t="str">
        <f t="shared" si="47"/>
        <v>No</v>
      </c>
      <c r="AT97" s="102" t="str">
        <f>IF(SUMPRODUCT(--ISNUMBER(FIND({"0","1","2","3","4","5","6","7","8","9"},E97)))&gt;0,"Con cifra concreta",IF(OR(ISNUMBER(FIND("?",E97)),ISNUMBER(FIND("¿",E97))),"Pregunta abierta",IF(SUMPRODUCT(--ISNUMBER(SEARCH({" hoy ","horas","tiempo limitado","antes de que","se acab","se agot","finalic","última oportunidad","oportunidad única","relámpago","express","no esperes","no volver","no parpadees"," ya ","últimas horas","últimas unidades"," ahora "},AF97)))&gt;0,"Solo urgencia, sin cifra",IF(SUMPRODUCT(--ISNUMBER(SEARCH({"recompensa","sorpresa","regalo","lealtad","detalle","gracias","pensamos en ti","para ti"},E97)))&gt;0,"Recompensa o sorpresa","Otro: beneficio o novedad"))))</f>
        <v>Con cifra concreta</v>
      </c>
    </row>
    <row r="98" spans="1:46" x14ac:dyDescent="0.2">
      <c r="A98" s="104" t="s">
        <v>961</v>
      </c>
      <c r="B98" s="104" t="s">
        <v>278</v>
      </c>
      <c r="C98" s="104" t="s">
        <v>898</v>
      </c>
      <c r="D98" s="104" t="s">
        <v>729</v>
      </c>
      <c r="E98" s="104" t="s">
        <v>467</v>
      </c>
      <c r="F98" s="104" t="s">
        <v>468</v>
      </c>
      <c r="G98" s="105">
        <v>71908</v>
      </c>
      <c r="H98" s="105">
        <v>21528</v>
      </c>
      <c r="I98" s="105">
        <v>7830</v>
      </c>
      <c r="J98" s="106">
        <v>3.72</v>
      </c>
      <c r="K98" s="106">
        <v>4.6500000000000004</v>
      </c>
      <c r="L98" s="107">
        <v>34383.61</v>
      </c>
      <c r="M98" s="108">
        <f t="shared" si="24"/>
        <v>29.938254436224064</v>
      </c>
      <c r="N98" s="108">
        <f t="shared" si="25"/>
        <v>10.888913611837348</v>
      </c>
      <c r="O98" s="108">
        <f t="shared" si="26"/>
        <v>36.371237458193981</v>
      </c>
      <c r="P98" s="108">
        <f t="shared" si="27"/>
        <v>478.16112254547477</v>
      </c>
      <c r="Q98" s="108">
        <f t="shared" si="28"/>
        <v>30.93688234168668</v>
      </c>
      <c r="R98" s="108">
        <f t="shared" si="29"/>
        <v>29.458247936272421</v>
      </c>
      <c r="S98" s="101">
        <f t="shared" si="30"/>
        <v>45882</v>
      </c>
      <c r="T98" s="102" t="str">
        <f t="shared" si="31"/>
        <v>Agosto</v>
      </c>
      <c r="U98" s="102" t="str">
        <f t="shared" si="32"/>
        <v>Miércoles</v>
      </c>
      <c r="V98" s="102">
        <f t="shared" si="33"/>
        <v>10</v>
      </c>
      <c r="W98" s="102" t="str">
        <f t="shared" si="34"/>
        <v>Resto del mes</v>
      </c>
      <c r="X98" s="102">
        <f t="shared" si="35"/>
        <v>2</v>
      </c>
      <c r="Y98" s="102" t="str">
        <f t="shared" si="36"/>
        <v>No</v>
      </c>
      <c r="Z98" s="102" t="str">
        <f>CHOOSE(MATCH(B98,{"Customer Appreciation","Exclusive Offers","Flash Sale","Holiday Discounts","New Product Launch","Newsletter"},0),"Fidelizar","Vender","Vender","Vender","Lanzar","Educar")</f>
        <v>Lanzar</v>
      </c>
      <c r="AA98" s="102" t="str">
        <f t="shared" si="37"/>
        <v>Menos de 100 mil</v>
      </c>
      <c r="AB98" s="102">
        <f>COUNTIFS($E$5:$E$493,E98,$S$5:$S$493,"&lt;"&amp;S98)+COUNTIFS($E$5:E98,E98,$S$5:S98,S98)</f>
        <v>4</v>
      </c>
      <c r="AC98" s="102">
        <f t="shared" si="38"/>
        <v>22</v>
      </c>
      <c r="AD98" s="102" t="str">
        <f t="shared" si="39"/>
        <v>Primer tercio</v>
      </c>
      <c r="AE98" s="103">
        <f t="shared" si="40"/>
        <v>-0.99862790546261593</v>
      </c>
      <c r="AF98" s="102" t="str">
        <f t="shared" si="41"/>
        <v xml:space="preserve">  lo nuevo de l'oréal  te va a encantar  innovación en belleza </v>
      </c>
      <c r="AG98" s="102" t="str">
        <f t="shared" si="42"/>
        <v xml:space="preserve"> prepárate para experimentar la innovación en tu belleza   descúbrela  </v>
      </c>
      <c r="AH98" s="102" t="str">
        <f>IF(SUMPRODUCT(--(LEFT(IF(LEFT(LOWER(E98),1)="¡",MID(LOWER(E98),2,300),LOWER(E98)),LEN({"actualizaci","el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98" s="102" t="str">
        <f>IF(OR(SUMPRODUCT(--ISNUMBER(SEARCH({"descuento","oferta","ahorr","precio"," sale ","flash","deals"},AF98)))&gt;0,SUMPRODUCT(--ISNUMBER(SEARCH({"descuento","oferta","ahorr","precio"," sale ","flash","deals"},AG98)))&gt;0),"Sí","No")</f>
        <v>No</v>
      </c>
      <c r="AJ98" s="102" t="str">
        <f>IF(SUMPRODUCT(--ISNUMBER(SEARCH({" hoy ","horas","tiempo limitado","antes de que","se acab","se agot","finalic","última oportunidad","oportunidad única","relámpago","express","no esperes","no volver","no parpadees"},AF98)))&gt;0,"Sí","No")</f>
        <v>No</v>
      </c>
      <c r="AK98" s="102" t="str">
        <f>IF(SUMPRODUCT(--ISNUMBER(SEARCH({" hoy ","horas","tiempo limitado","antes de que","se acab","se agot","finalic","última oportunidad","oportunidad única","relámpago","express","no esperes","no volver","no parpadees"},AG98)))&gt;0,"Sí","No")</f>
        <v>No</v>
      </c>
      <c r="AL98" s="102" t="str">
        <f t="shared" si="43"/>
        <v>Sin descuento</v>
      </c>
      <c r="AM98" s="102" t="str">
        <f>IF(SUMPRODUCT(--ISNUMBER(SEARCH({"0","1","2","3","4","5","6","7","8","9","favorit","maquillaje","piel","cabello","productos","belleza","regalo"},E98)))&gt;0,"Sí","No")</f>
        <v>Sí</v>
      </c>
      <c r="AN98" s="102" t="str">
        <f>IF(SUMPRODUCT(--ISNUMBER(SEARCH({"lo que tenemos","estas ofertas","algo especial","ofertas únicas","que preparamos","no te quedes","echa un vistazo"},F98)))&gt;0,"Sí","No")</f>
        <v>No</v>
      </c>
      <c r="AO98" s="102">
        <f t="shared" si="44"/>
        <v>61</v>
      </c>
      <c r="AP98" s="102">
        <f t="shared" si="45"/>
        <v>11</v>
      </c>
      <c r="AQ98" s="102">
        <f>SUMPRODUCT(LEN(E98)-LEN(SUBSTITUTE(E98,{"!","¡","?","¿",":",",",".","%","·","-",";"},"")))</f>
        <v>3</v>
      </c>
      <c r="AR98" s="102" t="str">
        <f t="shared" si="46"/>
        <v>No</v>
      </c>
      <c r="AS98" s="102" t="str">
        <f t="shared" si="47"/>
        <v>No</v>
      </c>
      <c r="AT98" s="102" t="str">
        <f>IF(SUMPRODUCT(--ISNUMBER(FIND({"0","1","2","3","4","5","6","7","8","9"},E98)))&gt;0,"Con cifra concreta",IF(OR(ISNUMBER(FIND("?",E98)),ISNUMBER(FIND("¿",E98))),"Pregunta abierta",IF(SUMPRODUCT(--ISNUMBER(SEARCH({" hoy ","horas","tiempo limitado","antes de que","se acab","se agot","finalic","última oportunidad","oportunidad única","relámpago","express","no esperes","no volver","no parpadees"," ya ","últimas horas","últimas unidades"," ahora "},AF98)))&gt;0,"Solo urgencia, sin cifra",IF(SUMPRODUCT(--ISNUMBER(SEARCH({"recompensa","sorpresa","regalo","lealtad","detalle","gracias","pensamos en ti","para ti"},E98)))&gt;0,"Recompensa o sorpresa","Otro: beneficio o novedad"))))</f>
        <v>Otro: beneficio o novedad</v>
      </c>
    </row>
    <row r="99" spans="1:46" x14ac:dyDescent="0.2">
      <c r="A99" s="96" t="s">
        <v>962</v>
      </c>
      <c r="B99" s="96" t="s">
        <v>277</v>
      </c>
      <c r="C99" s="96" t="s">
        <v>785</v>
      </c>
      <c r="D99" s="96" t="s">
        <v>751</v>
      </c>
      <c r="E99" s="96" t="s">
        <v>461</v>
      </c>
      <c r="F99" s="96" t="s">
        <v>462</v>
      </c>
      <c r="G99" s="97">
        <v>263325</v>
      </c>
      <c r="H99" s="97">
        <v>122046</v>
      </c>
      <c r="I99" s="97">
        <v>34129</v>
      </c>
      <c r="J99" s="98">
        <v>1.56</v>
      </c>
      <c r="K99" s="98">
        <v>0.19</v>
      </c>
      <c r="L99" s="99">
        <v>57427.42</v>
      </c>
      <c r="M99" s="100">
        <f t="shared" si="24"/>
        <v>46.348048988892053</v>
      </c>
      <c r="N99" s="100">
        <f t="shared" si="25"/>
        <v>12.960789898414507</v>
      </c>
      <c r="O99" s="100">
        <f t="shared" si="26"/>
        <v>27.96404634318208</v>
      </c>
      <c r="P99" s="100">
        <f t="shared" si="27"/>
        <v>218.08571157315103</v>
      </c>
      <c r="Q99" s="100">
        <f t="shared" si="28"/>
        <v>35.409886702202286</v>
      </c>
      <c r="R99" s="100">
        <f t="shared" si="29"/>
        <v>30.71114383300629</v>
      </c>
      <c r="S99" s="101">
        <f t="shared" si="30"/>
        <v>45870</v>
      </c>
      <c r="T99" s="102" t="str">
        <f t="shared" si="31"/>
        <v>Agosto</v>
      </c>
      <c r="U99" s="102" t="str">
        <f t="shared" si="32"/>
        <v>Viernes</v>
      </c>
      <c r="V99" s="102">
        <f t="shared" si="33"/>
        <v>11</v>
      </c>
      <c r="W99" s="102" t="str">
        <f t="shared" si="34"/>
        <v>Quincena</v>
      </c>
      <c r="X99" s="102">
        <f t="shared" si="35"/>
        <v>2</v>
      </c>
      <c r="Y99" s="102" t="str">
        <f t="shared" si="36"/>
        <v>No</v>
      </c>
      <c r="Z99" s="102" t="str">
        <f>CHOOSE(MATCH(B99,{"Customer Appreciation","Exclusive Offers","Flash Sale","Holiday Discounts","New Product Launch","Newsletter"},0),"Fidelizar","Vender","Vender","Vender","Lanzar","Educar")</f>
        <v>Vender</v>
      </c>
      <c r="AA99" s="102" t="str">
        <f t="shared" si="37"/>
        <v>200 a 300 mil</v>
      </c>
      <c r="AB99" s="102">
        <f>COUNTIFS($E$5:$E$493,E99,$S$5:$S$493,"&lt;"&amp;S99)+COUNTIFS($E$5:E99,E99,$S$5:S99,S99)</f>
        <v>1</v>
      </c>
      <c r="AC99" s="102">
        <f t="shared" si="38"/>
        <v>30</v>
      </c>
      <c r="AD99" s="102" t="str">
        <f t="shared" si="39"/>
        <v>Primer tercio</v>
      </c>
      <c r="AE99" s="103">
        <f t="shared" si="40"/>
        <v>10.938162286689767</v>
      </c>
      <c r="AF99" s="102" t="str">
        <f t="shared" si="41"/>
        <v xml:space="preserve">  regalos perfectos te esperan  descuentos de lujo  l'oréal </v>
      </c>
      <c r="AG99" s="102" t="str">
        <f t="shared" si="42"/>
        <v xml:space="preserve"> encuentra ese detalle especial para ti o tus seres queridos   descubre  </v>
      </c>
      <c r="AH99" s="102" t="str">
        <f>IF(SUMPRODUCT(--(LEFT(IF(LEFT(LOWER(E99),1)="¡",MID(LOWER(E99),2,300),LOWER(E99)),LEN({"actualizaci","el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99" s="102" t="str">
        <f>IF(OR(SUMPRODUCT(--ISNUMBER(SEARCH({"descuento","oferta","ahorr","precio"," sale ","flash","deals"},AF99)))&gt;0,SUMPRODUCT(--ISNUMBER(SEARCH({"descuento","oferta","ahorr","precio"," sale ","flash","deals"},AG99)))&gt;0),"Sí","No")</f>
        <v>Sí</v>
      </c>
      <c r="AJ99" s="102" t="str">
        <f>IF(SUMPRODUCT(--ISNUMBER(SEARCH({" hoy ","horas","tiempo limitado","antes de que","se acab","se agot","finalic","última oportunidad","oportunidad única","relámpago","express","no esperes","no volver","no parpadees"},AF99)))&gt;0,"Sí","No")</f>
        <v>No</v>
      </c>
      <c r="AK99" s="102" t="str">
        <f>IF(SUMPRODUCT(--ISNUMBER(SEARCH({" hoy ","horas","tiempo limitado","antes de que","se acab","se agot","finalic","última oportunidad","oportunidad única","relámpago","express","no esperes","no volver","no parpadees"},AG99)))&gt;0,"Sí","No")</f>
        <v>No</v>
      </c>
      <c r="AL99" s="102" t="str">
        <f t="shared" si="43"/>
        <v>Descuento sin tiempo límite</v>
      </c>
      <c r="AM99" s="102" t="str">
        <f>IF(SUMPRODUCT(--ISNUMBER(SEARCH({"0","1","2","3","4","5","6","7","8","9","favorit","maquillaje","piel","cabello","productos","belleza","regalo"},E99)))&gt;0,"Sí","No")</f>
        <v>Sí</v>
      </c>
      <c r="AN99" s="102" t="str">
        <f>IF(SUMPRODUCT(--ISNUMBER(SEARCH({"lo que tenemos","estas ofertas","algo especial","ofertas únicas","que preparamos","no te quedes","echa un vistazo"},F99)))&gt;0,"Sí","No")</f>
        <v>No</v>
      </c>
      <c r="AO99" s="102">
        <f t="shared" si="44"/>
        <v>58</v>
      </c>
      <c r="AP99" s="102">
        <f t="shared" si="45"/>
        <v>8</v>
      </c>
      <c r="AQ99" s="102">
        <f>SUMPRODUCT(LEN(E99)-LEN(SUBSTITUTE(E99,{"!","¡","?","¿",":",",",".","%","·","-",";"},"")))</f>
        <v>3</v>
      </c>
      <c r="AR99" s="102" t="str">
        <f t="shared" si="46"/>
        <v>Sí</v>
      </c>
      <c r="AS99" s="102" t="str">
        <f t="shared" si="47"/>
        <v>No</v>
      </c>
      <c r="AT99" s="102" t="str">
        <f>IF(SUMPRODUCT(--ISNUMBER(FIND({"0","1","2","3","4","5","6","7","8","9"},E99)))&gt;0,"Con cifra concreta",IF(OR(ISNUMBER(FIND("?",E99)),ISNUMBER(FIND("¿",E99))),"Pregunta abierta",IF(SUMPRODUCT(--ISNUMBER(SEARCH({" hoy ","horas","tiempo limitado","antes de que","se acab","se agot","finalic","última oportunidad","oportunidad única","relámpago","express","no esperes","no volver","no parpadees"," ya ","últimas horas","últimas unidades"," ahora "},AF99)))&gt;0,"Solo urgencia, sin cifra",IF(SUMPRODUCT(--ISNUMBER(SEARCH({"recompensa","sorpresa","regalo","lealtad","detalle","gracias","pensamos en ti","para ti"},E99)))&gt;0,"Recompensa o sorpresa","Otro: beneficio o novedad"))))</f>
        <v>Recompensa o sorpresa</v>
      </c>
    </row>
    <row r="100" spans="1:46" x14ac:dyDescent="0.2">
      <c r="A100" s="104" t="s">
        <v>963</v>
      </c>
      <c r="B100" s="104" t="s">
        <v>277</v>
      </c>
      <c r="C100" s="104" t="s">
        <v>804</v>
      </c>
      <c r="D100" s="104" t="s">
        <v>702</v>
      </c>
      <c r="E100" s="104" t="s">
        <v>964</v>
      </c>
      <c r="F100" s="104" t="s">
        <v>965</v>
      </c>
      <c r="G100" s="105">
        <v>277831</v>
      </c>
      <c r="H100" s="105">
        <v>21473</v>
      </c>
      <c r="I100" s="105">
        <v>4862</v>
      </c>
      <c r="J100" s="106">
        <v>9.9600000000000009</v>
      </c>
      <c r="K100" s="106">
        <v>1.37</v>
      </c>
      <c r="L100" s="107">
        <v>86916</v>
      </c>
      <c r="M100" s="108">
        <f t="shared" si="24"/>
        <v>7.728799162080545</v>
      </c>
      <c r="N100" s="108">
        <f t="shared" si="25"/>
        <v>1.7499847029309186</v>
      </c>
      <c r="O100" s="108">
        <f t="shared" si="26"/>
        <v>22.642388115307597</v>
      </c>
      <c r="P100" s="108">
        <f t="shared" si="27"/>
        <v>312.83766030428575</v>
      </c>
      <c r="Q100" s="108">
        <f t="shared" si="28"/>
        <v>7.728799162080545</v>
      </c>
      <c r="R100" s="108">
        <f t="shared" si="29"/>
        <v>30.71114383300629</v>
      </c>
      <c r="S100" s="101">
        <f t="shared" si="30"/>
        <v>45950</v>
      </c>
      <c r="T100" s="102" t="str">
        <f t="shared" si="31"/>
        <v>Octubre</v>
      </c>
      <c r="U100" s="102" t="str">
        <f t="shared" si="32"/>
        <v>Lunes</v>
      </c>
      <c r="V100" s="102">
        <f t="shared" si="33"/>
        <v>16</v>
      </c>
      <c r="W100" s="102" t="str">
        <f t="shared" si="34"/>
        <v>Días después del pago</v>
      </c>
      <c r="X100" s="102">
        <f t="shared" si="35"/>
        <v>2</v>
      </c>
      <c r="Y100" s="102" t="str">
        <f t="shared" si="36"/>
        <v>No</v>
      </c>
      <c r="Z100" s="102" t="str">
        <f>CHOOSE(MATCH(B100,{"Customer Appreciation","Exclusive Offers","Flash Sale","Holiday Discounts","New Product Launch","Newsletter"},0),"Fidelizar","Vender","Vender","Vender","Lanzar","Educar")</f>
        <v>Vender</v>
      </c>
      <c r="AA100" s="102" t="str">
        <f t="shared" si="37"/>
        <v>200 a 300 mil</v>
      </c>
      <c r="AB100" s="102">
        <f>COUNTIFS($E$5:$E$493,E100,$S$5:$S$493,"&lt;"&amp;S100)+COUNTIFS($E$5:E100,E100,$S$5:S100,S100)</f>
        <v>1</v>
      </c>
      <c r="AC100" s="102">
        <f t="shared" si="38"/>
        <v>1</v>
      </c>
      <c r="AD100" s="102" t="str">
        <f t="shared" si="39"/>
        <v/>
      </c>
      <c r="AE100" s="103">
        <f t="shared" si="40"/>
        <v>0</v>
      </c>
      <c r="AF100" s="102" t="str">
        <f t="shared" si="41"/>
        <v xml:space="preserve">  ofertas de temporada  no te las pierdas   regalos perfectos  </v>
      </c>
      <c r="AG100" s="102" t="str">
        <f t="shared" si="42"/>
        <v xml:space="preserve"> los mejores productos para tus celebraciones   descubre más  </v>
      </c>
      <c r="AH100" s="102" t="str">
        <f>IF(SUMPRODUCT(--(LEFT(IF(LEFT(LOWER(E100),1)="¡",MID(LOWER(E100),2,300),LOWER(E100)),LEN({"actualizaci","el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Sí</v>
      </c>
      <c r="AI100" s="102" t="str">
        <f>IF(OR(SUMPRODUCT(--ISNUMBER(SEARCH({"descuento","oferta","ahorr","precio"," sale ","flash","deals"},AF100)))&gt;0,SUMPRODUCT(--ISNUMBER(SEARCH({"descuento","oferta","ahorr","precio"," sale ","flash","deals"},AG100)))&gt;0),"Sí","No")</f>
        <v>Sí</v>
      </c>
      <c r="AJ100" s="102" t="str">
        <f>IF(SUMPRODUCT(--ISNUMBER(SEARCH({" hoy ","horas","tiempo limitado","antes de que","se acab","se agot","finalic","última oportunidad","oportunidad única","relámpago","express","no esperes","no volver","no parpadees"},AF100)))&gt;0,"Sí","No")</f>
        <v>No</v>
      </c>
      <c r="AK100" s="102" t="str">
        <f>IF(SUMPRODUCT(--ISNUMBER(SEARCH({" hoy ","horas","tiempo limitado","antes de que","se acab","se agot","finalic","última oportunidad","oportunidad única","relámpago","express","no esperes","no volver","no parpadees"},AG100)))&gt;0,"Sí","No")</f>
        <v>No</v>
      </c>
      <c r="AL100" s="102" t="str">
        <f t="shared" si="43"/>
        <v>Descuento sin tiempo límite</v>
      </c>
      <c r="AM100" s="102" t="str">
        <f>IF(SUMPRODUCT(--ISNUMBER(SEARCH({"0","1","2","3","4","5","6","7","8","9","favorit","maquillaje","piel","cabello","productos","belleza","regalo"},E100)))&gt;0,"Sí","No")</f>
        <v>Sí</v>
      </c>
      <c r="AN100" s="102" t="str">
        <f>IF(SUMPRODUCT(--ISNUMBER(SEARCH({"lo que tenemos","estas ofertas","algo especial","ofertas únicas","que preparamos","no te quedes","echa un vistazo"},F100)))&gt;0,"Sí","No")</f>
        <v>No</v>
      </c>
      <c r="AO100" s="102">
        <f t="shared" si="44"/>
        <v>61</v>
      </c>
      <c r="AP100" s="102">
        <f t="shared" si="45"/>
        <v>9</v>
      </c>
      <c r="AQ100" s="102">
        <f>SUMPRODUCT(LEN(E100)-LEN(SUBSTITUTE(E100,{"!","¡","?","¿",":",",",".","%","·","-",";"},"")))</f>
        <v>5</v>
      </c>
      <c r="AR100" s="102" t="str">
        <f t="shared" si="46"/>
        <v>No</v>
      </c>
      <c r="AS100" s="102" t="str">
        <f t="shared" si="47"/>
        <v>No</v>
      </c>
      <c r="AT100" s="102" t="str">
        <f>IF(SUMPRODUCT(--ISNUMBER(FIND({"0","1","2","3","4","5","6","7","8","9"},E100)))&gt;0,"Con cifra concreta",IF(OR(ISNUMBER(FIND("?",E100)),ISNUMBER(FIND("¿",E100))),"Pregunta abierta",IF(SUMPRODUCT(--ISNUMBER(SEARCH({" hoy ","horas","tiempo limitado","antes de que","se acab","se agot","finalic","última oportunidad","oportunidad única","relámpago","express","no esperes","no volver","no parpadees"," ya ","últimas horas","últimas unidades"," ahora "},AF100)))&gt;0,"Solo urgencia, sin cifra",IF(SUMPRODUCT(--ISNUMBER(SEARCH({"recompensa","sorpresa","regalo","lealtad","detalle","gracias","pensamos en ti","para ti"},E100)))&gt;0,"Recompensa o sorpresa","Otro: beneficio o novedad"))))</f>
        <v>Recompensa o sorpresa</v>
      </c>
    </row>
    <row r="101" spans="1:46" x14ac:dyDescent="0.2">
      <c r="A101" s="96" t="s">
        <v>966</v>
      </c>
      <c r="B101" s="96" t="s">
        <v>276</v>
      </c>
      <c r="C101" s="96" t="s">
        <v>842</v>
      </c>
      <c r="D101" s="96" t="s">
        <v>707</v>
      </c>
      <c r="E101" s="96" t="s">
        <v>711</v>
      </c>
      <c r="F101" s="96" t="s">
        <v>712</v>
      </c>
      <c r="G101" s="97">
        <v>291446</v>
      </c>
      <c r="H101" s="97">
        <v>80630</v>
      </c>
      <c r="I101" s="97">
        <v>49609</v>
      </c>
      <c r="J101" s="98">
        <v>9.9499999999999993</v>
      </c>
      <c r="K101" s="98">
        <v>1.1100000000000001</v>
      </c>
      <c r="L101" s="99">
        <v>93065.66</v>
      </c>
      <c r="M101" s="100">
        <f t="shared" si="24"/>
        <v>27.66550235721197</v>
      </c>
      <c r="N101" s="100">
        <f t="shared" si="25"/>
        <v>17.021678115328399</v>
      </c>
      <c r="O101" s="100">
        <f t="shared" si="26"/>
        <v>61.526727024680639</v>
      </c>
      <c r="P101" s="100">
        <f t="shared" si="27"/>
        <v>319.32385416166289</v>
      </c>
      <c r="Q101" s="100">
        <f t="shared" si="28"/>
        <v>30.71624165289527</v>
      </c>
      <c r="R101" s="100">
        <f t="shared" si="29"/>
        <v>29.440902453236173</v>
      </c>
      <c r="S101" s="101">
        <f t="shared" si="30"/>
        <v>45911</v>
      </c>
      <c r="T101" s="102" t="str">
        <f t="shared" si="31"/>
        <v>Septiembre</v>
      </c>
      <c r="U101" s="102" t="str">
        <f t="shared" si="32"/>
        <v>Jueves</v>
      </c>
      <c r="V101" s="102">
        <f t="shared" si="33"/>
        <v>13</v>
      </c>
      <c r="W101" s="102" t="str">
        <f t="shared" si="34"/>
        <v>Resto del mes</v>
      </c>
      <c r="X101" s="102">
        <f t="shared" si="35"/>
        <v>2</v>
      </c>
      <c r="Y101" s="102" t="str">
        <f t="shared" si="36"/>
        <v>No</v>
      </c>
      <c r="Z101" s="102" t="str">
        <f>CHOOSE(MATCH(B101,{"Customer Appreciation","Exclusive Offers","Flash Sale","Holiday Discounts","New Product Launch","Newsletter"},0),"Fidelizar","Vender","Vender","Vender","Lanzar","Educar")</f>
        <v>Vender</v>
      </c>
      <c r="AA101" s="102" t="str">
        <f t="shared" si="37"/>
        <v>200 a 300 mil</v>
      </c>
      <c r="AB101" s="102">
        <f>COUNTIFS($E$5:$E$493,E101,$S$5:$S$493,"&lt;"&amp;S101)+COUNTIFS($E$5:E101,E101,$S$5:S101,S101)</f>
        <v>1</v>
      </c>
      <c r="AC101" s="102">
        <f t="shared" si="38"/>
        <v>2</v>
      </c>
      <c r="AD101" s="102" t="str">
        <f t="shared" si="39"/>
        <v/>
      </c>
      <c r="AE101" s="103">
        <f t="shared" si="40"/>
        <v>-3.0507392956833002</v>
      </c>
      <c r="AF101" s="102" t="str">
        <f t="shared" si="41"/>
        <v xml:space="preserve"> prepárate para un ahorro épico   flash sale en todo  </v>
      </c>
      <c r="AG101" s="102" t="str">
        <f t="shared" si="42"/>
        <v xml:space="preserve"> tus productos favoritos con un precio que te encantará   entra ya  </v>
      </c>
      <c r="AH101" s="102" t="str">
        <f>IF(SUMPRODUCT(--(LEFT(IF(LEFT(LOWER(E101),1)="¡",MID(LOWER(E101),2,300),LOWER(E101)),LEN({"actualizaci","el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101" s="102" t="str">
        <f>IF(OR(SUMPRODUCT(--ISNUMBER(SEARCH({"descuento","oferta","ahorr","precio"," sale ","flash","deals"},AF101)))&gt;0,SUMPRODUCT(--ISNUMBER(SEARCH({"descuento","oferta","ahorr","precio"," sale ","flash","deals"},AG101)))&gt;0),"Sí","No")</f>
        <v>Sí</v>
      </c>
      <c r="AJ101" s="102" t="str">
        <f>IF(SUMPRODUCT(--ISNUMBER(SEARCH({" hoy ","horas","tiempo limitado","antes de que","se acab","se agot","finalic","última oportunidad","oportunidad única","relámpago","express","no esperes","no volver","no parpadees"},AF101)))&gt;0,"Sí","No")</f>
        <v>No</v>
      </c>
      <c r="AK101" s="102" t="str">
        <f>IF(SUMPRODUCT(--ISNUMBER(SEARCH({" hoy ","horas","tiempo limitado","antes de que","se acab","se agot","finalic","última oportunidad","oportunidad única","relámpago","express","no esperes","no volver","no parpadees"},AG101)))&gt;0,"Sí","No")</f>
        <v>No</v>
      </c>
      <c r="AL101" s="102" t="str">
        <f t="shared" si="43"/>
        <v>Descuento sin tiempo límite</v>
      </c>
      <c r="AM101" s="102" t="str">
        <f>IF(SUMPRODUCT(--ISNUMBER(SEARCH({"0","1","2","3","4","5","6","7","8","9","favorit","maquillaje","piel","cabello","productos","belleza","regalo"},E101)))&gt;0,"Sí","No")</f>
        <v>No</v>
      </c>
      <c r="AN101" s="102" t="str">
        <f>IF(SUMPRODUCT(--ISNUMBER(SEARCH({"lo que tenemos","estas ofertas","algo especial","ofertas únicas","que preparamos","no te quedes","echa un vistazo"},F101)))&gt;0,"Sí","No")</f>
        <v>No</v>
      </c>
      <c r="AO101" s="102">
        <f t="shared" si="44"/>
        <v>52</v>
      </c>
      <c r="AP101" s="102">
        <f t="shared" si="45"/>
        <v>9</v>
      </c>
      <c r="AQ101" s="102">
        <f>SUMPRODUCT(LEN(E101)-LEN(SUBSTITUTE(E101,{"!","¡","?","¿",":",",",".","%","·","-",";"},"")))</f>
        <v>3</v>
      </c>
      <c r="AR101" s="102" t="str">
        <f t="shared" si="46"/>
        <v>Sí</v>
      </c>
      <c r="AS101" s="102" t="str">
        <f t="shared" si="47"/>
        <v>No</v>
      </c>
      <c r="AT101" s="102" t="str">
        <f>IF(SUMPRODUCT(--ISNUMBER(FIND({"0","1","2","3","4","5","6","7","8","9"},E101)))&gt;0,"Con cifra concreta",IF(OR(ISNUMBER(FIND("?",E101)),ISNUMBER(FIND("¿",E101))),"Pregunta abierta",IF(SUMPRODUCT(--ISNUMBER(SEARCH({" hoy ","horas","tiempo limitado","antes de que","se acab","se agot","finalic","última oportunidad","oportunidad única","relámpago","express","no esperes","no volver","no parpadees"," ya ","últimas horas","últimas unidades"," ahora "},AF101)))&gt;0,"Solo urgencia, sin cifra",IF(SUMPRODUCT(--ISNUMBER(SEARCH({"recompensa","sorpresa","regalo","lealtad","detalle","gracias","pensamos en ti","para ti"},E101)))&gt;0,"Recompensa o sorpresa","Otro: beneficio o novedad"))))</f>
        <v>Otro: beneficio o novedad</v>
      </c>
    </row>
    <row r="102" spans="1:46" x14ac:dyDescent="0.2">
      <c r="A102" s="104" t="s">
        <v>967</v>
      </c>
      <c r="B102" s="104" t="s">
        <v>275</v>
      </c>
      <c r="C102" s="104" t="s">
        <v>763</v>
      </c>
      <c r="D102" s="104" t="s">
        <v>824</v>
      </c>
      <c r="E102" s="104" t="s">
        <v>770</v>
      </c>
      <c r="F102" s="104" t="s">
        <v>771</v>
      </c>
      <c r="G102" s="105">
        <v>218520</v>
      </c>
      <c r="H102" s="105">
        <v>62413</v>
      </c>
      <c r="I102" s="105">
        <v>27439</v>
      </c>
      <c r="J102" s="106">
        <v>2.86</v>
      </c>
      <c r="K102" s="106">
        <v>1.76</v>
      </c>
      <c r="L102" s="107">
        <v>61578.7</v>
      </c>
      <c r="M102" s="108">
        <f t="shared" si="24"/>
        <v>28.561687717371409</v>
      </c>
      <c r="N102" s="108">
        <f t="shared" si="25"/>
        <v>12.556745377997439</v>
      </c>
      <c r="O102" s="108">
        <f t="shared" si="26"/>
        <v>43.963597327479853</v>
      </c>
      <c r="P102" s="108">
        <f t="shared" si="27"/>
        <v>281.79892000732201</v>
      </c>
      <c r="Q102" s="108">
        <f t="shared" si="28"/>
        <v>29.492294044668999</v>
      </c>
      <c r="R102" s="108">
        <f t="shared" si="29"/>
        <v>27.021447627328243</v>
      </c>
      <c r="S102" s="101">
        <f t="shared" si="30"/>
        <v>45891</v>
      </c>
      <c r="T102" s="102" t="str">
        <f t="shared" si="31"/>
        <v>Agosto</v>
      </c>
      <c r="U102" s="102" t="str">
        <f t="shared" si="32"/>
        <v>Viernes</v>
      </c>
      <c r="V102" s="102">
        <f t="shared" si="33"/>
        <v>10</v>
      </c>
      <c r="W102" s="102" t="str">
        <f t="shared" si="34"/>
        <v>Resto del mes</v>
      </c>
      <c r="X102" s="102">
        <f t="shared" si="35"/>
        <v>2</v>
      </c>
      <c r="Y102" s="102" t="str">
        <f t="shared" si="36"/>
        <v>No</v>
      </c>
      <c r="Z102" s="102" t="str">
        <f>CHOOSE(MATCH(B102,{"Customer Appreciation","Exclusive Offers","Flash Sale","Holiday Discounts","New Product Launch","Newsletter"},0),"Fidelizar","Vender","Vender","Vender","Lanzar","Educar")</f>
        <v>Vender</v>
      </c>
      <c r="AA102" s="102" t="str">
        <f t="shared" si="37"/>
        <v>200 a 300 mil</v>
      </c>
      <c r="AB102" s="102">
        <f>COUNTIFS($E$5:$E$493,E102,$S$5:$S$493,"&lt;"&amp;S102)+COUNTIFS($E$5:E102,E102,$S$5:S102,S102)</f>
        <v>1</v>
      </c>
      <c r="AC102" s="102">
        <f t="shared" si="38"/>
        <v>2</v>
      </c>
      <c r="AD102" s="102" t="str">
        <f t="shared" si="39"/>
        <v/>
      </c>
      <c r="AE102" s="103">
        <f t="shared" si="40"/>
        <v>-0.93060632729758908</v>
      </c>
      <c r="AF102" s="102" t="str">
        <f t="shared" si="41"/>
        <v xml:space="preserve">  tu oportunidad de ahorro  ofertas especiales l'oréal </v>
      </c>
      <c r="AG102" s="102" t="str">
        <f t="shared" si="42"/>
        <v xml:space="preserve"> productos selectos con precios que te sorprenderán   entra y descubre  </v>
      </c>
      <c r="AH102" s="102" t="str">
        <f>IF(SUMPRODUCT(--(LEFT(IF(LEFT(LOWER(E102),1)="¡",MID(LOWER(E102),2,300),LOWER(E102)),LEN({"actualizaci","el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Sí</v>
      </c>
      <c r="AI102" s="102" t="str">
        <f>IF(OR(SUMPRODUCT(--ISNUMBER(SEARCH({"descuento","oferta","ahorr","precio"," sale ","flash","deals"},AF102)))&gt;0,SUMPRODUCT(--ISNUMBER(SEARCH({"descuento","oferta","ahorr","precio"," sale ","flash","deals"},AG102)))&gt;0),"Sí","No")</f>
        <v>Sí</v>
      </c>
      <c r="AJ102" s="102" t="str">
        <f>IF(SUMPRODUCT(--ISNUMBER(SEARCH({" hoy ","horas","tiempo limitado","antes de que","se acab","se agot","finalic","última oportunidad","oportunidad única","relámpago","express","no esperes","no volver","no parpadees"},AF102)))&gt;0,"Sí","No")</f>
        <v>No</v>
      </c>
      <c r="AK102" s="102" t="str">
        <f>IF(SUMPRODUCT(--ISNUMBER(SEARCH({" hoy ","horas","tiempo limitado","antes de que","se acab","se agot","finalic","última oportunidad","oportunidad única","relámpago","express","no esperes","no volver","no parpadees"},AG102)))&gt;0,"Sí","No")</f>
        <v>No</v>
      </c>
      <c r="AL102" s="102" t="str">
        <f t="shared" si="43"/>
        <v>Descuento sin tiempo límite</v>
      </c>
      <c r="AM102" s="102" t="str">
        <f>IF(SUMPRODUCT(--ISNUMBER(SEARCH({"0","1","2","3","4","5","6","7","8","9","favorit","maquillaje","piel","cabello","productos","belleza","regalo"},E102)))&gt;0,"Sí","No")</f>
        <v>No</v>
      </c>
      <c r="AN102" s="102" t="str">
        <f>IF(SUMPRODUCT(--ISNUMBER(SEARCH({"lo que tenemos","estas ofertas","algo especial","ofertas únicas","que preparamos","no te quedes","echa un vistazo"},F102)))&gt;0,"Sí","No")</f>
        <v>No</v>
      </c>
      <c r="AO102" s="102">
        <f t="shared" si="44"/>
        <v>53</v>
      </c>
      <c r="AP102" s="102">
        <f t="shared" si="45"/>
        <v>7</v>
      </c>
      <c r="AQ102" s="102">
        <f>SUMPRODUCT(LEN(E102)-LEN(SUBSTITUTE(E102,{"!","¡","?","¿",":",",",".","%","·","-",";"},"")))</f>
        <v>2</v>
      </c>
      <c r="AR102" s="102" t="str">
        <f t="shared" si="46"/>
        <v>Sí</v>
      </c>
      <c r="AS102" s="102" t="str">
        <f t="shared" si="47"/>
        <v>No</v>
      </c>
      <c r="AT102" s="102" t="str">
        <f>IF(SUMPRODUCT(--ISNUMBER(FIND({"0","1","2","3","4","5","6","7","8","9"},E102)))&gt;0,"Con cifra concreta",IF(OR(ISNUMBER(FIND("?",E102)),ISNUMBER(FIND("¿",E102))),"Pregunta abierta",IF(SUMPRODUCT(--ISNUMBER(SEARCH({" hoy ","horas","tiempo limitado","antes de que","se acab","se agot","finalic","última oportunidad","oportunidad única","relámpago","express","no esperes","no volver","no parpadees"," ya ","últimas horas","últimas unidades"," ahora "},AF102)))&gt;0,"Solo urgencia, sin cifra",IF(SUMPRODUCT(--ISNUMBER(SEARCH({"recompensa","sorpresa","regalo","lealtad","detalle","gracias","pensamos en ti","para ti"},E102)))&gt;0,"Recompensa o sorpresa","Otro: beneficio o novedad"))))</f>
        <v>Otro: beneficio o novedad</v>
      </c>
    </row>
    <row r="103" spans="1:46" x14ac:dyDescent="0.2">
      <c r="A103" s="96" t="s">
        <v>968</v>
      </c>
      <c r="B103" s="96" t="s">
        <v>276</v>
      </c>
      <c r="C103" s="96" t="s">
        <v>717</v>
      </c>
      <c r="D103" s="96" t="s">
        <v>764</v>
      </c>
      <c r="E103" s="96" t="s">
        <v>866</v>
      </c>
      <c r="F103" s="96" t="s">
        <v>867</v>
      </c>
      <c r="G103" s="97">
        <v>367754</v>
      </c>
      <c r="H103" s="97">
        <v>95133</v>
      </c>
      <c r="I103" s="97">
        <v>48425</v>
      </c>
      <c r="J103" s="98">
        <v>2.41</v>
      </c>
      <c r="K103" s="98">
        <v>2.5299999999999998</v>
      </c>
      <c r="L103" s="99">
        <v>41690.870000000003</v>
      </c>
      <c r="M103" s="100">
        <f t="shared" si="24"/>
        <v>25.868651326702093</v>
      </c>
      <c r="N103" s="100">
        <f t="shared" si="25"/>
        <v>13.167769759132463</v>
      </c>
      <c r="O103" s="100">
        <f t="shared" si="26"/>
        <v>50.902420821376396</v>
      </c>
      <c r="P103" s="100">
        <f t="shared" si="27"/>
        <v>113.36619044252409</v>
      </c>
      <c r="Q103" s="100">
        <f t="shared" si="28"/>
        <v>20.679461560319073</v>
      </c>
      <c r="R103" s="100">
        <f t="shared" si="29"/>
        <v>29.440902453236173</v>
      </c>
      <c r="S103" s="101">
        <f t="shared" si="30"/>
        <v>45935</v>
      </c>
      <c r="T103" s="102" t="str">
        <f t="shared" si="31"/>
        <v>Octubre</v>
      </c>
      <c r="U103" s="102" t="str">
        <f t="shared" si="32"/>
        <v>Domingo</v>
      </c>
      <c r="V103" s="102">
        <f t="shared" si="33"/>
        <v>15</v>
      </c>
      <c r="W103" s="102" t="str">
        <f t="shared" si="34"/>
        <v>Días después del pago</v>
      </c>
      <c r="X103" s="102">
        <f t="shared" si="35"/>
        <v>2</v>
      </c>
      <c r="Y103" s="102" t="str">
        <f t="shared" si="36"/>
        <v>No</v>
      </c>
      <c r="Z103" s="102" t="str">
        <f>CHOOSE(MATCH(B103,{"Customer Appreciation","Exclusive Offers","Flash Sale","Holiday Discounts","New Product Launch","Newsletter"},0),"Fidelizar","Vender","Vender","Vender","Lanzar","Educar")</f>
        <v>Vender</v>
      </c>
      <c r="AA103" s="102" t="str">
        <f t="shared" si="37"/>
        <v>300 a 400 mil</v>
      </c>
      <c r="AB103" s="102">
        <f>COUNTIFS($E$5:$E$493,E103,$S$5:$S$493,"&lt;"&amp;S103)+COUNTIFS($E$5:E103,E103,$S$5:S103,S103)</f>
        <v>7</v>
      </c>
      <c r="AC103" s="102">
        <f t="shared" si="38"/>
        <v>7</v>
      </c>
      <c r="AD103" s="102" t="str">
        <f t="shared" si="39"/>
        <v/>
      </c>
      <c r="AE103" s="103">
        <f t="shared" si="40"/>
        <v>5.18918976638302</v>
      </c>
      <c r="AF103" s="102" t="str">
        <f t="shared" si="41"/>
        <v xml:space="preserve">  ahorra en grande  oferta relámpago  últimas unidades </v>
      </c>
      <c r="AG103" s="102" t="str">
        <f t="shared" si="42"/>
        <v xml:space="preserve"> precios irresistibles en tus productos favoritos   compra ahora  </v>
      </c>
      <c r="AH103" s="102" t="str">
        <f>IF(SUMPRODUCT(--(LEFT(IF(LEFT(LOWER(E103),1)="¡",MID(LOWER(E103),2,300),LOWER(E103)),LEN({"actualizaci","el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103" s="102" t="str">
        <f>IF(OR(SUMPRODUCT(--ISNUMBER(SEARCH({"descuento","oferta","ahorr","precio"," sale ","flash","deals"},AF103)))&gt;0,SUMPRODUCT(--ISNUMBER(SEARCH({"descuento","oferta","ahorr","precio"," sale ","flash","deals"},AG103)))&gt;0),"Sí","No")</f>
        <v>Sí</v>
      </c>
      <c r="AJ103" s="102" t="str">
        <f>IF(SUMPRODUCT(--ISNUMBER(SEARCH({" hoy ","horas","tiempo limitado","antes de que","se acab","se agot","finalic","última oportunidad","oportunidad única","relámpago","express","no esperes","no volver","no parpadees"},AF103)))&gt;0,"Sí","No")</f>
        <v>Sí</v>
      </c>
      <c r="AK103" s="102" t="str">
        <f>IF(SUMPRODUCT(--ISNUMBER(SEARCH({" hoy ","horas","tiempo limitado","antes de que","se acab","se agot","finalic","última oportunidad","oportunidad única","relámpago","express","no esperes","no volver","no parpadees"},AG103)))&gt;0,"Sí","No")</f>
        <v>No</v>
      </c>
      <c r="AL103" s="102" t="str">
        <f t="shared" si="43"/>
        <v>Descuento con tiempo límite en el asunto</v>
      </c>
      <c r="AM103" s="102" t="str">
        <f>IF(SUMPRODUCT(--ISNUMBER(SEARCH({"0","1","2","3","4","5","6","7","8","9","favorit","maquillaje","piel","cabello","productos","belleza","regalo"},E103)))&gt;0,"Sí","No")</f>
        <v>No</v>
      </c>
      <c r="AN103" s="102" t="str">
        <f>IF(SUMPRODUCT(--ISNUMBER(SEARCH({"lo que tenemos","estas ofertas","algo especial","ofertas únicas","que preparamos","no te quedes","echa un vistazo"},F103)))&gt;0,"Sí","No")</f>
        <v>No</v>
      </c>
      <c r="AO103" s="102">
        <f t="shared" si="44"/>
        <v>53</v>
      </c>
      <c r="AP103" s="102">
        <f t="shared" si="45"/>
        <v>7</v>
      </c>
      <c r="AQ103" s="102">
        <f>SUMPRODUCT(LEN(E103)-LEN(SUBSTITUTE(E103,{"!","¡","?","¿",":",",",".","%","·","-",";"},"")))</f>
        <v>3</v>
      </c>
      <c r="AR103" s="102" t="str">
        <f t="shared" si="46"/>
        <v>Sí</v>
      </c>
      <c r="AS103" s="102" t="str">
        <f t="shared" si="47"/>
        <v>No</v>
      </c>
      <c r="AT103" s="102" t="str">
        <f>IF(SUMPRODUCT(--ISNUMBER(FIND({"0","1","2","3","4","5","6","7","8","9"},E103)))&gt;0,"Con cifra concreta",IF(OR(ISNUMBER(FIND("?",E103)),ISNUMBER(FIND("¿",E103))),"Pregunta abierta",IF(SUMPRODUCT(--ISNUMBER(SEARCH({" hoy ","horas","tiempo limitado","antes de que","se acab","se agot","finalic","última oportunidad","oportunidad única","relámpago","express","no esperes","no volver","no parpadees"," ya ","últimas horas","últimas unidades"," ahora "},AF103)))&gt;0,"Solo urgencia, sin cifra",IF(SUMPRODUCT(--ISNUMBER(SEARCH({"recompensa","sorpresa","regalo","lealtad","detalle","gracias","pensamos en ti","para ti"},E103)))&gt;0,"Recompensa o sorpresa","Otro: beneficio o novedad"))))</f>
        <v>Solo urgencia, sin cifra</v>
      </c>
    </row>
    <row r="104" spans="1:46" x14ac:dyDescent="0.2">
      <c r="A104" s="104" t="s">
        <v>969</v>
      </c>
      <c r="B104" s="104" t="s">
        <v>278</v>
      </c>
      <c r="C104" s="104" t="s">
        <v>720</v>
      </c>
      <c r="D104" s="104" t="s">
        <v>761</v>
      </c>
      <c r="E104" s="104" t="s">
        <v>367</v>
      </c>
      <c r="F104" s="104" t="s">
        <v>458</v>
      </c>
      <c r="G104" s="105">
        <v>376811</v>
      </c>
      <c r="H104" s="105">
        <v>122394</v>
      </c>
      <c r="I104" s="105">
        <v>59253</v>
      </c>
      <c r="J104" s="106">
        <v>0.54</v>
      </c>
      <c r="K104" s="106">
        <v>0.72</v>
      </c>
      <c r="L104" s="107">
        <v>68769.259999999995</v>
      </c>
      <c r="M104" s="108">
        <f t="shared" si="24"/>
        <v>32.481535836268051</v>
      </c>
      <c r="N104" s="108">
        <f t="shared" si="25"/>
        <v>15.724859412278306</v>
      </c>
      <c r="O104" s="108">
        <f t="shared" si="26"/>
        <v>48.411686847394478</v>
      </c>
      <c r="P104" s="108">
        <f t="shared" si="27"/>
        <v>182.50332394754929</v>
      </c>
      <c r="Q104" s="108">
        <f t="shared" si="28"/>
        <v>36.132518317209367</v>
      </c>
      <c r="R104" s="108">
        <f t="shared" si="29"/>
        <v>29.458247936272421</v>
      </c>
      <c r="S104" s="101">
        <f t="shared" si="30"/>
        <v>45907</v>
      </c>
      <c r="T104" s="102" t="str">
        <f t="shared" si="31"/>
        <v>Septiembre</v>
      </c>
      <c r="U104" s="102" t="str">
        <f t="shared" si="32"/>
        <v>Domingo</v>
      </c>
      <c r="V104" s="102">
        <f t="shared" si="33"/>
        <v>10</v>
      </c>
      <c r="W104" s="102" t="str">
        <f t="shared" si="34"/>
        <v>Resto del mes</v>
      </c>
      <c r="X104" s="102">
        <f t="shared" si="35"/>
        <v>2</v>
      </c>
      <c r="Y104" s="102" t="str">
        <f t="shared" si="36"/>
        <v>No</v>
      </c>
      <c r="Z104" s="102" t="str">
        <f>CHOOSE(MATCH(B104,{"Customer Appreciation","Exclusive Offers","Flash Sale","Holiday Discounts","New Product Launch","Newsletter"},0),"Fidelizar","Vender","Vender","Vender","Lanzar","Educar")</f>
        <v>Lanzar</v>
      </c>
      <c r="AA104" s="102" t="str">
        <f t="shared" si="37"/>
        <v>300 a 400 mil</v>
      </c>
      <c r="AB104" s="102">
        <f>COUNTIFS($E$5:$E$493,E104,$S$5:$S$493,"&lt;"&amp;S104)+COUNTIFS($E$5:E104,E104,$S$5:S104,S104)</f>
        <v>4</v>
      </c>
      <c r="AC104" s="102">
        <f t="shared" si="38"/>
        <v>25</v>
      </c>
      <c r="AD104" s="102" t="str">
        <f t="shared" si="39"/>
        <v>Primer tercio</v>
      </c>
      <c r="AE104" s="103">
        <f t="shared" si="40"/>
        <v>-3.6509824809413161</v>
      </c>
      <c r="AF104" s="102" t="str">
        <f t="shared" si="41"/>
        <v xml:space="preserve">  el futuro de tu piel ha llegado  nuevo producto revolucionario </v>
      </c>
      <c r="AG104" s="102" t="str">
        <f t="shared" si="42"/>
        <v xml:space="preserve"> una fórmula revolucionaria para resultados visibles   compruébalo  </v>
      </c>
      <c r="AH104" s="102" t="str">
        <f>IF(SUMPRODUCT(--(LEFT(IF(LEFT(LOWER(E104),1)="¡",MID(LOWER(E104),2,300),LOWER(E104)),LEN({"actualizaci","el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104" s="102" t="str">
        <f>IF(OR(SUMPRODUCT(--ISNUMBER(SEARCH({"descuento","oferta","ahorr","precio"," sale ","flash","deals"},AF104)))&gt;0,SUMPRODUCT(--ISNUMBER(SEARCH({"descuento","oferta","ahorr","precio"," sale ","flash","deals"},AG104)))&gt;0),"Sí","No")</f>
        <v>No</v>
      </c>
      <c r="AJ104" s="102" t="str">
        <f>IF(SUMPRODUCT(--ISNUMBER(SEARCH({" hoy ","horas","tiempo limitado","antes de que","se acab","se agot","finalic","última oportunidad","oportunidad única","relámpago","express","no esperes","no volver","no parpadees"},AF104)))&gt;0,"Sí","No")</f>
        <v>No</v>
      </c>
      <c r="AK104" s="102" t="str">
        <f>IF(SUMPRODUCT(--ISNUMBER(SEARCH({" hoy ","horas","tiempo limitado","antes de que","se acab","se agot","finalic","última oportunidad","oportunidad única","relámpago","express","no esperes","no volver","no parpadees"},AG104)))&gt;0,"Sí","No")</f>
        <v>No</v>
      </c>
      <c r="AL104" s="102" t="str">
        <f t="shared" si="43"/>
        <v>Sin descuento</v>
      </c>
      <c r="AM104" s="102" t="str">
        <f>IF(SUMPRODUCT(--ISNUMBER(SEARCH({"0","1","2","3","4","5","6","7","8","9","favorit","maquillaje","piel","cabello","productos","belleza","regalo"},E104)))&gt;0,"Sí","No")</f>
        <v>Sí</v>
      </c>
      <c r="AN104" s="102" t="str">
        <f>IF(SUMPRODUCT(--ISNUMBER(SEARCH({"lo que tenemos","estas ofertas","algo especial","ofertas únicas","que preparamos","no te quedes","echa un vistazo"},F104)))&gt;0,"Sí","No")</f>
        <v>No</v>
      </c>
      <c r="AO104" s="102">
        <f t="shared" si="44"/>
        <v>63</v>
      </c>
      <c r="AP104" s="102">
        <f t="shared" si="45"/>
        <v>10</v>
      </c>
      <c r="AQ104" s="102">
        <f>SUMPRODUCT(LEN(E104)-LEN(SUBSTITUTE(E104,{"!","¡","?","¿",":",",",".","%","·","-",";"},"")))</f>
        <v>2</v>
      </c>
      <c r="AR104" s="102" t="str">
        <f t="shared" si="46"/>
        <v>No</v>
      </c>
      <c r="AS104" s="102" t="str">
        <f t="shared" si="47"/>
        <v>No</v>
      </c>
      <c r="AT104" s="102" t="str">
        <f>IF(SUMPRODUCT(--ISNUMBER(FIND({"0","1","2","3","4","5","6","7","8","9"},E104)))&gt;0,"Con cifra concreta",IF(OR(ISNUMBER(FIND("?",E104)),ISNUMBER(FIND("¿",E104))),"Pregunta abierta",IF(SUMPRODUCT(--ISNUMBER(SEARCH({" hoy ","horas","tiempo limitado","antes de que","se acab","se agot","finalic","última oportunidad","oportunidad única","relámpago","express","no esperes","no volver","no parpadees"," ya ","últimas horas","últimas unidades"," ahora "},AF104)))&gt;0,"Solo urgencia, sin cifra",IF(SUMPRODUCT(--ISNUMBER(SEARCH({"recompensa","sorpresa","regalo","lealtad","detalle","gracias","pensamos en ti","para ti"},E104)))&gt;0,"Recompensa o sorpresa","Otro: beneficio o novedad"))))</f>
        <v>Otro: beneficio o novedad</v>
      </c>
    </row>
    <row r="105" spans="1:46" x14ac:dyDescent="0.2">
      <c r="A105" s="96" t="s">
        <v>970</v>
      </c>
      <c r="B105" s="96" t="s">
        <v>276</v>
      </c>
      <c r="C105" s="96" t="s">
        <v>849</v>
      </c>
      <c r="D105" s="96" t="s">
        <v>769</v>
      </c>
      <c r="E105" s="96" t="s">
        <v>850</v>
      </c>
      <c r="F105" s="96" t="s">
        <v>851</v>
      </c>
      <c r="G105" s="97">
        <v>224924</v>
      </c>
      <c r="H105" s="97">
        <v>65561</v>
      </c>
      <c r="I105" s="97">
        <v>34741</v>
      </c>
      <c r="J105" s="98">
        <v>8</v>
      </c>
      <c r="K105" s="98">
        <v>4.83</v>
      </c>
      <c r="L105" s="99">
        <v>27092.09</v>
      </c>
      <c r="M105" s="100">
        <f t="shared" si="24"/>
        <v>29.148067791787447</v>
      </c>
      <c r="N105" s="100">
        <f t="shared" si="25"/>
        <v>15.445661645711439</v>
      </c>
      <c r="O105" s="100">
        <f t="shared" si="26"/>
        <v>52.99034486966336</v>
      </c>
      <c r="P105" s="100">
        <f t="shared" si="27"/>
        <v>120.44997421351212</v>
      </c>
      <c r="Q105" s="100">
        <f t="shared" si="28"/>
        <v>31.964920766647268</v>
      </c>
      <c r="R105" s="100">
        <f t="shared" si="29"/>
        <v>29.440902453236173</v>
      </c>
      <c r="S105" s="101">
        <f t="shared" si="30"/>
        <v>45957</v>
      </c>
      <c r="T105" s="102" t="str">
        <f t="shared" si="31"/>
        <v>Octubre</v>
      </c>
      <c r="U105" s="102" t="str">
        <f t="shared" si="32"/>
        <v>Lunes</v>
      </c>
      <c r="V105" s="102">
        <f t="shared" si="33"/>
        <v>13</v>
      </c>
      <c r="W105" s="102" t="str">
        <f t="shared" si="34"/>
        <v>Resto del mes</v>
      </c>
      <c r="X105" s="102">
        <f t="shared" si="35"/>
        <v>2</v>
      </c>
      <c r="Y105" s="102" t="str">
        <f t="shared" si="36"/>
        <v>No</v>
      </c>
      <c r="Z105" s="102" t="str">
        <f>CHOOSE(MATCH(B105,{"Customer Appreciation","Exclusive Offers","Flash Sale","Holiday Discounts","New Product Launch","Newsletter"},0),"Fidelizar","Vender","Vender","Vender","Lanzar","Educar")</f>
        <v>Vender</v>
      </c>
      <c r="AA105" s="102" t="str">
        <f t="shared" si="37"/>
        <v>200 a 300 mil</v>
      </c>
      <c r="AB105" s="102">
        <f>COUNTIFS($E$5:$E$493,E105,$S$5:$S$493,"&lt;"&amp;S105)+COUNTIFS($E$5:E105,E105,$S$5:S105,S105)</f>
        <v>4</v>
      </c>
      <c r="AC105" s="102">
        <f t="shared" si="38"/>
        <v>4</v>
      </c>
      <c r="AD105" s="102" t="str">
        <f t="shared" si="39"/>
        <v/>
      </c>
      <c r="AE105" s="103">
        <f t="shared" si="40"/>
        <v>-2.8168529748598203</v>
      </c>
      <c r="AF105" s="102" t="str">
        <f t="shared" si="41"/>
        <v xml:space="preserve">  ofertas que te harán sonreír  flash sale en tus favoritos </v>
      </c>
      <c r="AG105" s="102" t="str">
        <f t="shared" si="42"/>
        <v xml:space="preserve"> descuentos exclusivos en tus favoritos   aprovecha antes de que acabe  </v>
      </c>
      <c r="AH105" s="102" t="str">
        <f>IF(SUMPRODUCT(--(LEFT(IF(LEFT(LOWER(E105),1)="¡",MID(LOWER(E105),2,300),LOWER(E105)),LEN({"actualizaci","el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105" s="102" t="str">
        <f>IF(OR(SUMPRODUCT(--ISNUMBER(SEARCH({"descuento","oferta","ahorr","precio"," sale ","flash","deals"},AF105)))&gt;0,SUMPRODUCT(--ISNUMBER(SEARCH({"descuento","oferta","ahorr","precio"," sale ","flash","deals"},AG105)))&gt;0),"Sí","No")</f>
        <v>Sí</v>
      </c>
      <c r="AJ105" s="102" t="str">
        <f>IF(SUMPRODUCT(--ISNUMBER(SEARCH({" hoy ","horas","tiempo limitado","antes de que","se acab","se agot","finalic","última oportunidad","oportunidad única","relámpago","express","no esperes","no volver","no parpadees"},AF105)))&gt;0,"Sí","No")</f>
        <v>No</v>
      </c>
      <c r="AK105" s="102" t="str">
        <f>IF(SUMPRODUCT(--ISNUMBER(SEARCH({" hoy ","horas","tiempo limitado","antes de que","se acab","se agot","finalic","última oportunidad","oportunidad única","relámpago","express","no esperes","no volver","no parpadees"},AG105)))&gt;0,"Sí","No")</f>
        <v>Sí</v>
      </c>
      <c r="AL105" s="102" t="str">
        <f t="shared" si="43"/>
        <v>Descuento con tiempo límite solo en el preheader</v>
      </c>
      <c r="AM105" s="102" t="str">
        <f>IF(SUMPRODUCT(--ISNUMBER(SEARCH({"0","1","2","3","4","5","6","7","8","9","favorit","maquillaje","piel","cabello","productos","belleza","regalo"},E105)))&gt;0,"Sí","No")</f>
        <v>Sí</v>
      </c>
      <c r="AN105" s="102" t="str">
        <f>IF(SUMPRODUCT(--ISNUMBER(SEARCH({"lo que tenemos","estas ofertas","algo especial","ofertas únicas","que preparamos","no te quedes","echa un vistazo"},F105)))&gt;0,"Sí","No")</f>
        <v>No</v>
      </c>
      <c r="AO105" s="102">
        <f t="shared" si="44"/>
        <v>58</v>
      </c>
      <c r="AP105" s="102">
        <f t="shared" si="45"/>
        <v>10</v>
      </c>
      <c r="AQ105" s="102">
        <f>SUMPRODUCT(LEN(E105)-LEN(SUBSTITUTE(E105,{"!","¡","?","¿",":",",",".","%","·","-",";"},"")))</f>
        <v>2</v>
      </c>
      <c r="AR105" s="102" t="str">
        <f t="shared" si="46"/>
        <v>No</v>
      </c>
      <c r="AS105" s="102" t="str">
        <f t="shared" si="47"/>
        <v>No</v>
      </c>
      <c r="AT105" s="102" t="str">
        <f>IF(SUMPRODUCT(--ISNUMBER(FIND({"0","1","2","3","4","5","6","7","8","9"},E105)))&gt;0,"Con cifra concreta",IF(OR(ISNUMBER(FIND("?",E105)),ISNUMBER(FIND("¿",E105))),"Pregunta abierta",IF(SUMPRODUCT(--ISNUMBER(SEARCH({" hoy ","horas","tiempo limitado","antes de que","se acab","se agot","finalic","última oportunidad","oportunidad única","relámpago","express","no esperes","no volver","no parpadees"," ya ","últimas horas","últimas unidades"," ahora "},AF105)))&gt;0,"Solo urgencia, sin cifra",IF(SUMPRODUCT(--ISNUMBER(SEARCH({"recompensa","sorpresa","regalo","lealtad","detalle","gracias","pensamos en ti","para ti"},E105)))&gt;0,"Recompensa o sorpresa","Otro: beneficio o novedad"))))</f>
        <v>Otro: beneficio o novedad</v>
      </c>
    </row>
    <row r="106" spans="1:46" x14ac:dyDescent="0.2">
      <c r="A106" s="104" t="s">
        <v>971</v>
      </c>
      <c r="B106" s="104" t="s">
        <v>279</v>
      </c>
      <c r="C106" s="104" t="s">
        <v>853</v>
      </c>
      <c r="D106" s="104" t="s">
        <v>774</v>
      </c>
      <c r="E106" s="104" t="s">
        <v>463</v>
      </c>
      <c r="F106" s="104" t="s">
        <v>464</v>
      </c>
      <c r="G106" s="105">
        <v>347592</v>
      </c>
      <c r="H106" s="105">
        <v>112330</v>
      </c>
      <c r="I106" s="105">
        <v>65111</v>
      </c>
      <c r="J106" s="106">
        <v>5.96</v>
      </c>
      <c r="K106" s="106">
        <v>1.64</v>
      </c>
      <c r="L106" s="107">
        <v>63810.16</v>
      </c>
      <c r="M106" s="108">
        <f t="shared" si="24"/>
        <v>32.316624088011231</v>
      </c>
      <c r="N106" s="108">
        <f t="shared" si="25"/>
        <v>18.732019148887204</v>
      </c>
      <c r="O106" s="108">
        <f t="shared" si="26"/>
        <v>57.96403454108431</v>
      </c>
      <c r="P106" s="108">
        <f t="shared" si="27"/>
        <v>183.57775783102028</v>
      </c>
      <c r="Q106" s="108">
        <f t="shared" si="28"/>
        <v>33.412775116147934</v>
      </c>
      <c r="R106" s="108">
        <f t="shared" si="29"/>
        <v>27.75136451093497</v>
      </c>
      <c r="S106" s="101">
        <f t="shared" si="30"/>
        <v>45922</v>
      </c>
      <c r="T106" s="102" t="str">
        <f t="shared" si="31"/>
        <v>Septiembre</v>
      </c>
      <c r="U106" s="102" t="str">
        <f t="shared" si="32"/>
        <v>Lunes</v>
      </c>
      <c r="V106" s="102">
        <f t="shared" si="33"/>
        <v>11</v>
      </c>
      <c r="W106" s="102" t="str">
        <f t="shared" si="34"/>
        <v>Resto del mes</v>
      </c>
      <c r="X106" s="102">
        <f t="shared" si="35"/>
        <v>2</v>
      </c>
      <c r="Y106" s="102" t="str">
        <f t="shared" si="36"/>
        <v>No</v>
      </c>
      <c r="Z106" s="102" t="str">
        <f>CHOOSE(MATCH(B106,{"Customer Appreciation","Exclusive Offers","Flash Sale","Holiday Discounts","New Product Launch","Newsletter"},0),"Fidelizar","Vender","Vender","Vender","Lanzar","Educar")</f>
        <v>Educar</v>
      </c>
      <c r="AA106" s="102" t="str">
        <f t="shared" si="37"/>
        <v>300 a 400 mil</v>
      </c>
      <c r="AB106" s="102">
        <f>COUNTIFS($E$5:$E$493,E106,$S$5:$S$493,"&lt;"&amp;S106)+COUNTIFS($E$5:E106,E106,$S$5:S106,S106)</f>
        <v>18</v>
      </c>
      <c r="AC106" s="102">
        <f t="shared" si="38"/>
        <v>25</v>
      </c>
      <c r="AD106" s="102" t="str">
        <f t="shared" si="39"/>
        <v>Último tercio</v>
      </c>
      <c r="AE106" s="103">
        <f t="shared" si="40"/>
        <v>-1.0961510281367026</v>
      </c>
      <c r="AF106" s="102" t="str">
        <f t="shared" si="41"/>
        <v xml:space="preserve"> tu dosis de belleza   no te lo pierdas  tips y trucos </v>
      </c>
      <c r="AG106" s="102" t="str">
        <f t="shared" si="42"/>
        <v xml:space="preserve"> consejos expertos  tendencias y más en tu bandeja de entrada   descúbrelo  </v>
      </c>
      <c r="AH106" s="102" t="str">
        <f>IF(SUMPRODUCT(--(LEFT(IF(LEFT(LOWER(E106),1)="¡",MID(LOWER(E106),2,300),LOWER(E106)),LEN({"actualizaci","el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106" s="102" t="str">
        <f>IF(OR(SUMPRODUCT(--ISNUMBER(SEARCH({"descuento","oferta","ahorr","precio"," sale ","flash","deals"},AF106)))&gt;0,SUMPRODUCT(--ISNUMBER(SEARCH({"descuento","oferta","ahorr","precio"," sale ","flash","deals"},AG106)))&gt;0),"Sí","No")</f>
        <v>No</v>
      </c>
      <c r="AJ106" s="102" t="str">
        <f>IF(SUMPRODUCT(--ISNUMBER(SEARCH({" hoy ","horas","tiempo limitado","antes de que","se acab","se agot","finalic","última oportunidad","oportunidad única","relámpago","express","no esperes","no volver","no parpadees"},AF106)))&gt;0,"Sí","No")</f>
        <v>No</v>
      </c>
      <c r="AK106" s="102" t="str">
        <f>IF(SUMPRODUCT(--ISNUMBER(SEARCH({" hoy ","horas","tiempo limitado","antes de que","se acab","se agot","finalic","última oportunidad","oportunidad única","relámpago","express","no esperes","no volver","no parpadees"},AG106)))&gt;0,"Sí","No")</f>
        <v>No</v>
      </c>
      <c r="AL106" s="102" t="str">
        <f t="shared" si="43"/>
        <v>Sin descuento</v>
      </c>
      <c r="AM106" s="102" t="str">
        <f>IF(SUMPRODUCT(--ISNUMBER(SEARCH({"0","1","2","3","4","5","6","7","8","9","favorit","maquillaje","piel","cabello","productos","belleza","regalo"},E106)))&gt;0,"Sí","No")</f>
        <v>Sí</v>
      </c>
      <c r="AN106" s="102" t="str">
        <f>IF(SUMPRODUCT(--ISNUMBER(SEARCH({"lo que tenemos","estas ofertas","algo especial","ofertas únicas","que preparamos","no te quedes","echa un vistazo"},F106)))&gt;0,"Sí","No")</f>
        <v>No</v>
      </c>
      <c r="AO106" s="102">
        <f t="shared" si="44"/>
        <v>53</v>
      </c>
      <c r="AP106" s="102">
        <f t="shared" si="45"/>
        <v>11</v>
      </c>
      <c r="AQ106" s="102">
        <f>SUMPRODUCT(LEN(E106)-LEN(SUBSTITUTE(E106,{"!","¡","?","¿",":",",",".","%","·","-",";"},"")))</f>
        <v>3</v>
      </c>
      <c r="AR106" s="102" t="str">
        <f t="shared" si="46"/>
        <v>No</v>
      </c>
      <c r="AS106" s="102" t="str">
        <f t="shared" si="47"/>
        <v>No</v>
      </c>
      <c r="AT106" s="102" t="str">
        <f>IF(SUMPRODUCT(--ISNUMBER(FIND({"0","1","2","3","4","5","6","7","8","9"},E106)))&gt;0,"Con cifra concreta",IF(OR(ISNUMBER(FIND("?",E106)),ISNUMBER(FIND("¿",E106))),"Pregunta abierta",IF(SUMPRODUCT(--ISNUMBER(SEARCH({" hoy ","horas","tiempo limitado","antes de que","se acab","se agot","finalic","última oportunidad","oportunidad única","relámpago","express","no esperes","no volver","no parpadees"," ya ","últimas horas","últimas unidades"," ahora "},AF106)))&gt;0,"Solo urgencia, sin cifra",IF(SUMPRODUCT(--ISNUMBER(SEARCH({"recompensa","sorpresa","regalo","lealtad","detalle","gracias","pensamos en ti","para ti"},E106)))&gt;0,"Recompensa o sorpresa","Otro: beneficio o novedad"))))</f>
        <v>Otro: beneficio o novedad</v>
      </c>
    </row>
    <row r="107" spans="1:46" x14ac:dyDescent="0.2">
      <c r="A107" s="96" t="s">
        <v>972</v>
      </c>
      <c r="B107" s="96" t="s">
        <v>278</v>
      </c>
      <c r="C107" s="96" t="s">
        <v>750</v>
      </c>
      <c r="D107" s="96" t="s">
        <v>729</v>
      </c>
      <c r="E107" s="96" t="s">
        <v>368</v>
      </c>
      <c r="F107" s="96" t="s">
        <v>471</v>
      </c>
      <c r="G107" s="97">
        <v>382207</v>
      </c>
      <c r="H107" s="97">
        <v>117149</v>
      </c>
      <c r="I107" s="97">
        <v>19225</v>
      </c>
      <c r="J107" s="98">
        <v>3.31</v>
      </c>
      <c r="K107" s="98">
        <v>0.82</v>
      </c>
      <c r="L107" s="99">
        <v>50557.2</v>
      </c>
      <c r="M107" s="100">
        <f t="shared" si="24"/>
        <v>30.650668355106003</v>
      </c>
      <c r="N107" s="100">
        <f t="shared" si="25"/>
        <v>5.0299968341762442</v>
      </c>
      <c r="O107" s="100">
        <f t="shared" si="26"/>
        <v>16.41072480345543</v>
      </c>
      <c r="P107" s="100">
        <f t="shared" si="27"/>
        <v>132.2770121949624</v>
      </c>
      <c r="Q107" s="100">
        <f t="shared" si="28"/>
        <v>23.315840784070005</v>
      </c>
      <c r="R107" s="100">
        <f t="shared" si="29"/>
        <v>29.458247936272421</v>
      </c>
      <c r="S107" s="101">
        <f t="shared" si="30"/>
        <v>45884</v>
      </c>
      <c r="T107" s="102" t="str">
        <f t="shared" si="31"/>
        <v>Agosto</v>
      </c>
      <c r="U107" s="102" t="str">
        <f t="shared" si="32"/>
        <v>Viernes</v>
      </c>
      <c r="V107" s="102">
        <f t="shared" si="33"/>
        <v>10</v>
      </c>
      <c r="W107" s="102" t="str">
        <f t="shared" si="34"/>
        <v>Quincena</v>
      </c>
      <c r="X107" s="102">
        <f t="shared" si="35"/>
        <v>2</v>
      </c>
      <c r="Y107" s="102" t="str">
        <f t="shared" si="36"/>
        <v>No</v>
      </c>
      <c r="Z107" s="102" t="str">
        <f>CHOOSE(MATCH(B107,{"Customer Appreciation","Exclusive Offers","Flash Sale","Holiday Discounts","New Product Launch","Newsletter"},0),"Fidelizar","Vender","Vender","Vender","Lanzar","Educar")</f>
        <v>Lanzar</v>
      </c>
      <c r="AA107" s="102" t="str">
        <f t="shared" si="37"/>
        <v>300 a 400 mil</v>
      </c>
      <c r="AB107" s="102">
        <f>COUNTIFS($E$5:$E$493,E107,$S$5:$S$493,"&lt;"&amp;S107)+COUNTIFS($E$5:E107,E107,$S$5:S107,S107)</f>
        <v>7</v>
      </c>
      <c r="AC107" s="102">
        <f t="shared" si="38"/>
        <v>33</v>
      </c>
      <c r="AD107" s="102" t="str">
        <f t="shared" si="39"/>
        <v>Primer tercio</v>
      </c>
      <c r="AE107" s="103">
        <f t="shared" si="40"/>
        <v>7.3348275710359978</v>
      </c>
      <c r="AF107" s="102" t="str">
        <f t="shared" si="41"/>
        <v xml:space="preserve"> presentamos  nuestro último lanzamiento de belleza  imperdible  </v>
      </c>
      <c r="AG107" s="102" t="str">
        <f t="shared" si="42"/>
        <v xml:space="preserve"> una innovación que cambiará tu rutina   sé de los primeros  </v>
      </c>
      <c r="AH107" s="102" t="str">
        <f>IF(SUMPRODUCT(--(LEFT(IF(LEFT(LOWER(E107),1)="¡",MID(LOWER(E107),2,300),LOWER(E107)),LEN({"actualizaci","el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Sí</v>
      </c>
      <c r="AI107" s="102" t="str">
        <f>IF(OR(SUMPRODUCT(--ISNUMBER(SEARCH({"descuento","oferta","ahorr","precio"," sale ","flash","deals"},AF107)))&gt;0,SUMPRODUCT(--ISNUMBER(SEARCH({"descuento","oferta","ahorr","precio"," sale ","flash","deals"},AG107)))&gt;0),"Sí","No")</f>
        <v>No</v>
      </c>
      <c r="AJ107" s="102" t="str">
        <f>IF(SUMPRODUCT(--ISNUMBER(SEARCH({" hoy ","horas","tiempo limitado","antes de que","se acab","se agot","finalic","última oportunidad","oportunidad única","relámpago","express","no esperes","no volver","no parpadees"},AF107)))&gt;0,"Sí","No")</f>
        <v>No</v>
      </c>
      <c r="AK107" s="102" t="str">
        <f>IF(SUMPRODUCT(--ISNUMBER(SEARCH({" hoy ","horas","tiempo limitado","antes de que","se acab","se agot","finalic","última oportunidad","oportunidad única","relámpago","express","no esperes","no volver","no parpadees"},AG107)))&gt;0,"Sí","No")</f>
        <v>No</v>
      </c>
      <c r="AL107" s="102" t="str">
        <f t="shared" si="43"/>
        <v>Sin descuento</v>
      </c>
      <c r="AM107" s="102" t="str">
        <f>IF(SUMPRODUCT(--ISNUMBER(SEARCH({"0","1","2","3","4","5","6","7","8","9","favorit","maquillaje","piel","cabello","productos","belleza","regalo"},E107)))&gt;0,"Sí","No")</f>
        <v>Sí</v>
      </c>
      <c r="AN107" s="102" t="str">
        <f>IF(SUMPRODUCT(--ISNUMBER(SEARCH({"lo que tenemos","estas ofertas","algo especial","ofertas únicas","que preparamos","no te quedes","echa un vistazo"},F107)))&gt;0,"Sí","No")</f>
        <v>No</v>
      </c>
      <c r="AO107" s="102">
        <f t="shared" si="44"/>
        <v>63</v>
      </c>
      <c r="AP107" s="102">
        <f t="shared" si="45"/>
        <v>7</v>
      </c>
      <c r="AQ107" s="102">
        <f>SUMPRODUCT(LEN(E107)-LEN(SUBSTITUTE(E107,{"!","¡","?","¿",":",",",".","%","·","-",";"},"")))</f>
        <v>3</v>
      </c>
      <c r="AR107" s="102" t="str">
        <f t="shared" si="46"/>
        <v>No</v>
      </c>
      <c r="AS107" s="102" t="str">
        <f t="shared" si="47"/>
        <v>No</v>
      </c>
      <c r="AT107" s="102" t="str">
        <f>IF(SUMPRODUCT(--ISNUMBER(FIND({"0","1","2","3","4","5","6","7","8","9"},E107)))&gt;0,"Con cifra concreta",IF(OR(ISNUMBER(FIND("?",E107)),ISNUMBER(FIND("¿",E107))),"Pregunta abierta",IF(SUMPRODUCT(--ISNUMBER(SEARCH({" hoy ","horas","tiempo limitado","antes de que","se acab","se agot","finalic","última oportunidad","oportunidad única","relámpago","express","no esperes","no volver","no parpadees"," ya ","últimas horas","últimas unidades"," ahora "},AF107)))&gt;0,"Solo urgencia, sin cifra",IF(SUMPRODUCT(--ISNUMBER(SEARCH({"recompensa","sorpresa","regalo","lealtad","detalle","gracias","pensamos en ti","para ti"},E107)))&gt;0,"Recompensa o sorpresa","Otro: beneficio o novedad"))))</f>
        <v>Otro: beneficio o novedad</v>
      </c>
    </row>
    <row r="108" spans="1:46" x14ac:dyDescent="0.2">
      <c r="A108" s="104" t="s">
        <v>973</v>
      </c>
      <c r="B108" s="104" t="s">
        <v>279</v>
      </c>
      <c r="C108" s="104" t="s">
        <v>938</v>
      </c>
      <c r="D108" s="104" t="s">
        <v>947</v>
      </c>
      <c r="E108" s="104" t="s">
        <v>369</v>
      </c>
      <c r="F108" s="104" t="s">
        <v>457</v>
      </c>
      <c r="G108" s="105">
        <v>223958</v>
      </c>
      <c r="H108" s="105">
        <v>81467</v>
      </c>
      <c r="I108" s="105">
        <v>27399</v>
      </c>
      <c r="J108" s="106">
        <v>5.22</v>
      </c>
      <c r="K108" s="106">
        <v>4.7</v>
      </c>
      <c r="L108" s="107">
        <v>77598.539999999994</v>
      </c>
      <c r="M108" s="108">
        <f t="shared" si="24"/>
        <v>36.376016931746129</v>
      </c>
      <c r="N108" s="108">
        <f t="shared" si="25"/>
        <v>12.233990301753007</v>
      </c>
      <c r="O108" s="108">
        <f t="shared" si="26"/>
        <v>33.632022782230841</v>
      </c>
      <c r="P108" s="108">
        <f t="shared" si="27"/>
        <v>346.48701988765748</v>
      </c>
      <c r="Q108" s="108">
        <f t="shared" si="28"/>
        <v>36.827379346292652</v>
      </c>
      <c r="R108" s="108">
        <f t="shared" si="29"/>
        <v>27.75136451093497</v>
      </c>
      <c r="S108" s="101">
        <f t="shared" si="30"/>
        <v>45936</v>
      </c>
      <c r="T108" s="102" t="str">
        <f t="shared" si="31"/>
        <v>Octubre</v>
      </c>
      <c r="U108" s="102" t="str">
        <f t="shared" si="32"/>
        <v>Lunes</v>
      </c>
      <c r="V108" s="102">
        <f t="shared" si="33"/>
        <v>9</v>
      </c>
      <c r="W108" s="102" t="str">
        <f t="shared" si="34"/>
        <v>Resto del mes</v>
      </c>
      <c r="X108" s="102">
        <f t="shared" si="35"/>
        <v>2</v>
      </c>
      <c r="Y108" s="102" t="str">
        <f t="shared" si="36"/>
        <v>No</v>
      </c>
      <c r="Z108" s="102" t="str">
        <f>CHOOSE(MATCH(B108,{"Customer Appreciation","Exclusive Offers","Flash Sale","Holiday Discounts","New Product Launch","Newsletter"},0),"Fidelizar","Vender","Vender","Vender","Lanzar","Educar")</f>
        <v>Educar</v>
      </c>
      <c r="AA108" s="102" t="str">
        <f t="shared" si="37"/>
        <v>200 a 300 mil</v>
      </c>
      <c r="AB108" s="102">
        <f>COUNTIFS($E$5:$E$493,E108,$S$5:$S$493,"&lt;"&amp;S108)+COUNTIFS($E$5:E108,E108,$S$5:S108,S108)</f>
        <v>13</v>
      </c>
      <c r="AC108" s="102">
        <f t="shared" si="38"/>
        <v>19</v>
      </c>
      <c r="AD108" s="102" t="str">
        <f t="shared" si="39"/>
        <v>Último tercio</v>
      </c>
      <c r="AE108" s="103">
        <f t="shared" si="40"/>
        <v>-0.45136241454652293</v>
      </c>
      <c r="AF108" s="102" t="str">
        <f t="shared" si="41"/>
        <v xml:space="preserve"> lo último en l'oréal  mantente informad@ de las novedades </v>
      </c>
      <c r="AG108" s="102" t="str">
        <f t="shared" si="42"/>
        <v xml:space="preserve"> descubre las novedades y tips de la semana   entra ya  </v>
      </c>
      <c r="AH108" s="102" t="str">
        <f>IF(SUMPRODUCT(--(LEFT(IF(LEFT(LOWER(E108),1)="¡",MID(LOWER(E108),2,300),LOWER(E108)),LEN({"actualizaci","el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108" s="102" t="str">
        <f>IF(OR(SUMPRODUCT(--ISNUMBER(SEARCH({"descuento","oferta","ahorr","precio"," sale ","flash","deals"},AF108)))&gt;0,SUMPRODUCT(--ISNUMBER(SEARCH({"descuento","oferta","ahorr","precio"," sale ","flash","deals"},AG108)))&gt;0),"Sí","No")</f>
        <v>No</v>
      </c>
      <c r="AJ108" s="102" t="str">
        <f>IF(SUMPRODUCT(--ISNUMBER(SEARCH({" hoy ","horas","tiempo limitado","antes de que","se acab","se agot","finalic","última oportunidad","oportunidad única","relámpago","express","no esperes","no volver","no parpadees"},AF108)))&gt;0,"Sí","No")</f>
        <v>No</v>
      </c>
      <c r="AK108" s="102" t="str">
        <f>IF(SUMPRODUCT(--ISNUMBER(SEARCH({" hoy ","horas","tiempo limitado","antes de que","se acab","se agot","finalic","última oportunidad","oportunidad única","relámpago","express","no esperes","no volver","no parpadees"},AG108)))&gt;0,"Sí","No")</f>
        <v>No</v>
      </c>
      <c r="AL108" s="102" t="str">
        <f t="shared" si="43"/>
        <v>Sin descuento</v>
      </c>
      <c r="AM108" s="102" t="str">
        <f>IF(SUMPRODUCT(--ISNUMBER(SEARCH({"0","1","2","3","4","5","6","7","8","9","favorit","maquillaje","piel","cabello","productos","belleza","regalo"},E108)))&gt;0,"Sí","No")</f>
        <v>No</v>
      </c>
      <c r="AN108" s="102" t="str">
        <f>IF(SUMPRODUCT(--ISNUMBER(SEARCH({"lo que tenemos","estas ofertas","algo especial","ofertas únicas","que preparamos","no te quedes","echa un vistazo"},F108)))&gt;0,"Sí","No")</f>
        <v>No</v>
      </c>
      <c r="AO108" s="102">
        <f t="shared" si="44"/>
        <v>57</v>
      </c>
      <c r="AP108" s="102">
        <f t="shared" si="45"/>
        <v>9</v>
      </c>
      <c r="AQ108" s="102">
        <f>SUMPRODUCT(LEN(E108)-LEN(SUBSTITUTE(E108,{"!","¡","?","¿",":",",",".","%","·","-",";"},"")))</f>
        <v>1</v>
      </c>
      <c r="AR108" s="102" t="str">
        <f t="shared" si="46"/>
        <v>Sí</v>
      </c>
      <c r="AS108" s="102" t="str">
        <f t="shared" si="47"/>
        <v>No</v>
      </c>
      <c r="AT108" s="102" t="str">
        <f>IF(SUMPRODUCT(--ISNUMBER(FIND({"0","1","2","3","4","5","6","7","8","9"},E108)))&gt;0,"Con cifra concreta",IF(OR(ISNUMBER(FIND("?",E108)),ISNUMBER(FIND("¿",E108))),"Pregunta abierta",IF(SUMPRODUCT(--ISNUMBER(SEARCH({" hoy ","horas","tiempo limitado","antes de que","se acab","se agot","finalic","última oportunidad","oportunidad única","relámpago","express","no esperes","no volver","no parpadees"," ya ","últimas horas","últimas unidades"," ahora "},AF108)))&gt;0,"Solo urgencia, sin cifra",IF(SUMPRODUCT(--ISNUMBER(SEARCH({"recompensa","sorpresa","regalo","lealtad","detalle","gracias","pensamos en ti","para ti"},E108)))&gt;0,"Recompensa o sorpresa","Otro: beneficio o novedad"))))</f>
        <v>Otro: beneficio o novedad</v>
      </c>
    </row>
    <row r="109" spans="1:46" x14ac:dyDescent="0.2">
      <c r="A109" s="96" t="s">
        <v>974</v>
      </c>
      <c r="B109" s="96" t="s">
        <v>278</v>
      </c>
      <c r="C109" s="96" t="s">
        <v>796</v>
      </c>
      <c r="D109" s="96" t="s">
        <v>950</v>
      </c>
      <c r="E109" s="96" t="s">
        <v>735</v>
      </c>
      <c r="F109" s="96" t="s">
        <v>458</v>
      </c>
      <c r="G109" s="97">
        <v>39303</v>
      </c>
      <c r="H109" s="97">
        <v>18029</v>
      </c>
      <c r="I109" s="97">
        <v>4052</v>
      </c>
      <c r="J109" s="98">
        <v>9.7100000000000009</v>
      </c>
      <c r="K109" s="98">
        <v>1.1499999999999999</v>
      </c>
      <c r="L109" s="99">
        <v>59087.4</v>
      </c>
      <c r="M109" s="100">
        <f t="shared" si="24"/>
        <v>45.871816400783658</v>
      </c>
      <c r="N109" s="100">
        <f t="shared" si="25"/>
        <v>10.309645574129203</v>
      </c>
      <c r="O109" s="100">
        <f t="shared" si="26"/>
        <v>22.474901547506796</v>
      </c>
      <c r="P109" s="100">
        <f t="shared" si="27"/>
        <v>1503.3814212655523</v>
      </c>
      <c r="Q109" s="100">
        <f t="shared" si="28"/>
        <v>35.394522582730353</v>
      </c>
      <c r="R109" s="100">
        <f t="shared" si="29"/>
        <v>29.458247936272421</v>
      </c>
      <c r="S109" s="101">
        <f t="shared" si="30"/>
        <v>45904</v>
      </c>
      <c r="T109" s="102" t="str">
        <f t="shared" si="31"/>
        <v>Septiembre</v>
      </c>
      <c r="U109" s="102" t="str">
        <f t="shared" si="32"/>
        <v>Jueves</v>
      </c>
      <c r="V109" s="102">
        <f t="shared" si="33"/>
        <v>14</v>
      </c>
      <c r="W109" s="102" t="str">
        <f t="shared" si="34"/>
        <v>Días después del pago</v>
      </c>
      <c r="X109" s="102">
        <f t="shared" si="35"/>
        <v>2</v>
      </c>
      <c r="Y109" s="102" t="str">
        <f t="shared" si="36"/>
        <v>No</v>
      </c>
      <c r="Z109" s="102" t="str">
        <f>CHOOSE(MATCH(B109,{"Customer Appreciation","Exclusive Offers","Flash Sale","Holiday Discounts","New Product Launch","Newsletter"},0),"Fidelizar","Vender","Vender","Vender","Lanzar","Educar")</f>
        <v>Lanzar</v>
      </c>
      <c r="AA109" s="102" t="str">
        <f t="shared" si="37"/>
        <v>Menos de 100 mil</v>
      </c>
      <c r="AB109" s="102">
        <f>COUNTIFS($E$5:$E$493,E109,$S$5:$S$493,"&lt;"&amp;S109)+COUNTIFS($E$5:E109,E109,$S$5:S109,S109)</f>
        <v>2</v>
      </c>
      <c r="AC109" s="102">
        <f t="shared" si="38"/>
        <v>3</v>
      </c>
      <c r="AD109" s="102" t="str">
        <f t="shared" si="39"/>
        <v/>
      </c>
      <c r="AE109" s="103">
        <f t="shared" si="40"/>
        <v>10.477293818053305</v>
      </c>
      <c r="AF109" s="102" t="str">
        <f t="shared" si="41"/>
        <v xml:space="preserve">  el futuro de tu piel ha llegado  nuevo producto estrella </v>
      </c>
      <c r="AG109" s="102" t="str">
        <f t="shared" si="42"/>
        <v xml:space="preserve"> una fórmula revolucionaria para resultados visibles   compruébalo  </v>
      </c>
      <c r="AH109" s="102" t="str">
        <f>IF(SUMPRODUCT(--(LEFT(IF(LEFT(LOWER(E109),1)="¡",MID(LOWER(E109),2,300),LOWER(E109)),LEN({"actualizaci","el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109" s="102" t="str">
        <f>IF(OR(SUMPRODUCT(--ISNUMBER(SEARCH({"descuento","oferta","ahorr","precio"," sale ","flash","deals"},AF109)))&gt;0,SUMPRODUCT(--ISNUMBER(SEARCH({"descuento","oferta","ahorr","precio"," sale ","flash","deals"},AG109)))&gt;0),"Sí","No")</f>
        <v>No</v>
      </c>
      <c r="AJ109" s="102" t="str">
        <f>IF(SUMPRODUCT(--ISNUMBER(SEARCH({" hoy ","horas","tiempo limitado","antes de que","se acab","se agot","finalic","última oportunidad","oportunidad única","relámpago","express","no esperes","no volver","no parpadees"},AF109)))&gt;0,"Sí","No")</f>
        <v>No</v>
      </c>
      <c r="AK109" s="102" t="str">
        <f>IF(SUMPRODUCT(--ISNUMBER(SEARCH({" hoy ","horas","tiempo limitado","antes de que","se acab","se agot","finalic","última oportunidad","oportunidad única","relámpago","express","no esperes","no volver","no parpadees"},AG109)))&gt;0,"Sí","No")</f>
        <v>No</v>
      </c>
      <c r="AL109" s="102" t="str">
        <f t="shared" si="43"/>
        <v>Sin descuento</v>
      </c>
      <c r="AM109" s="102" t="str">
        <f>IF(SUMPRODUCT(--ISNUMBER(SEARCH({"0","1","2","3","4","5","6","7","8","9","favorit","maquillaje","piel","cabello","productos","belleza","regalo"},E109)))&gt;0,"Sí","No")</f>
        <v>Sí</v>
      </c>
      <c r="AN109" s="102" t="str">
        <f>IF(SUMPRODUCT(--ISNUMBER(SEARCH({"lo que tenemos","estas ofertas","algo especial","ofertas únicas","que preparamos","no te quedes","echa un vistazo"},F109)))&gt;0,"Sí","No")</f>
        <v>No</v>
      </c>
      <c r="AO109" s="102">
        <f t="shared" si="44"/>
        <v>57</v>
      </c>
      <c r="AP109" s="102">
        <f t="shared" si="45"/>
        <v>10</v>
      </c>
      <c r="AQ109" s="102">
        <f>SUMPRODUCT(LEN(E109)-LEN(SUBSTITUTE(E109,{"!","¡","?","¿",":",",",".","%","·","-",";"},"")))</f>
        <v>2</v>
      </c>
      <c r="AR109" s="102" t="str">
        <f t="shared" si="46"/>
        <v>No</v>
      </c>
      <c r="AS109" s="102" t="str">
        <f t="shared" si="47"/>
        <v>No</v>
      </c>
      <c r="AT109" s="102" t="str">
        <f>IF(SUMPRODUCT(--ISNUMBER(FIND({"0","1","2","3","4","5","6","7","8","9"},E109)))&gt;0,"Con cifra concreta",IF(OR(ISNUMBER(FIND("?",E109)),ISNUMBER(FIND("¿",E109))),"Pregunta abierta",IF(SUMPRODUCT(--ISNUMBER(SEARCH({" hoy ","horas","tiempo limitado","antes de que","se acab","se agot","finalic","última oportunidad","oportunidad única","relámpago","express","no esperes","no volver","no parpadees"," ya ","últimas horas","últimas unidades"," ahora "},AF109)))&gt;0,"Solo urgencia, sin cifra",IF(SUMPRODUCT(--ISNUMBER(SEARCH({"recompensa","sorpresa","regalo","lealtad","detalle","gracias","pensamos en ti","para ti"},E109)))&gt;0,"Recompensa o sorpresa","Otro: beneficio o novedad"))))</f>
        <v>Otro: beneficio o novedad</v>
      </c>
    </row>
    <row r="110" spans="1:46" x14ac:dyDescent="0.2">
      <c r="A110" s="104" t="s">
        <v>975</v>
      </c>
      <c r="B110" s="104" t="s">
        <v>276</v>
      </c>
      <c r="C110" s="104" t="s">
        <v>976</v>
      </c>
      <c r="D110" s="104" t="s">
        <v>751</v>
      </c>
      <c r="E110" s="104" t="s">
        <v>866</v>
      </c>
      <c r="F110" s="104" t="s">
        <v>867</v>
      </c>
      <c r="G110" s="105">
        <v>343588</v>
      </c>
      <c r="H110" s="105">
        <v>54943</v>
      </c>
      <c r="I110" s="105">
        <v>7731</v>
      </c>
      <c r="J110" s="106">
        <v>1.5</v>
      </c>
      <c r="K110" s="106">
        <v>4.6500000000000004</v>
      </c>
      <c r="L110" s="107">
        <v>61284.54</v>
      </c>
      <c r="M110" s="108">
        <f t="shared" si="24"/>
        <v>15.990954282454567</v>
      </c>
      <c r="N110" s="108">
        <f t="shared" si="25"/>
        <v>2.2500785824883289</v>
      </c>
      <c r="O110" s="108">
        <f t="shared" si="26"/>
        <v>14.070946253389877</v>
      </c>
      <c r="P110" s="108">
        <f t="shared" si="27"/>
        <v>178.36635738151506</v>
      </c>
      <c r="Q110" s="108">
        <f t="shared" si="28"/>
        <v>20.679461560319073</v>
      </c>
      <c r="R110" s="108">
        <f t="shared" si="29"/>
        <v>29.440902453236173</v>
      </c>
      <c r="S110" s="101">
        <f t="shared" si="30"/>
        <v>45892</v>
      </c>
      <c r="T110" s="102" t="str">
        <f t="shared" si="31"/>
        <v>Agosto</v>
      </c>
      <c r="U110" s="102" t="str">
        <f t="shared" si="32"/>
        <v>Sábado</v>
      </c>
      <c r="V110" s="102">
        <f t="shared" si="33"/>
        <v>11</v>
      </c>
      <c r="W110" s="102" t="str">
        <f t="shared" si="34"/>
        <v>Resto del mes</v>
      </c>
      <c r="X110" s="102">
        <f t="shared" si="35"/>
        <v>25</v>
      </c>
      <c r="Y110" s="102" t="str">
        <f t="shared" si="36"/>
        <v>Sí</v>
      </c>
      <c r="Z110" s="102" t="str">
        <f>CHOOSE(MATCH(B110,{"Customer Appreciation","Exclusive Offers","Flash Sale","Holiday Discounts","New Product Launch","Newsletter"},0),"Fidelizar","Vender","Vender","Vender","Lanzar","Educar")</f>
        <v>Vender</v>
      </c>
      <c r="AA110" s="102" t="str">
        <f t="shared" si="37"/>
        <v>300 a 400 mil</v>
      </c>
      <c r="AB110" s="102">
        <f>COUNTIFS($E$5:$E$493,E110,$S$5:$S$493,"&lt;"&amp;S110)+COUNTIFS($E$5:E110,E110,$S$5:S110,S110)</f>
        <v>3</v>
      </c>
      <c r="AC110" s="102">
        <f t="shared" si="38"/>
        <v>7</v>
      </c>
      <c r="AD110" s="102" t="str">
        <f t="shared" si="39"/>
        <v/>
      </c>
      <c r="AE110" s="103">
        <f t="shared" si="40"/>
        <v>-4.6885072778645061</v>
      </c>
      <c r="AF110" s="102" t="str">
        <f t="shared" si="41"/>
        <v xml:space="preserve">  ahorra en grande  oferta relámpago  últimas unidades </v>
      </c>
      <c r="AG110" s="102" t="str">
        <f t="shared" si="42"/>
        <v xml:space="preserve"> precios irresistibles en tus productos favoritos   compra ahora  </v>
      </c>
      <c r="AH110" s="102" t="str">
        <f>IF(SUMPRODUCT(--(LEFT(IF(LEFT(LOWER(E110),1)="¡",MID(LOWER(E110),2,300),LOWER(E110)),LEN({"actualizaci","el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110" s="102" t="str">
        <f>IF(OR(SUMPRODUCT(--ISNUMBER(SEARCH({"descuento","oferta","ahorr","precio"," sale ","flash","deals"},AF110)))&gt;0,SUMPRODUCT(--ISNUMBER(SEARCH({"descuento","oferta","ahorr","precio"," sale ","flash","deals"},AG110)))&gt;0),"Sí","No")</f>
        <v>Sí</v>
      </c>
      <c r="AJ110" s="102" t="str">
        <f>IF(SUMPRODUCT(--ISNUMBER(SEARCH({" hoy ","horas","tiempo limitado","antes de que","se acab","se agot","finalic","última oportunidad","oportunidad única","relámpago","express","no esperes","no volver","no parpadees"},AF110)))&gt;0,"Sí","No")</f>
        <v>Sí</v>
      </c>
      <c r="AK110" s="102" t="str">
        <f>IF(SUMPRODUCT(--ISNUMBER(SEARCH({" hoy ","horas","tiempo limitado","antes de que","se acab","se agot","finalic","última oportunidad","oportunidad única","relámpago","express","no esperes","no volver","no parpadees"},AG110)))&gt;0,"Sí","No")</f>
        <v>No</v>
      </c>
      <c r="AL110" s="102" t="str">
        <f t="shared" si="43"/>
        <v>Descuento con tiempo límite en el asunto</v>
      </c>
      <c r="AM110" s="102" t="str">
        <f>IF(SUMPRODUCT(--ISNUMBER(SEARCH({"0","1","2","3","4","5","6","7","8","9","favorit","maquillaje","piel","cabello","productos","belleza","regalo"},E110)))&gt;0,"Sí","No")</f>
        <v>No</v>
      </c>
      <c r="AN110" s="102" t="str">
        <f>IF(SUMPRODUCT(--ISNUMBER(SEARCH({"lo que tenemos","estas ofertas","algo especial","ofertas únicas","que preparamos","no te quedes","echa un vistazo"},F110)))&gt;0,"Sí","No")</f>
        <v>No</v>
      </c>
      <c r="AO110" s="102">
        <f t="shared" si="44"/>
        <v>53</v>
      </c>
      <c r="AP110" s="102">
        <f t="shared" si="45"/>
        <v>7</v>
      </c>
      <c r="AQ110" s="102">
        <f>SUMPRODUCT(LEN(E110)-LEN(SUBSTITUTE(E110,{"!","¡","?","¿",":",",",".","%","·","-",";"},"")))</f>
        <v>3</v>
      </c>
      <c r="AR110" s="102" t="str">
        <f t="shared" si="46"/>
        <v>Sí</v>
      </c>
      <c r="AS110" s="102" t="str">
        <f t="shared" si="47"/>
        <v>No</v>
      </c>
      <c r="AT110" s="102" t="str">
        <f>IF(SUMPRODUCT(--ISNUMBER(FIND({"0","1","2","3","4","5","6","7","8","9"},E110)))&gt;0,"Con cifra concreta",IF(OR(ISNUMBER(FIND("?",E110)),ISNUMBER(FIND("¿",E110))),"Pregunta abierta",IF(SUMPRODUCT(--ISNUMBER(SEARCH({" hoy ","horas","tiempo limitado","antes de que","se acab","se agot","finalic","última oportunidad","oportunidad única","relámpago","express","no esperes","no volver","no parpadees"," ya ","últimas horas","últimas unidades"," ahora "},AF110)))&gt;0,"Solo urgencia, sin cifra",IF(SUMPRODUCT(--ISNUMBER(SEARCH({"recompensa","sorpresa","regalo","lealtad","detalle","gracias","pensamos en ti","para ti"},E110)))&gt;0,"Recompensa o sorpresa","Otro: beneficio o novedad"))))</f>
        <v>Solo urgencia, sin cifra</v>
      </c>
    </row>
    <row r="111" spans="1:46" x14ac:dyDescent="0.2">
      <c r="A111" s="96" t="s">
        <v>977</v>
      </c>
      <c r="B111" s="96" t="s">
        <v>275</v>
      </c>
      <c r="C111" s="96" t="s">
        <v>742</v>
      </c>
      <c r="D111" s="96" t="s">
        <v>702</v>
      </c>
      <c r="E111" s="96" t="s">
        <v>481</v>
      </c>
      <c r="F111" s="96" t="s">
        <v>482</v>
      </c>
      <c r="G111" s="97">
        <v>35403</v>
      </c>
      <c r="H111" s="97">
        <v>6692</v>
      </c>
      <c r="I111" s="97">
        <v>3315</v>
      </c>
      <c r="J111" s="98">
        <v>6.62</v>
      </c>
      <c r="K111" s="98">
        <v>0.64</v>
      </c>
      <c r="L111" s="99">
        <v>53308.41</v>
      </c>
      <c r="M111" s="100">
        <f t="shared" si="24"/>
        <v>18.902352907945655</v>
      </c>
      <c r="N111" s="100">
        <f t="shared" si="25"/>
        <v>9.3636132531141438</v>
      </c>
      <c r="O111" s="100">
        <f t="shared" si="26"/>
        <v>49.536760310818892</v>
      </c>
      <c r="P111" s="100">
        <f t="shared" si="27"/>
        <v>1505.7596813829336</v>
      </c>
      <c r="Q111" s="100">
        <f t="shared" si="28"/>
        <v>18.428686186240089</v>
      </c>
      <c r="R111" s="100">
        <f t="shared" si="29"/>
        <v>27.021447627328243</v>
      </c>
      <c r="S111" s="101">
        <f t="shared" si="30"/>
        <v>45948</v>
      </c>
      <c r="T111" s="102" t="str">
        <f t="shared" si="31"/>
        <v>Octubre</v>
      </c>
      <c r="U111" s="102" t="str">
        <f t="shared" si="32"/>
        <v>Sábado</v>
      </c>
      <c r="V111" s="102">
        <f t="shared" si="33"/>
        <v>16</v>
      </c>
      <c r="W111" s="102" t="str">
        <f t="shared" si="34"/>
        <v>Días después del pago</v>
      </c>
      <c r="X111" s="102">
        <f t="shared" si="35"/>
        <v>27</v>
      </c>
      <c r="Y111" s="102" t="str">
        <f t="shared" si="36"/>
        <v>Sí</v>
      </c>
      <c r="Z111" s="102" t="str">
        <f>CHOOSE(MATCH(B111,{"Customer Appreciation","Exclusive Offers","Flash Sale","Holiday Discounts","New Product Launch","Newsletter"},0),"Fidelizar","Vender","Vender","Vender","Lanzar","Educar")</f>
        <v>Vender</v>
      </c>
      <c r="AA111" s="102" t="str">
        <f t="shared" si="37"/>
        <v>Menos de 100 mil</v>
      </c>
      <c r="AB111" s="102">
        <f>COUNTIFS($E$5:$E$493,E111,$S$5:$S$493,"&lt;"&amp;S111)+COUNTIFS($E$5:E111,E111,$S$5:S111,S111)</f>
        <v>8</v>
      </c>
      <c r="AC111" s="102">
        <f t="shared" si="38"/>
        <v>11</v>
      </c>
      <c r="AD111" s="102" t="str">
        <f t="shared" si="39"/>
        <v>Último tercio</v>
      </c>
      <c r="AE111" s="103">
        <f t="shared" si="40"/>
        <v>0.47366672170556612</v>
      </c>
      <c r="AF111" s="102" t="str">
        <f t="shared" si="41"/>
        <v xml:space="preserve">  oportunidad única  solo por hoy  tus favoritos a un clic </v>
      </c>
      <c r="AG111" s="102" t="str">
        <f t="shared" si="42"/>
        <v xml:space="preserve"> tus productos favoritos con un precio que no volverás a ver   aprovecha  </v>
      </c>
      <c r="AH111" s="102" t="str">
        <f>IF(SUMPRODUCT(--(LEFT(IF(LEFT(LOWER(E111),1)="¡",MID(LOWER(E111),2,300),LOWER(E111)),LEN({"actualizaci","el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Sí</v>
      </c>
      <c r="AI111" s="102" t="str">
        <f>IF(OR(SUMPRODUCT(--ISNUMBER(SEARCH({"descuento","oferta","ahorr","precio"," sale ","flash","deals"},AF111)))&gt;0,SUMPRODUCT(--ISNUMBER(SEARCH({"descuento","oferta","ahorr","precio"," sale ","flash","deals"},AG111)))&gt;0),"Sí","No")</f>
        <v>Sí</v>
      </c>
      <c r="AJ111" s="102" t="str">
        <f>IF(SUMPRODUCT(--ISNUMBER(SEARCH({" hoy ","horas","tiempo limitado","antes de que","se acab","se agot","finalic","última oportunidad","oportunidad única","relámpago","express","no esperes","no volver","no parpadees"},AF111)))&gt;0,"Sí","No")</f>
        <v>Sí</v>
      </c>
      <c r="AK111" s="102" t="str">
        <f>IF(SUMPRODUCT(--ISNUMBER(SEARCH({" hoy ","horas","tiempo limitado","antes de que","se acab","se agot","finalic","última oportunidad","oportunidad única","relámpago","express","no esperes","no volver","no parpadees"},AG111)))&gt;0,"Sí","No")</f>
        <v>Sí</v>
      </c>
      <c r="AL111" s="102" t="str">
        <f t="shared" si="43"/>
        <v>Descuento con tiempo límite en el asunto</v>
      </c>
      <c r="AM111" s="102" t="str">
        <f>IF(SUMPRODUCT(--ISNUMBER(SEARCH({"0","1","2","3","4","5","6","7","8","9","favorit","maquillaje","piel","cabello","productos","belleza","regalo"},E111)))&gt;0,"Sí","No")</f>
        <v>Sí</v>
      </c>
      <c r="AN111" s="102" t="str">
        <f>IF(SUMPRODUCT(--ISNUMBER(SEARCH({"lo que tenemos","estas ofertas","algo especial","ofertas únicas","que preparamos","no te quedes","echa un vistazo"},F111)))&gt;0,"Sí","No")</f>
        <v>No</v>
      </c>
      <c r="AO111" s="102">
        <f t="shared" si="44"/>
        <v>57</v>
      </c>
      <c r="AP111" s="102">
        <f t="shared" si="45"/>
        <v>10</v>
      </c>
      <c r="AQ111" s="102">
        <f>SUMPRODUCT(LEN(E111)-LEN(SUBSTITUTE(E111,{"!","¡","?","¿",":",",",".","%","·","-",";"},"")))</f>
        <v>3</v>
      </c>
      <c r="AR111" s="102" t="str">
        <f t="shared" si="46"/>
        <v>No</v>
      </c>
      <c r="AS111" s="102" t="str">
        <f t="shared" si="47"/>
        <v>No</v>
      </c>
      <c r="AT111" s="102" t="str">
        <f>IF(SUMPRODUCT(--ISNUMBER(FIND({"0","1","2","3","4","5","6","7","8","9"},E111)))&gt;0,"Con cifra concreta",IF(OR(ISNUMBER(FIND("?",E111)),ISNUMBER(FIND("¿",E111))),"Pregunta abierta",IF(SUMPRODUCT(--ISNUMBER(SEARCH({" hoy ","horas","tiempo limitado","antes de que","se acab","se agot","finalic","última oportunidad","oportunidad única","relámpago","express","no esperes","no volver","no parpadees"," ya ","últimas horas","últimas unidades"," ahora "},AF111)))&gt;0,"Solo urgencia, sin cifra",IF(SUMPRODUCT(--ISNUMBER(SEARCH({"recompensa","sorpresa","regalo","lealtad","detalle","gracias","pensamos en ti","para ti"},E111)))&gt;0,"Recompensa o sorpresa","Otro: beneficio o novedad"))))</f>
        <v>Solo urgencia, sin cifra</v>
      </c>
    </row>
    <row r="112" spans="1:46" x14ac:dyDescent="0.2">
      <c r="A112" s="104" t="s">
        <v>978</v>
      </c>
      <c r="B112" s="104" t="s">
        <v>278</v>
      </c>
      <c r="C112" s="104" t="s">
        <v>773</v>
      </c>
      <c r="D112" s="104" t="s">
        <v>707</v>
      </c>
      <c r="E112" s="104" t="s">
        <v>467</v>
      </c>
      <c r="F112" s="104" t="s">
        <v>468</v>
      </c>
      <c r="G112" s="105">
        <v>29191</v>
      </c>
      <c r="H112" s="105">
        <v>10143</v>
      </c>
      <c r="I112" s="105">
        <v>5382</v>
      </c>
      <c r="J112" s="106">
        <v>3.96</v>
      </c>
      <c r="K112" s="106">
        <v>4.83</v>
      </c>
      <c r="L112" s="107">
        <v>24423.67</v>
      </c>
      <c r="M112" s="108">
        <f t="shared" si="24"/>
        <v>34.747011065054295</v>
      </c>
      <c r="N112" s="108">
        <f t="shared" si="25"/>
        <v>18.437189544722688</v>
      </c>
      <c r="O112" s="108">
        <f t="shared" si="26"/>
        <v>53.061224489795919</v>
      </c>
      <c r="P112" s="108">
        <f t="shared" si="27"/>
        <v>836.68493713815894</v>
      </c>
      <c r="Q112" s="108">
        <f t="shared" si="28"/>
        <v>30.93688234168668</v>
      </c>
      <c r="R112" s="108">
        <f t="shared" si="29"/>
        <v>29.458247936272421</v>
      </c>
      <c r="S112" s="101">
        <f t="shared" si="30"/>
        <v>45909</v>
      </c>
      <c r="T112" s="102" t="str">
        <f t="shared" si="31"/>
        <v>Septiembre</v>
      </c>
      <c r="U112" s="102" t="str">
        <f t="shared" si="32"/>
        <v>Martes</v>
      </c>
      <c r="V112" s="102">
        <f t="shared" si="33"/>
        <v>13</v>
      </c>
      <c r="W112" s="102" t="str">
        <f t="shared" si="34"/>
        <v>Resto del mes</v>
      </c>
      <c r="X112" s="102">
        <f t="shared" si="35"/>
        <v>28</v>
      </c>
      <c r="Y112" s="102" t="str">
        <f t="shared" si="36"/>
        <v>Sí</v>
      </c>
      <c r="Z112" s="102" t="str">
        <f>CHOOSE(MATCH(B112,{"Customer Appreciation","Exclusive Offers","Flash Sale","Holiday Discounts","New Product Launch","Newsletter"},0),"Fidelizar","Vender","Vender","Vender","Lanzar","Educar")</f>
        <v>Lanzar</v>
      </c>
      <c r="AA112" s="102" t="str">
        <f t="shared" si="37"/>
        <v>Menos de 100 mil</v>
      </c>
      <c r="AB112" s="102">
        <f>COUNTIFS($E$5:$E$493,E112,$S$5:$S$493,"&lt;"&amp;S112)+COUNTIFS($E$5:E112,E112,$S$5:S112,S112)</f>
        <v>13</v>
      </c>
      <c r="AC112" s="102">
        <f t="shared" si="38"/>
        <v>22</v>
      </c>
      <c r="AD112" s="102" t="str">
        <f t="shared" si="39"/>
        <v>Medio</v>
      </c>
      <c r="AE112" s="103">
        <f t="shared" si="40"/>
        <v>3.8101287233676153</v>
      </c>
      <c r="AF112" s="102" t="str">
        <f t="shared" si="41"/>
        <v xml:space="preserve">  lo nuevo de l'oréal  te va a encantar  innovación en belleza </v>
      </c>
      <c r="AG112" s="102" t="str">
        <f t="shared" si="42"/>
        <v xml:space="preserve"> prepárate para experimentar la innovación en tu belleza   descúbrela  </v>
      </c>
      <c r="AH112" s="102" t="str">
        <f>IF(SUMPRODUCT(--(LEFT(IF(LEFT(LOWER(E112),1)="¡",MID(LOWER(E112),2,300),LOWER(E112)),LEN({"actualizaci","el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112" s="102" t="str">
        <f>IF(OR(SUMPRODUCT(--ISNUMBER(SEARCH({"descuento","oferta","ahorr","precio"," sale ","flash","deals"},AF112)))&gt;0,SUMPRODUCT(--ISNUMBER(SEARCH({"descuento","oferta","ahorr","precio"," sale ","flash","deals"},AG112)))&gt;0),"Sí","No")</f>
        <v>No</v>
      </c>
      <c r="AJ112" s="102" t="str">
        <f>IF(SUMPRODUCT(--ISNUMBER(SEARCH({" hoy ","horas","tiempo limitado","antes de que","se acab","se agot","finalic","última oportunidad","oportunidad única","relámpago","express","no esperes","no volver","no parpadees"},AF112)))&gt;0,"Sí","No")</f>
        <v>No</v>
      </c>
      <c r="AK112" s="102" t="str">
        <f>IF(SUMPRODUCT(--ISNUMBER(SEARCH({" hoy ","horas","tiempo limitado","antes de que","se acab","se agot","finalic","última oportunidad","oportunidad única","relámpago","express","no esperes","no volver","no parpadees"},AG112)))&gt;0,"Sí","No")</f>
        <v>No</v>
      </c>
      <c r="AL112" s="102" t="str">
        <f t="shared" si="43"/>
        <v>Sin descuento</v>
      </c>
      <c r="AM112" s="102" t="str">
        <f>IF(SUMPRODUCT(--ISNUMBER(SEARCH({"0","1","2","3","4","5","6","7","8","9","favorit","maquillaje","piel","cabello","productos","belleza","regalo"},E112)))&gt;0,"Sí","No")</f>
        <v>Sí</v>
      </c>
      <c r="AN112" s="102" t="str">
        <f>IF(SUMPRODUCT(--ISNUMBER(SEARCH({"lo que tenemos","estas ofertas","algo especial","ofertas únicas","que preparamos","no te quedes","echa un vistazo"},F112)))&gt;0,"Sí","No")</f>
        <v>No</v>
      </c>
      <c r="AO112" s="102">
        <f t="shared" si="44"/>
        <v>61</v>
      </c>
      <c r="AP112" s="102">
        <f t="shared" si="45"/>
        <v>11</v>
      </c>
      <c r="AQ112" s="102">
        <f>SUMPRODUCT(LEN(E112)-LEN(SUBSTITUTE(E112,{"!","¡","?","¿",":",",",".","%","·","-",";"},"")))</f>
        <v>3</v>
      </c>
      <c r="AR112" s="102" t="str">
        <f t="shared" si="46"/>
        <v>No</v>
      </c>
      <c r="AS112" s="102" t="str">
        <f t="shared" si="47"/>
        <v>No</v>
      </c>
      <c r="AT112" s="102" t="str">
        <f>IF(SUMPRODUCT(--ISNUMBER(FIND({"0","1","2","3","4","5","6","7","8","9"},E112)))&gt;0,"Con cifra concreta",IF(OR(ISNUMBER(FIND("?",E112)),ISNUMBER(FIND("¿",E112))),"Pregunta abierta",IF(SUMPRODUCT(--ISNUMBER(SEARCH({" hoy ","horas","tiempo limitado","antes de que","se acab","se agot","finalic","última oportunidad","oportunidad única","relámpago","express","no esperes","no volver","no parpadees"," ya ","últimas horas","últimas unidades"," ahora "},AF112)))&gt;0,"Solo urgencia, sin cifra",IF(SUMPRODUCT(--ISNUMBER(SEARCH({"recompensa","sorpresa","regalo","lealtad","detalle","gracias","pensamos en ti","para ti"},E112)))&gt;0,"Recompensa o sorpresa","Otro: beneficio o novedad"))))</f>
        <v>Otro: beneficio o novedad</v>
      </c>
    </row>
    <row r="113" spans="1:46" x14ac:dyDescent="0.2">
      <c r="A113" s="96" t="s">
        <v>979</v>
      </c>
      <c r="B113" s="96" t="s">
        <v>276</v>
      </c>
      <c r="C113" s="96" t="s">
        <v>980</v>
      </c>
      <c r="D113" s="96" t="s">
        <v>824</v>
      </c>
      <c r="E113" s="96" t="s">
        <v>483</v>
      </c>
      <c r="F113" s="96" t="s">
        <v>484</v>
      </c>
      <c r="G113" s="97">
        <v>379859</v>
      </c>
      <c r="H113" s="97">
        <v>69041</v>
      </c>
      <c r="I113" s="97">
        <v>64955</v>
      </c>
      <c r="J113" s="98">
        <v>4.82</v>
      </c>
      <c r="K113" s="98">
        <v>0.11</v>
      </c>
      <c r="L113" s="99">
        <v>61318.8</v>
      </c>
      <c r="M113" s="100">
        <f t="shared" si="24"/>
        <v>18.175428251008928</v>
      </c>
      <c r="N113" s="100">
        <f t="shared" si="25"/>
        <v>17.099765965792571</v>
      </c>
      <c r="O113" s="100">
        <f t="shared" si="26"/>
        <v>94.081777494532233</v>
      </c>
      <c r="P113" s="100">
        <f t="shared" si="27"/>
        <v>161.42516038845994</v>
      </c>
      <c r="Q113" s="100">
        <f t="shared" si="28"/>
        <v>17.395911943759799</v>
      </c>
      <c r="R113" s="100">
        <f t="shared" si="29"/>
        <v>29.440902453236173</v>
      </c>
      <c r="S113" s="101">
        <f t="shared" si="30"/>
        <v>45875</v>
      </c>
      <c r="T113" s="102" t="str">
        <f t="shared" si="31"/>
        <v>Agosto</v>
      </c>
      <c r="U113" s="102" t="str">
        <f t="shared" si="32"/>
        <v>Miércoles</v>
      </c>
      <c r="V113" s="102">
        <f t="shared" si="33"/>
        <v>10</v>
      </c>
      <c r="W113" s="102" t="str">
        <f t="shared" si="34"/>
        <v>Resto del mes</v>
      </c>
      <c r="X113" s="102">
        <f t="shared" si="35"/>
        <v>28</v>
      </c>
      <c r="Y113" s="102" t="str">
        <f t="shared" si="36"/>
        <v>Sí</v>
      </c>
      <c r="Z113" s="102" t="str">
        <f>CHOOSE(MATCH(B113,{"Customer Appreciation","Exclusive Offers","Flash Sale","Holiday Discounts","New Product Launch","Newsletter"},0),"Fidelizar","Vender","Vender","Vender","Lanzar","Educar")</f>
        <v>Vender</v>
      </c>
      <c r="AA113" s="102" t="str">
        <f t="shared" si="37"/>
        <v>300 a 400 mil</v>
      </c>
      <c r="AB113" s="102">
        <f>COUNTIFS($E$5:$E$493,E113,$S$5:$S$493,"&lt;"&amp;S113)+COUNTIFS($E$5:E113,E113,$S$5:S113,S113)</f>
        <v>1</v>
      </c>
      <c r="AC113" s="102">
        <f t="shared" si="38"/>
        <v>9</v>
      </c>
      <c r="AD113" s="102" t="str">
        <f t="shared" si="39"/>
        <v>Primer tercio</v>
      </c>
      <c r="AE113" s="103">
        <f t="shared" si="40"/>
        <v>0.77951630724912846</v>
      </c>
      <c r="AF113" s="102" t="str">
        <f t="shared" si="41"/>
        <v xml:space="preserve">  gran oferta  por tiempo limitado  no te lo pierdas </v>
      </c>
      <c r="AG113" s="102" t="str">
        <f t="shared" si="42"/>
        <v xml:space="preserve"> aprovecha los descuentos en tus productos esenciales   compra ahora  </v>
      </c>
      <c r="AH113" s="102" t="str">
        <f>IF(SUMPRODUCT(--(LEFT(IF(LEFT(LOWER(E113),1)="¡",MID(LOWER(E113),2,300),LOWER(E113)),LEN({"actualizaci","el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Sí</v>
      </c>
      <c r="AI113" s="102" t="str">
        <f>IF(OR(SUMPRODUCT(--ISNUMBER(SEARCH({"descuento","oferta","ahorr","precio"," sale ","flash","deals"},AF113)))&gt;0,SUMPRODUCT(--ISNUMBER(SEARCH({"descuento","oferta","ahorr","precio"," sale ","flash","deals"},AG113)))&gt;0),"Sí","No")</f>
        <v>Sí</v>
      </c>
      <c r="AJ113" s="102" t="str">
        <f>IF(SUMPRODUCT(--ISNUMBER(SEARCH({" hoy ","horas","tiempo limitado","antes de que","se acab","se agot","finalic","última oportunidad","oportunidad única","relámpago","express","no esperes","no volver","no parpadees"},AF113)))&gt;0,"Sí","No")</f>
        <v>Sí</v>
      </c>
      <c r="AK113" s="102" t="str">
        <f>IF(SUMPRODUCT(--ISNUMBER(SEARCH({" hoy ","horas","tiempo limitado","antes de que","se acab","se agot","finalic","última oportunidad","oportunidad única","relámpago","express","no esperes","no volver","no parpadees"},AG113)))&gt;0,"Sí","No")</f>
        <v>No</v>
      </c>
      <c r="AL113" s="102" t="str">
        <f t="shared" si="43"/>
        <v>Descuento con tiempo límite en el asunto</v>
      </c>
      <c r="AM113" s="102" t="str">
        <f>IF(SUMPRODUCT(--ISNUMBER(SEARCH({"0","1","2","3","4","5","6","7","8","9","favorit","maquillaje","piel","cabello","productos","belleza","regalo"},E113)))&gt;0,"Sí","No")</f>
        <v>No</v>
      </c>
      <c r="AN113" s="102" t="str">
        <f>IF(SUMPRODUCT(--ISNUMBER(SEARCH({"lo que tenemos","estas ofertas","algo especial","ofertas únicas","que preparamos","no te quedes","echa un vistazo"},F113)))&gt;0,"Sí","No")</f>
        <v>No</v>
      </c>
      <c r="AO113" s="102">
        <f t="shared" si="44"/>
        <v>51</v>
      </c>
      <c r="AP113" s="102">
        <f t="shared" si="45"/>
        <v>9</v>
      </c>
      <c r="AQ113" s="102">
        <f>SUMPRODUCT(LEN(E113)-LEN(SUBSTITUTE(E113,{"!","¡","?","¿",":",",",".","%","·","-",";"},"")))</f>
        <v>3</v>
      </c>
      <c r="AR113" s="102" t="str">
        <f t="shared" si="46"/>
        <v>Sí</v>
      </c>
      <c r="AS113" s="102" t="str">
        <f t="shared" si="47"/>
        <v>No</v>
      </c>
      <c r="AT113" s="102" t="str">
        <f>IF(SUMPRODUCT(--ISNUMBER(FIND({"0","1","2","3","4","5","6","7","8","9"},E113)))&gt;0,"Con cifra concreta",IF(OR(ISNUMBER(FIND("?",E113)),ISNUMBER(FIND("¿",E113))),"Pregunta abierta",IF(SUMPRODUCT(--ISNUMBER(SEARCH({" hoy ","horas","tiempo limitado","antes de que","se acab","se agot","finalic","última oportunidad","oportunidad única","relámpago","express","no esperes","no volver","no parpadees"," ya ","últimas horas","últimas unidades"," ahora "},AF113)))&gt;0,"Solo urgencia, sin cifra",IF(SUMPRODUCT(--ISNUMBER(SEARCH({"recompensa","sorpresa","regalo","lealtad","detalle","gracias","pensamos en ti","para ti"},E113)))&gt;0,"Recompensa o sorpresa","Otro: beneficio o novedad"))))</f>
        <v>Solo urgencia, sin cifra</v>
      </c>
    </row>
    <row r="114" spans="1:46" x14ac:dyDescent="0.2">
      <c r="A114" s="104" t="s">
        <v>981</v>
      </c>
      <c r="B114" s="104" t="s">
        <v>274</v>
      </c>
      <c r="C114" s="104" t="s">
        <v>815</v>
      </c>
      <c r="D114" s="104" t="s">
        <v>764</v>
      </c>
      <c r="E114" s="104" t="s">
        <v>948</v>
      </c>
      <c r="F114" s="104" t="s">
        <v>480</v>
      </c>
      <c r="G114" s="105">
        <v>138601</v>
      </c>
      <c r="H114" s="105">
        <v>11878</v>
      </c>
      <c r="I114" s="105">
        <v>4865</v>
      </c>
      <c r="J114" s="106">
        <v>4.54</v>
      </c>
      <c r="K114" s="106">
        <v>3.73</v>
      </c>
      <c r="L114" s="107">
        <v>60008.800000000003</v>
      </c>
      <c r="M114" s="108">
        <f t="shared" si="24"/>
        <v>8.5699237379239701</v>
      </c>
      <c r="N114" s="108">
        <f t="shared" si="25"/>
        <v>3.5100756848796184</v>
      </c>
      <c r="O114" s="108">
        <f t="shared" si="26"/>
        <v>40.958073749789527</v>
      </c>
      <c r="P114" s="108">
        <f t="shared" si="27"/>
        <v>432.96080114862087</v>
      </c>
      <c r="Q114" s="108">
        <f t="shared" si="28"/>
        <v>15.012382065107001</v>
      </c>
      <c r="R114" s="108">
        <f t="shared" si="29"/>
        <v>31.113650744455075</v>
      </c>
      <c r="S114" s="101">
        <f t="shared" si="30"/>
        <v>45959</v>
      </c>
      <c r="T114" s="102" t="str">
        <f t="shared" si="31"/>
        <v>Octubre</v>
      </c>
      <c r="U114" s="102" t="str">
        <f t="shared" si="32"/>
        <v>Miércoles</v>
      </c>
      <c r="V114" s="102">
        <f t="shared" si="33"/>
        <v>15</v>
      </c>
      <c r="W114" s="102" t="str">
        <f t="shared" si="34"/>
        <v>Resto del mes</v>
      </c>
      <c r="X114" s="102">
        <f t="shared" si="35"/>
        <v>27</v>
      </c>
      <c r="Y114" s="102" t="str">
        <f t="shared" si="36"/>
        <v>Sí</v>
      </c>
      <c r="Z114" s="102" t="str">
        <f>CHOOSE(MATCH(B114,{"Customer Appreciation","Exclusive Offers","Flash Sale","Holiday Discounts","New Product Launch","Newsletter"},0),"Fidelizar","Vender","Vender","Vender","Lanzar","Educar")</f>
        <v>Fidelizar</v>
      </c>
      <c r="AA114" s="102" t="str">
        <f t="shared" si="37"/>
        <v>100 a 200 mil</v>
      </c>
      <c r="AB114" s="102">
        <f>COUNTIFS($E$5:$E$493,E114,$S$5:$S$493,"&lt;"&amp;S114)+COUNTIFS($E$5:E114,E114,$S$5:S114,S114)</f>
        <v>3</v>
      </c>
      <c r="AC114" s="102">
        <f t="shared" si="38"/>
        <v>4</v>
      </c>
      <c r="AD114" s="102" t="str">
        <f t="shared" si="39"/>
        <v/>
      </c>
      <c r="AE114" s="103">
        <f t="shared" si="40"/>
        <v>-6.4424583271830311</v>
      </c>
      <c r="AF114" s="102" t="str">
        <f t="shared" si="41"/>
        <v xml:space="preserve">  un pequeño detalle para agradecerte tu lealtad  </v>
      </c>
      <c r="AG114" s="102" t="str">
        <f t="shared" si="42"/>
        <v xml:space="preserve"> echa un vistazo a lo que tenemos para ti   te va a encantar  </v>
      </c>
      <c r="AH114" s="102" t="str">
        <f>IF(SUMPRODUCT(--(LEFT(IF(LEFT(LOWER(E114),1)="¡",MID(LOWER(E114),2,300),LOWER(E114)),LEN({"actualizaci","el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Sí</v>
      </c>
      <c r="AI114" s="102" t="str">
        <f>IF(OR(SUMPRODUCT(--ISNUMBER(SEARCH({"descuento","oferta","ahorr","precio"," sale ","flash","deals"},AF114)))&gt;0,SUMPRODUCT(--ISNUMBER(SEARCH({"descuento","oferta","ahorr","precio"," sale ","flash","deals"},AG114)))&gt;0),"Sí","No")</f>
        <v>No</v>
      </c>
      <c r="AJ114" s="102" t="str">
        <f>IF(SUMPRODUCT(--ISNUMBER(SEARCH({" hoy ","horas","tiempo limitado","antes de que","se acab","se agot","finalic","última oportunidad","oportunidad única","relámpago","express","no esperes","no volver","no parpadees"},AF114)))&gt;0,"Sí","No")</f>
        <v>No</v>
      </c>
      <c r="AK114" s="102" t="str">
        <f>IF(SUMPRODUCT(--ISNUMBER(SEARCH({" hoy ","horas","tiempo limitado","antes de que","se acab","se agot","finalic","última oportunidad","oportunidad única","relámpago","express","no esperes","no volver","no parpadees"},AG114)))&gt;0,"Sí","No")</f>
        <v>No</v>
      </c>
      <c r="AL114" s="102" t="str">
        <f t="shared" si="43"/>
        <v>Sin descuento</v>
      </c>
      <c r="AM114" s="102" t="str">
        <f>IF(SUMPRODUCT(--ISNUMBER(SEARCH({"0","1","2","3","4","5","6","7","8","9","favorit","maquillaje","piel","cabello","productos","belleza","regalo"},E114)))&gt;0,"Sí","No")</f>
        <v>No</v>
      </c>
      <c r="AN114" s="102" t="str">
        <f>IF(SUMPRODUCT(--ISNUMBER(SEARCH({"lo que tenemos","estas ofertas","algo especial","ofertas únicas","que preparamos","no te quedes","echa un vistazo"},F114)))&gt;0,"Sí","No")</f>
        <v>Sí</v>
      </c>
      <c r="AO114" s="102">
        <f t="shared" si="44"/>
        <v>48</v>
      </c>
      <c r="AP114" s="102">
        <f t="shared" si="45"/>
        <v>7</v>
      </c>
      <c r="AQ114" s="102">
        <f>SUMPRODUCT(LEN(E114)-LEN(SUBSTITUTE(E114,{"!","¡","?","¿",":",",",".","%","·","-",";"},"")))</f>
        <v>2</v>
      </c>
      <c r="AR114" s="102" t="str">
        <f t="shared" si="46"/>
        <v>Sí</v>
      </c>
      <c r="AS114" s="102" t="str">
        <f t="shared" si="47"/>
        <v>No</v>
      </c>
      <c r="AT114" s="102" t="str">
        <f>IF(SUMPRODUCT(--ISNUMBER(FIND({"0","1","2","3","4","5","6","7","8","9"},E114)))&gt;0,"Con cifra concreta",IF(OR(ISNUMBER(FIND("?",E114)),ISNUMBER(FIND("¿",E114))),"Pregunta abierta",IF(SUMPRODUCT(--ISNUMBER(SEARCH({" hoy ","horas","tiempo limitado","antes de que","se acab","se agot","finalic","última oportunidad","oportunidad única","relámpago","express","no esperes","no volver","no parpadees"," ya ","últimas horas","últimas unidades"," ahora "},AF114)))&gt;0,"Solo urgencia, sin cifra",IF(SUMPRODUCT(--ISNUMBER(SEARCH({"recompensa","sorpresa","regalo","lealtad","detalle","gracias","pensamos en ti","para ti"},E114)))&gt;0,"Recompensa o sorpresa","Otro: beneficio o novedad"))))</f>
        <v>Recompensa o sorpresa</v>
      </c>
    </row>
    <row r="115" spans="1:46" x14ac:dyDescent="0.2">
      <c r="A115" s="96" t="s">
        <v>982</v>
      </c>
      <c r="B115" s="96" t="s">
        <v>275</v>
      </c>
      <c r="C115" s="96" t="s">
        <v>944</v>
      </c>
      <c r="D115" s="96" t="s">
        <v>794</v>
      </c>
      <c r="E115" s="96" t="s">
        <v>455</v>
      </c>
      <c r="F115" s="96" t="s">
        <v>456</v>
      </c>
      <c r="G115" s="97">
        <v>94768</v>
      </c>
      <c r="H115" s="97">
        <v>39446</v>
      </c>
      <c r="I115" s="97">
        <v>13702</v>
      </c>
      <c r="J115" s="98">
        <v>5.08</v>
      </c>
      <c r="K115" s="98">
        <v>1.24</v>
      </c>
      <c r="L115" s="99">
        <v>7688.97</v>
      </c>
      <c r="M115" s="100">
        <f t="shared" si="24"/>
        <v>41.623754853959142</v>
      </c>
      <c r="N115" s="100">
        <f t="shared" si="25"/>
        <v>14.458466993077831</v>
      </c>
      <c r="O115" s="100">
        <f t="shared" si="26"/>
        <v>34.736094914566749</v>
      </c>
      <c r="P115" s="100">
        <f t="shared" si="27"/>
        <v>81.134665709944287</v>
      </c>
      <c r="Q115" s="100">
        <f t="shared" si="28"/>
        <v>38.720231784441999</v>
      </c>
      <c r="R115" s="100">
        <f t="shared" si="29"/>
        <v>27.021447627328243</v>
      </c>
      <c r="S115" s="101">
        <f t="shared" si="30"/>
        <v>45943</v>
      </c>
      <c r="T115" s="102" t="str">
        <f t="shared" si="31"/>
        <v>Octubre</v>
      </c>
      <c r="U115" s="102" t="str">
        <f t="shared" si="32"/>
        <v>Lunes</v>
      </c>
      <c r="V115" s="102">
        <f t="shared" si="33"/>
        <v>12</v>
      </c>
      <c r="W115" s="102" t="str">
        <f t="shared" si="34"/>
        <v>Resto del mes</v>
      </c>
      <c r="X115" s="102">
        <f t="shared" si="35"/>
        <v>23</v>
      </c>
      <c r="Y115" s="102" t="str">
        <f t="shared" si="36"/>
        <v>Sí</v>
      </c>
      <c r="Z115" s="102" t="str">
        <f>CHOOSE(MATCH(B115,{"Customer Appreciation","Exclusive Offers","Flash Sale","Holiday Discounts","New Product Launch","Newsletter"},0),"Fidelizar","Vender","Vender","Vender","Lanzar","Educar")</f>
        <v>Vender</v>
      </c>
      <c r="AA115" s="102" t="str">
        <f t="shared" si="37"/>
        <v>Menos de 100 mil</v>
      </c>
      <c r="AB115" s="102">
        <f>COUNTIFS($E$5:$E$493,E115,$S$5:$S$493,"&lt;"&amp;S115)+COUNTIFS($E$5:E115,E115,$S$5:S115,S115)</f>
        <v>13</v>
      </c>
      <c r="AC115" s="102">
        <f t="shared" si="38"/>
        <v>15</v>
      </c>
      <c r="AD115" s="102" t="str">
        <f t="shared" si="39"/>
        <v>Último tercio</v>
      </c>
      <c r="AE115" s="103">
        <f t="shared" si="40"/>
        <v>2.9035230695171421</v>
      </c>
      <c r="AF115" s="102" t="str">
        <f t="shared" si="41"/>
        <v xml:space="preserve">  solo un clic te separa de estas ofertas  l'oréal paris </v>
      </c>
      <c r="AG115" s="102" t="str">
        <f t="shared" si="42"/>
        <v xml:space="preserve"> descuentos irresistibles en productos seleccionados   últimas horas  </v>
      </c>
      <c r="AH115" s="102" t="str">
        <f>IF(SUMPRODUCT(--(LEFT(IF(LEFT(LOWER(E115),1)="¡",MID(LOWER(E115),2,300),LOWER(E115)),LEN({"actualizaci","el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115" s="102" t="str">
        <f>IF(OR(SUMPRODUCT(--ISNUMBER(SEARCH({"descuento","oferta","ahorr","precio"," sale ","flash","deals"},AF115)))&gt;0,SUMPRODUCT(--ISNUMBER(SEARCH({"descuento","oferta","ahorr","precio"," sale ","flash","deals"},AG115)))&gt;0),"Sí","No")</f>
        <v>Sí</v>
      </c>
      <c r="AJ115" s="102" t="str">
        <f>IF(SUMPRODUCT(--ISNUMBER(SEARCH({" hoy ","horas","tiempo limitado","antes de que","se acab","se agot","finalic","última oportunidad","oportunidad única","relámpago","express","no esperes","no volver","no parpadees"},AF115)))&gt;0,"Sí","No")</f>
        <v>No</v>
      </c>
      <c r="AK115" s="102" t="str">
        <f>IF(SUMPRODUCT(--ISNUMBER(SEARCH({" hoy ","horas","tiempo limitado","antes de que","se acab","se agot","finalic","última oportunidad","oportunidad única","relámpago","express","no esperes","no volver","no parpadees"},AG115)))&gt;0,"Sí","No")</f>
        <v>Sí</v>
      </c>
      <c r="AL115" s="102" t="str">
        <f t="shared" si="43"/>
        <v>Descuento con tiempo límite solo en el preheader</v>
      </c>
      <c r="AM115" s="102" t="str">
        <f>IF(SUMPRODUCT(--ISNUMBER(SEARCH({"0","1","2","3","4","5","6","7","8","9","favorit","maquillaje","piel","cabello","productos","belleza","regalo"},E115)))&gt;0,"Sí","No")</f>
        <v>No</v>
      </c>
      <c r="AN115" s="102" t="str">
        <f>IF(SUMPRODUCT(--ISNUMBER(SEARCH({"lo que tenemos","estas ofertas","algo especial","ofertas únicas","que preparamos","no te quedes","echa un vistazo"},F115)))&gt;0,"Sí","No")</f>
        <v>No</v>
      </c>
      <c r="AO115" s="102">
        <f t="shared" si="44"/>
        <v>55</v>
      </c>
      <c r="AP115" s="102">
        <f t="shared" si="45"/>
        <v>10</v>
      </c>
      <c r="AQ115" s="102">
        <f>SUMPRODUCT(LEN(E115)-LEN(SUBSTITUTE(E115,{"!","¡","?","¿",":",",",".","%","·","-",";"},"")))</f>
        <v>2</v>
      </c>
      <c r="AR115" s="102" t="str">
        <f t="shared" si="46"/>
        <v>No</v>
      </c>
      <c r="AS115" s="102" t="str">
        <f t="shared" si="47"/>
        <v>No</v>
      </c>
      <c r="AT115" s="102" t="str">
        <f>IF(SUMPRODUCT(--ISNUMBER(FIND({"0","1","2","3","4","5","6","7","8","9"},E115)))&gt;0,"Con cifra concreta",IF(OR(ISNUMBER(FIND("?",E115)),ISNUMBER(FIND("¿",E115))),"Pregunta abierta",IF(SUMPRODUCT(--ISNUMBER(SEARCH({" hoy ","horas","tiempo limitado","antes de que","se acab","se agot","finalic","última oportunidad","oportunidad única","relámpago","express","no esperes","no volver","no parpadees"," ya ","últimas horas","últimas unidades"," ahora "},AF115)))&gt;0,"Solo urgencia, sin cifra",IF(SUMPRODUCT(--ISNUMBER(SEARCH({"recompensa","sorpresa","regalo","lealtad","detalle","gracias","pensamos en ti","para ti"},E115)))&gt;0,"Recompensa o sorpresa","Otro: beneficio o novedad"))))</f>
        <v>Otro: beneficio o novedad</v>
      </c>
    </row>
    <row r="116" spans="1:46" x14ac:dyDescent="0.2">
      <c r="A116" s="104" t="s">
        <v>983</v>
      </c>
      <c r="B116" s="104" t="s">
        <v>277</v>
      </c>
      <c r="C116" s="104" t="s">
        <v>915</v>
      </c>
      <c r="D116" s="104" t="s">
        <v>769</v>
      </c>
      <c r="E116" s="104" t="s">
        <v>461</v>
      </c>
      <c r="F116" s="104" t="s">
        <v>462</v>
      </c>
      <c r="G116" s="105">
        <v>422357</v>
      </c>
      <c r="H116" s="105">
        <v>209930</v>
      </c>
      <c r="I116" s="105">
        <v>7898</v>
      </c>
      <c r="J116" s="106">
        <v>4.8899999999999997</v>
      </c>
      <c r="K116" s="106">
        <v>0.91</v>
      </c>
      <c r="L116" s="107">
        <v>61656.53</v>
      </c>
      <c r="M116" s="108">
        <f t="shared" si="24"/>
        <v>49.704396991170974</v>
      </c>
      <c r="N116" s="108">
        <f t="shared" si="25"/>
        <v>1.8699820294206086</v>
      </c>
      <c r="O116" s="108">
        <f t="shared" si="26"/>
        <v>3.7622064497689705</v>
      </c>
      <c r="P116" s="108">
        <f t="shared" si="27"/>
        <v>145.98202468527811</v>
      </c>
      <c r="Q116" s="108">
        <f t="shared" si="28"/>
        <v>35.409886702202286</v>
      </c>
      <c r="R116" s="108">
        <f t="shared" si="29"/>
        <v>30.71114383300629</v>
      </c>
      <c r="S116" s="101">
        <f t="shared" si="30"/>
        <v>45954</v>
      </c>
      <c r="T116" s="102" t="str">
        <f t="shared" si="31"/>
        <v>Octubre</v>
      </c>
      <c r="U116" s="102" t="str">
        <f t="shared" si="32"/>
        <v>Viernes</v>
      </c>
      <c r="V116" s="102">
        <f t="shared" si="33"/>
        <v>13</v>
      </c>
      <c r="W116" s="102" t="str">
        <f t="shared" si="34"/>
        <v>Resto del mes</v>
      </c>
      <c r="X116" s="102">
        <f t="shared" si="35"/>
        <v>29</v>
      </c>
      <c r="Y116" s="102" t="str">
        <f t="shared" si="36"/>
        <v>Sí</v>
      </c>
      <c r="Z116" s="102" t="str">
        <f>CHOOSE(MATCH(B116,{"Customer Appreciation","Exclusive Offers","Flash Sale","Holiday Discounts","New Product Launch","Newsletter"},0),"Fidelizar","Vender","Vender","Vender","Lanzar","Educar")</f>
        <v>Vender</v>
      </c>
      <c r="AA116" s="102" t="str">
        <f t="shared" si="37"/>
        <v>Más de 400 mil</v>
      </c>
      <c r="AB116" s="102">
        <f>COUNTIFS($E$5:$E$493,E116,$S$5:$S$493,"&lt;"&amp;S116)+COUNTIFS($E$5:E116,E116,$S$5:S116,S116)</f>
        <v>28</v>
      </c>
      <c r="AC116" s="102">
        <f t="shared" si="38"/>
        <v>30</v>
      </c>
      <c r="AD116" s="102" t="str">
        <f t="shared" si="39"/>
        <v>Último tercio</v>
      </c>
      <c r="AE116" s="103">
        <f t="shared" si="40"/>
        <v>14.294510288968688</v>
      </c>
      <c r="AF116" s="102" t="str">
        <f t="shared" si="41"/>
        <v xml:space="preserve">  regalos perfectos te esperan  descuentos de lujo  l'oréal </v>
      </c>
      <c r="AG116" s="102" t="str">
        <f t="shared" si="42"/>
        <v xml:space="preserve"> encuentra ese detalle especial para ti o tus seres queridos   descubre  </v>
      </c>
      <c r="AH116" s="102" t="str">
        <f>IF(SUMPRODUCT(--(LEFT(IF(LEFT(LOWER(E116),1)="¡",MID(LOWER(E116),2,300),LOWER(E116)),LEN({"actualizaci","el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116" s="102" t="str">
        <f>IF(OR(SUMPRODUCT(--ISNUMBER(SEARCH({"descuento","oferta","ahorr","precio"," sale ","flash","deals"},AF116)))&gt;0,SUMPRODUCT(--ISNUMBER(SEARCH({"descuento","oferta","ahorr","precio"," sale ","flash","deals"},AG116)))&gt;0),"Sí","No")</f>
        <v>Sí</v>
      </c>
      <c r="AJ116" s="102" t="str">
        <f>IF(SUMPRODUCT(--ISNUMBER(SEARCH({" hoy ","horas","tiempo limitado","antes de que","se acab","se agot","finalic","última oportunidad","oportunidad única","relámpago","express","no esperes","no volver","no parpadees"},AF116)))&gt;0,"Sí","No")</f>
        <v>No</v>
      </c>
      <c r="AK116" s="102" t="str">
        <f>IF(SUMPRODUCT(--ISNUMBER(SEARCH({" hoy ","horas","tiempo limitado","antes de que","se acab","se agot","finalic","última oportunidad","oportunidad única","relámpago","express","no esperes","no volver","no parpadees"},AG116)))&gt;0,"Sí","No")</f>
        <v>No</v>
      </c>
      <c r="AL116" s="102" t="str">
        <f t="shared" si="43"/>
        <v>Descuento sin tiempo límite</v>
      </c>
      <c r="AM116" s="102" t="str">
        <f>IF(SUMPRODUCT(--ISNUMBER(SEARCH({"0","1","2","3","4","5","6","7","8","9","favorit","maquillaje","piel","cabello","productos","belleza","regalo"},E116)))&gt;0,"Sí","No")</f>
        <v>Sí</v>
      </c>
      <c r="AN116" s="102" t="str">
        <f>IF(SUMPRODUCT(--ISNUMBER(SEARCH({"lo que tenemos","estas ofertas","algo especial","ofertas únicas","que preparamos","no te quedes","echa un vistazo"},F116)))&gt;0,"Sí","No")</f>
        <v>No</v>
      </c>
      <c r="AO116" s="102">
        <f t="shared" si="44"/>
        <v>58</v>
      </c>
      <c r="AP116" s="102">
        <f t="shared" si="45"/>
        <v>8</v>
      </c>
      <c r="AQ116" s="102">
        <f>SUMPRODUCT(LEN(E116)-LEN(SUBSTITUTE(E116,{"!","¡","?","¿",":",",",".","%","·","-",";"},"")))</f>
        <v>3</v>
      </c>
      <c r="AR116" s="102" t="str">
        <f t="shared" si="46"/>
        <v>Sí</v>
      </c>
      <c r="AS116" s="102" t="str">
        <f t="shared" si="47"/>
        <v>No</v>
      </c>
      <c r="AT116" s="102" t="str">
        <f>IF(SUMPRODUCT(--ISNUMBER(FIND({"0","1","2","3","4","5","6","7","8","9"},E116)))&gt;0,"Con cifra concreta",IF(OR(ISNUMBER(FIND("?",E116)),ISNUMBER(FIND("¿",E116))),"Pregunta abierta",IF(SUMPRODUCT(--ISNUMBER(SEARCH({" hoy ","horas","tiempo limitado","antes de que","se acab","se agot","finalic","última oportunidad","oportunidad única","relámpago","express","no esperes","no volver","no parpadees"," ya ","últimas horas","últimas unidades"," ahora "},AF116)))&gt;0,"Solo urgencia, sin cifra",IF(SUMPRODUCT(--ISNUMBER(SEARCH({"recompensa","sorpresa","regalo","lealtad","detalle","gracias","pensamos en ti","para ti"},E116)))&gt;0,"Recompensa o sorpresa","Otro: beneficio o novedad"))))</f>
        <v>Recompensa o sorpresa</v>
      </c>
    </row>
    <row r="117" spans="1:46" x14ac:dyDescent="0.2">
      <c r="A117" s="96" t="s">
        <v>984</v>
      </c>
      <c r="B117" s="96" t="s">
        <v>276</v>
      </c>
      <c r="C117" s="96" t="s">
        <v>917</v>
      </c>
      <c r="D117" s="96" t="s">
        <v>774</v>
      </c>
      <c r="E117" s="96" t="s">
        <v>483</v>
      </c>
      <c r="F117" s="96" t="s">
        <v>484</v>
      </c>
      <c r="G117" s="97">
        <v>386214</v>
      </c>
      <c r="H117" s="97">
        <v>52026</v>
      </c>
      <c r="I117" s="97">
        <v>13324</v>
      </c>
      <c r="J117" s="98">
        <v>9.1999999999999993</v>
      </c>
      <c r="K117" s="98">
        <v>0.46</v>
      </c>
      <c r="L117" s="99">
        <v>15892.41</v>
      </c>
      <c r="M117" s="100">
        <f t="shared" si="24"/>
        <v>13.470770091192966</v>
      </c>
      <c r="N117" s="100">
        <f t="shared" si="25"/>
        <v>3.4499008321811222</v>
      </c>
      <c r="O117" s="100">
        <f t="shared" si="26"/>
        <v>25.610271787183329</v>
      </c>
      <c r="P117" s="100">
        <f t="shared" si="27"/>
        <v>41.149233326601319</v>
      </c>
      <c r="Q117" s="100">
        <f t="shared" si="28"/>
        <v>17.395911943759799</v>
      </c>
      <c r="R117" s="100">
        <f t="shared" si="29"/>
        <v>29.440902453236173</v>
      </c>
      <c r="S117" s="101">
        <f t="shared" si="30"/>
        <v>45916</v>
      </c>
      <c r="T117" s="102" t="str">
        <f t="shared" si="31"/>
        <v>Septiembre</v>
      </c>
      <c r="U117" s="102" t="str">
        <f t="shared" si="32"/>
        <v>Martes</v>
      </c>
      <c r="V117" s="102">
        <f t="shared" si="33"/>
        <v>11</v>
      </c>
      <c r="W117" s="102" t="str">
        <f t="shared" si="34"/>
        <v>Quincena</v>
      </c>
      <c r="X117" s="102">
        <f t="shared" si="35"/>
        <v>27</v>
      </c>
      <c r="Y117" s="102" t="str">
        <f t="shared" si="36"/>
        <v>Sí</v>
      </c>
      <c r="Z117" s="102" t="str">
        <f>CHOOSE(MATCH(B117,{"Customer Appreciation","Exclusive Offers","Flash Sale","Holiday Discounts","New Product Launch","Newsletter"},0),"Fidelizar","Vender","Vender","Vender","Lanzar","Educar")</f>
        <v>Vender</v>
      </c>
      <c r="AA117" s="102" t="str">
        <f t="shared" si="37"/>
        <v>300 a 400 mil</v>
      </c>
      <c r="AB117" s="102">
        <f>COUNTIFS($E$5:$E$493,E117,$S$5:$S$493,"&lt;"&amp;S117)+COUNTIFS($E$5:E117,E117,$S$5:S117,S117)</f>
        <v>5</v>
      </c>
      <c r="AC117" s="102">
        <f t="shared" si="38"/>
        <v>9</v>
      </c>
      <c r="AD117" s="102" t="str">
        <f t="shared" si="39"/>
        <v>Medio</v>
      </c>
      <c r="AE117" s="103">
        <f t="shared" si="40"/>
        <v>-3.9251418525668331</v>
      </c>
      <c r="AF117" s="102" t="str">
        <f t="shared" si="41"/>
        <v xml:space="preserve">  gran oferta  por tiempo limitado  no te lo pierdas </v>
      </c>
      <c r="AG117" s="102" t="str">
        <f t="shared" si="42"/>
        <v xml:space="preserve"> aprovecha los descuentos en tus productos esenciales   compra ahora  </v>
      </c>
      <c r="AH117" s="102" t="str">
        <f>IF(SUMPRODUCT(--(LEFT(IF(LEFT(LOWER(E117),1)="¡",MID(LOWER(E117),2,300),LOWER(E117)),LEN({"actualizaci","el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Sí</v>
      </c>
      <c r="AI117" s="102" t="str">
        <f>IF(OR(SUMPRODUCT(--ISNUMBER(SEARCH({"descuento","oferta","ahorr","precio"," sale ","flash","deals"},AF117)))&gt;0,SUMPRODUCT(--ISNUMBER(SEARCH({"descuento","oferta","ahorr","precio"," sale ","flash","deals"},AG117)))&gt;0),"Sí","No")</f>
        <v>Sí</v>
      </c>
      <c r="AJ117" s="102" t="str">
        <f>IF(SUMPRODUCT(--ISNUMBER(SEARCH({" hoy ","horas","tiempo limitado","antes de que","se acab","se agot","finalic","última oportunidad","oportunidad única","relámpago","express","no esperes","no volver","no parpadees"},AF117)))&gt;0,"Sí","No")</f>
        <v>Sí</v>
      </c>
      <c r="AK117" s="102" t="str">
        <f>IF(SUMPRODUCT(--ISNUMBER(SEARCH({" hoy ","horas","tiempo limitado","antes de que","se acab","se agot","finalic","última oportunidad","oportunidad única","relámpago","express","no esperes","no volver","no parpadees"},AG117)))&gt;0,"Sí","No")</f>
        <v>No</v>
      </c>
      <c r="AL117" s="102" t="str">
        <f t="shared" si="43"/>
        <v>Descuento con tiempo límite en el asunto</v>
      </c>
      <c r="AM117" s="102" t="str">
        <f>IF(SUMPRODUCT(--ISNUMBER(SEARCH({"0","1","2","3","4","5","6","7","8","9","favorit","maquillaje","piel","cabello","productos","belleza","regalo"},E117)))&gt;0,"Sí","No")</f>
        <v>No</v>
      </c>
      <c r="AN117" s="102" t="str">
        <f>IF(SUMPRODUCT(--ISNUMBER(SEARCH({"lo que tenemos","estas ofertas","algo especial","ofertas únicas","que preparamos","no te quedes","echa un vistazo"},F117)))&gt;0,"Sí","No")</f>
        <v>No</v>
      </c>
      <c r="AO117" s="102">
        <f t="shared" si="44"/>
        <v>51</v>
      </c>
      <c r="AP117" s="102">
        <f t="shared" si="45"/>
        <v>9</v>
      </c>
      <c r="AQ117" s="102">
        <f>SUMPRODUCT(LEN(E117)-LEN(SUBSTITUTE(E117,{"!","¡","?","¿",":",",",".","%","·","-",";"},"")))</f>
        <v>3</v>
      </c>
      <c r="AR117" s="102" t="str">
        <f t="shared" si="46"/>
        <v>Sí</v>
      </c>
      <c r="AS117" s="102" t="str">
        <f t="shared" si="47"/>
        <v>No</v>
      </c>
      <c r="AT117" s="102" t="str">
        <f>IF(SUMPRODUCT(--ISNUMBER(FIND({"0","1","2","3","4","5","6","7","8","9"},E117)))&gt;0,"Con cifra concreta",IF(OR(ISNUMBER(FIND("?",E117)),ISNUMBER(FIND("¿",E117))),"Pregunta abierta",IF(SUMPRODUCT(--ISNUMBER(SEARCH({" hoy ","horas","tiempo limitado","antes de que","se acab","se agot","finalic","última oportunidad","oportunidad única","relámpago","express","no esperes","no volver","no parpadees"," ya ","últimas horas","últimas unidades"," ahora "},AF117)))&gt;0,"Solo urgencia, sin cifra",IF(SUMPRODUCT(--ISNUMBER(SEARCH({"recompensa","sorpresa","regalo","lealtad","detalle","gracias","pensamos en ti","para ti"},E117)))&gt;0,"Recompensa o sorpresa","Otro: beneficio o novedad"))))</f>
        <v>Solo urgencia, sin cifra</v>
      </c>
    </row>
    <row r="118" spans="1:46" x14ac:dyDescent="0.2">
      <c r="A118" s="104" t="s">
        <v>985</v>
      </c>
      <c r="B118" s="104" t="s">
        <v>277</v>
      </c>
      <c r="C118" s="104" t="s">
        <v>923</v>
      </c>
      <c r="D118" s="104" t="s">
        <v>729</v>
      </c>
      <c r="E118" s="104" t="s">
        <v>459</v>
      </c>
      <c r="F118" s="104" t="s">
        <v>460</v>
      </c>
      <c r="G118" s="105">
        <v>233673</v>
      </c>
      <c r="H118" s="105">
        <v>104445</v>
      </c>
      <c r="I118" s="105">
        <v>9427</v>
      </c>
      <c r="J118" s="106">
        <v>9.6999999999999993</v>
      </c>
      <c r="K118" s="106">
        <v>3.29</v>
      </c>
      <c r="L118" s="107">
        <v>15749.46</v>
      </c>
      <c r="M118" s="108">
        <f t="shared" si="24"/>
        <v>44.697076684084166</v>
      </c>
      <c r="N118" s="108">
        <f t="shared" si="25"/>
        <v>4.0342701125076497</v>
      </c>
      <c r="O118" s="108">
        <f t="shared" si="26"/>
        <v>9.0258030542390735</v>
      </c>
      <c r="P118" s="108">
        <f t="shared" si="27"/>
        <v>67.39957119564518</v>
      </c>
      <c r="Q118" s="108">
        <f t="shared" si="28"/>
        <v>35.565837226891659</v>
      </c>
      <c r="R118" s="108">
        <f t="shared" si="29"/>
        <v>30.71114383300629</v>
      </c>
      <c r="S118" s="101">
        <f t="shared" si="30"/>
        <v>45873</v>
      </c>
      <c r="T118" s="102" t="str">
        <f t="shared" si="31"/>
        <v>Agosto</v>
      </c>
      <c r="U118" s="102" t="str">
        <f t="shared" si="32"/>
        <v>Lunes</v>
      </c>
      <c r="V118" s="102">
        <f t="shared" si="33"/>
        <v>10</v>
      </c>
      <c r="W118" s="102" t="str">
        <f t="shared" si="34"/>
        <v>Días después del pago</v>
      </c>
      <c r="X118" s="102">
        <f t="shared" si="35"/>
        <v>24</v>
      </c>
      <c r="Y118" s="102" t="str">
        <f t="shared" si="36"/>
        <v>Sí</v>
      </c>
      <c r="Z118" s="102" t="str">
        <f>CHOOSE(MATCH(B118,{"Customer Appreciation","Exclusive Offers","Flash Sale","Holiday Discounts","New Product Launch","Newsletter"},0),"Fidelizar","Vender","Vender","Vender","Lanzar","Educar")</f>
        <v>Vender</v>
      </c>
      <c r="AA118" s="102" t="str">
        <f t="shared" si="37"/>
        <v>200 a 300 mil</v>
      </c>
      <c r="AB118" s="102">
        <f>COUNTIFS($E$5:$E$493,E118,$S$5:$S$493,"&lt;"&amp;S118)+COUNTIFS($E$5:E118,E118,$S$5:S118,S118)</f>
        <v>1</v>
      </c>
      <c r="AC118" s="102">
        <f t="shared" si="38"/>
        <v>9</v>
      </c>
      <c r="AD118" s="102" t="str">
        <f t="shared" si="39"/>
        <v>Primer tercio</v>
      </c>
      <c r="AE118" s="103">
        <f t="shared" si="40"/>
        <v>9.1312394571925068</v>
      </c>
      <c r="AF118" s="102" t="str">
        <f t="shared" si="41"/>
        <v xml:space="preserve">  aprovecha los descuentos  temporada de fiestas  beauty deals </v>
      </c>
      <c r="AG118" s="102" t="str">
        <f t="shared" si="42"/>
        <v xml:space="preserve"> tus productos favoritos con precios festivos   no te los pierdas  </v>
      </c>
      <c r="AH118" s="102" t="str">
        <f>IF(SUMPRODUCT(--(LEFT(IF(LEFT(LOWER(E118),1)="¡",MID(LOWER(E118),2,300),LOWER(E118)),LEN({"actualizaci","el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118" s="102" t="str">
        <f>IF(OR(SUMPRODUCT(--ISNUMBER(SEARCH({"descuento","oferta","ahorr","precio"," sale ","flash","deals"},AF118)))&gt;0,SUMPRODUCT(--ISNUMBER(SEARCH({"descuento","oferta","ahorr","precio"," sale ","flash","deals"},AG118)))&gt;0),"Sí","No")</f>
        <v>Sí</v>
      </c>
      <c r="AJ118" s="102" t="str">
        <f>IF(SUMPRODUCT(--ISNUMBER(SEARCH({" hoy ","horas","tiempo limitado","antes de que","se acab","se agot","finalic","última oportunidad","oportunidad única","relámpago","express","no esperes","no volver","no parpadees"},AF118)))&gt;0,"Sí","No")</f>
        <v>No</v>
      </c>
      <c r="AK118" s="102" t="str">
        <f>IF(SUMPRODUCT(--ISNUMBER(SEARCH({" hoy ","horas","tiempo limitado","antes de que","se acab","se agot","finalic","última oportunidad","oportunidad única","relámpago","express","no esperes","no volver","no parpadees"},AG118)))&gt;0,"Sí","No")</f>
        <v>No</v>
      </c>
      <c r="AL118" s="102" t="str">
        <f t="shared" si="43"/>
        <v>Descuento sin tiempo límite</v>
      </c>
      <c r="AM118" s="102" t="str">
        <f>IF(SUMPRODUCT(--ISNUMBER(SEARCH({"0","1","2","3","4","5","6","7","8","9","favorit","maquillaje","piel","cabello","productos","belleza","regalo"},E118)))&gt;0,"Sí","No")</f>
        <v>No</v>
      </c>
      <c r="AN118" s="102" t="str">
        <f>IF(SUMPRODUCT(--ISNUMBER(SEARCH({"lo que tenemos","estas ofertas","algo especial","ofertas únicas","que preparamos","no te quedes","echa un vistazo"},F118)))&gt;0,"Sí","No")</f>
        <v>No</v>
      </c>
      <c r="AO118" s="102">
        <f t="shared" si="44"/>
        <v>61</v>
      </c>
      <c r="AP118" s="102">
        <f t="shared" si="45"/>
        <v>8</v>
      </c>
      <c r="AQ118" s="102">
        <f>SUMPRODUCT(LEN(E118)-LEN(SUBSTITUTE(E118,{"!","¡","?","¿",":",",",".","%","·","-",";"},"")))</f>
        <v>3</v>
      </c>
      <c r="AR118" s="102" t="str">
        <f t="shared" si="46"/>
        <v>No</v>
      </c>
      <c r="AS118" s="102" t="str">
        <f t="shared" si="47"/>
        <v>No</v>
      </c>
      <c r="AT118" s="102" t="str">
        <f>IF(SUMPRODUCT(--ISNUMBER(FIND({"0","1","2","3","4","5","6","7","8","9"},E118)))&gt;0,"Con cifra concreta",IF(OR(ISNUMBER(FIND("?",E118)),ISNUMBER(FIND("¿",E118))),"Pregunta abierta",IF(SUMPRODUCT(--ISNUMBER(SEARCH({" hoy ","horas","tiempo limitado","antes de que","se acab","se agot","finalic","última oportunidad","oportunidad única","relámpago","express","no esperes","no volver","no parpadees"," ya ","últimas horas","últimas unidades"," ahora "},AF118)))&gt;0,"Solo urgencia, sin cifra",IF(SUMPRODUCT(--ISNUMBER(SEARCH({"recompensa","sorpresa","regalo","lealtad","detalle","gracias","pensamos en ti","para ti"},E118)))&gt;0,"Recompensa o sorpresa","Otro: beneficio o novedad"))))</f>
        <v>Otro: beneficio o novedad</v>
      </c>
    </row>
    <row r="119" spans="1:46" x14ac:dyDescent="0.2">
      <c r="A119" s="96" t="s">
        <v>986</v>
      </c>
      <c r="B119" s="96" t="s">
        <v>275</v>
      </c>
      <c r="C119" s="96" t="s">
        <v>793</v>
      </c>
      <c r="D119" s="96" t="s">
        <v>947</v>
      </c>
      <c r="E119" s="96" t="s">
        <v>486</v>
      </c>
      <c r="F119" s="96" t="s">
        <v>487</v>
      </c>
      <c r="G119" s="97">
        <v>180730</v>
      </c>
      <c r="H119" s="97">
        <v>17874</v>
      </c>
      <c r="I119" s="97">
        <v>13374</v>
      </c>
      <c r="J119" s="98">
        <v>0.55000000000000004</v>
      </c>
      <c r="K119" s="98">
        <v>3.33</v>
      </c>
      <c r="L119" s="99">
        <v>84736.93</v>
      </c>
      <c r="M119" s="100">
        <f t="shared" si="24"/>
        <v>9.8898909976207605</v>
      </c>
      <c r="N119" s="100">
        <f t="shared" si="25"/>
        <v>7.3999889337686042</v>
      </c>
      <c r="O119" s="100">
        <f t="shared" si="26"/>
        <v>74.823766364551858</v>
      </c>
      <c r="P119" s="100">
        <f t="shared" si="27"/>
        <v>468.85923753665685</v>
      </c>
      <c r="Q119" s="100">
        <f t="shared" si="28"/>
        <v>10.717211021745861</v>
      </c>
      <c r="R119" s="100">
        <f t="shared" si="29"/>
        <v>27.021447627328243</v>
      </c>
      <c r="S119" s="101">
        <f t="shared" si="30"/>
        <v>45939</v>
      </c>
      <c r="T119" s="102" t="str">
        <f t="shared" si="31"/>
        <v>Octubre</v>
      </c>
      <c r="U119" s="102" t="str">
        <f t="shared" si="32"/>
        <v>Jueves</v>
      </c>
      <c r="V119" s="102">
        <f t="shared" si="33"/>
        <v>9</v>
      </c>
      <c r="W119" s="102" t="str">
        <f t="shared" si="34"/>
        <v>Resto del mes</v>
      </c>
      <c r="X119" s="102">
        <f t="shared" si="35"/>
        <v>27</v>
      </c>
      <c r="Y119" s="102" t="str">
        <f t="shared" si="36"/>
        <v>Sí</v>
      </c>
      <c r="Z119" s="102" t="str">
        <f>CHOOSE(MATCH(B119,{"Customer Appreciation","Exclusive Offers","Flash Sale","Holiday Discounts","New Product Launch","Newsletter"},0),"Fidelizar","Vender","Vender","Vender","Lanzar","Educar")</f>
        <v>Vender</v>
      </c>
      <c r="AA119" s="102" t="str">
        <f t="shared" si="37"/>
        <v>100 a 200 mil</v>
      </c>
      <c r="AB119" s="102">
        <f>COUNTIFS($E$5:$E$493,E119,$S$5:$S$493,"&lt;"&amp;S119)+COUNTIFS($E$5:E119,E119,$S$5:S119,S119)</f>
        <v>7</v>
      </c>
      <c r="AC119" s="102">
        <f t="shared" si="38"/>
        <v>8</v>
      </c>
      <c r="AD119" s="102" t="str">
        <f t="shared" si="39"/>
        <v>Último tercio</v>
      </c>
      <c r="AE119" s="103">
        <f t="shared" si="40"/>
        <v>-0.82732002412510042</v>
      </c>
      <c r="AF119" s="102" t="str">
        <f t="shared" si="41"/>
        <v xml:space="preserve">  oportunidades de ahorro  descúbrelas  solo para ti </v>
      </c>
      <c r="AG119" s="102" t="str">
        <f t="shared" si="42"/>
        <v xml:space="preserve"> no te pierdas estas ofertas únicas que tenemos para ti   entra ya  </v>
      </c>
      <c r="AH119" s="102" t="str">
        <f>IF(SUMPRODUCT(--(LEFT(IF(LEFT(LOWER(E119),1)="¡",MID(LOWER(E119),2,300),LOWER(E119)),LEN({"actualizaci","el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Sí</v>
      </c>
      <c r="AI119" s="102" t="str">
        <f>IF(OR(SUMPRODUCT(--ISNUMBER(SEARCH({"descuento","oferta","ahorr","precio"," sale ","flash","deals"},AF119)))&gt;0,SUMPRODUCT(--ISNUMBER(SEARCH({"descuento","oferta","ahorr","precio"," sale ","flash","deals"},AG119)))&gt;0),"Sí","No")</f>
        <v>Sí</v>
      </c>
      <c r="AJ119" s="102" t="str">
        <f>IF(SUMPRODUCT(--ISNUMBER(SEARCH({" hoy ","horas","tiempo limitado","antes de que","se acab","se agot","finalic","última oportunidad","oportunidad única","relámpago","express","no esperes","no volver","no parpadees"},AF119)))&gt;0,"Sí","No")</f>
        <v>No</v>
      </c>
      <c r="AK119" s="102" t="str">
        <f>IF(SUMPRODUCT(--ISNUMBER(SEARCH({" hoy ","horas","tiempo limitado","antes de que","se acab","se agot","finalic","última oportunidad","oportunidad única","relámpago","express","no esperes","no volver","no parpadees"},AG119)))&gt;0,"Sí","No")</f>
        <v>No</v>
      </c>
      <c r="AL119" s="102" t="str">
        <f t="shared" si="43"/>
        <v>Descuento sin tiempo límite</v>
      </c>
      <c r="AM119" s="102" t="str">
        <f>IF(SUMPRODUCT(--ISNUMBER(SEARCH({"0","1","2","3","4","5","6","7","8","9","favorit","maquillaje","piel","cabello","productos","belleza","regalo"},E119)))&gt;0,"Sí","No")</f>
        <v>No</v>
      </c>
      <c r="AN119" s="102" t="str">
        <f>IF(SUMPRODUCT(--ISNUMBER(SEARCH({"lo que tenemos","estas ofertas","algo especial","ofertas únicas","que preparamos","no te quedes","echa un vistazo"},F119)))&gt;0,"Sí","No")</f>
        <v>Sí</v>
      </c>
      <c r="AO119" s="102">
        <f t="shared" si="44"/>
        <v>51</v>
      </c>
      <c r="AP119" s="102">
        <f t="shared" si="45"/>
        <v>7</v>
      </c>
      <c r="AQ119" s="102">
        <f>SUMPRODUCT(LEN(E119)-LEN(SUBSTITUTE(E119,{"!","¡","?","¿",":",",",".","%","·","-",";"},"")))</f>
        <v>3</v>
      </c>
      <c r="AR119" s="102" t="str">
        <f t="shared" si="46"/>
        <v>Sí</v>
      </c>
      <c r="AS119" s="102" t="str">
        <f t="shared" si="47"/>
        <v>No</v>
      </c>
      <c r="AT119" s="102" t="str">
        <f>IF(SUMPRODUCT(--ISNUMBER(FIND({"0","1","2","3","4","5","6","7","8","9"},E119)))&gt;0,"Con cifra concreta",IF(OR(ISNUMBER(FIND("?",E119)),ISNUMBER(FIND("¿",E119))),"Pregunta abierta",IF(SUMPRODUCT(--ISNUMBER(SEARCH({" hoy ","horas","tiempo limitado","antes de que","se acab","se agot","finalic","última oportunidad","oportunidad única","relámpago","express","no esperes","no volver","no parpadees"," ya ","últimas horas","últimas unidades"," ahora "},AF119)))&gt;0,"Solo urgencia, sin cifra",IF(SUMPRODUCT(--ISNUMBER(SEARCH({"recompensa","sorpresa","regalo","lealtad","detalle","gracias","pensamos en ti","para ti"},E119)))&gt;0,"Recompensa o sorpresa","Otro: beneficio o novedad"))))</f>
        <v>Recompensa o sorpresa</v>
      </c>
    </row>
    <row r="120" spans="1:46" x14ac:dyDescent="0.2">
      <c r="A120" s="104" t="s">
        <v>987</v>
      </c>
      <c r="B120" s="104" t="s">
        <v>274</v>
      </c>
      <c r="C120" s="104" t="s">
        <v>830</v>
      </c>
      <c r="D120" s="104" t="s">
        <v>950</v>
      </c>
      <c r="E120" s="104" t="s">
        <v>371</v>
      </c>
      <c r="F120" s="104" t="s">
        <v>452</v>
      </c>
      <c r="G120" s="105">
        <v>256304</v>
      </c>
      <c r="H120" s="105">
        <v>78794</v>
      </c>
      <c r="I120" s="105">
        <v>14555</v>
      </c>
      <c r="J120" s="106">
        <v>9.8699999999999992</v>
      </c>
      <c r="K120" s="106">
        <v>2.69</v>
      </c>
      <c r="L120" s="107">
        <v>45551.16</v>
      </c>
      <c r="M120" s="108">
        <f t="shared" si="24"/>
        <v>30.74239965041513</v>
      </c>
      <c r="N120" s="108">
        <f t="shared" si="25"/>
        <v>5.6788032960858974</v>
      </c>
      <c r="O120" s="108">
        <f t="shared" si="26"/>
        <v>18.472218696855091</v>
      </c>
      <c r="P120" s="108">
        <f t="shared" si="27"/>
        <v>177.72317248267683</v>
      </c>
      <c r="Q120" s="108">
        <f t="shared" si="28"/>
        <v>40.72142758959253</v>
      </c>
      <c r="R120" s="108">
        <f t="shared" si="29"/>
        <v>31.113650744455075</v>
      </c>
      <c r="S120" s="101">
        <f t="shared" si="30"/>
        <v>45901</v>
      </c>
      <c r="T120" s="102" t="str">
        <f t="shared" si="31"/>
        <v>Septiembre</v>
      </c>
      <c r="U120" s="102" t="str">
        <f t="shared" si="32"/>
        <v>Lunes</v>
      </c>
      <c r="V120" s="102">
        <f t="shared" si="33"/>
        <v>14</v>
      </c>
      <c r="W120" s="102" t="str">
        <f t="shared" si="34"/>
        <v>Quincena</v>
      </c>
      <c r="X120" s="102">
        <f t="shared" si="35"/>
        <v>29</v>
      </c>
      <c r="Y120" s="102" t="str">
        <f t="shared" si="36"/>
        <v>Sí</v>
      </c>
      <c r="Z120" s="102" t="str">
        <f>CHOOSE(MATCH(B120,{"Customer Appreciation","Exclusive Offers","Flash Sale","Holiday Discounts","New Product Launch","Newsletter"},0),"Fidelizar","Vender","Vender","Vender","Lanzar","Educar")</f>
        <v>Fidelizar</v>
      </c>
      <c r="AA120" s="102" t="str">
        <f t="shared" si="37"/>
        <v>200 a 300 mil</v>
      </c>
      <c r="AB120" s="102">
        <f>COUNTIFS($E$5:$E$493,E120,$S$5:$S$493,"&lt;"&amp;S120)+COUNTIFS($E$5:E120,E120,$S$5:S120,S120)</f>
        <v>4</v>
      </c>
      <c r="AC120" s="102">
        <f t="shared" si="38"/>
        <v>16</v>
      </c>
      <c r="AD120" s="102" t="str">
        <f t="shared" si="39"/>
        <v>Primer tercio</v>
      </c>
      <c r="AE120" s="103">
        <f t="shared" si="40"/>
        <v>-9.9790279391773993</v>
      </c>
      <c r="AF120" s="102" t="str">
        <f t="shared" si="41"/>
        <v xml:space="preserve">  tu lealtad tiene recompensa  descúbrela  sorpresas para ti </v>
      </c>
      <c r="AG120" s="102" t="str">
        <f t="shared" si="42"/>
        <v xml:space="preserve"> ofertas exclusivas para nuestros clientes más especiales   no te las pierdas  </v>
      </c>
      <c r="AH120" s="102" t="str">
        <f>IF(SUMPRODUCT(--(LEFT(IF(LEFT(LOWER(E120),1)="¡",MID(LOWER(E120),2,300),LOWER(E120)),LEN({"actualizaci","el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120" s="102" t="str">
        <f>IF(OR(SUMPRODUCT(--ISNUMBER(SEARCH({"descuento","oferta","ahorr","precio"," sale ","flash","deals"},AF120)))&gt;0,SUMPRODUCT(--ISNUMBER(SEARCH({"descuento","oferta","ahorr","precio"," sale ","flash","deals"},AG120)))&gt;0),"Sí","No")</f>
        <v>Sí</v>
      </c>
      <c r="AJ120" s="102" t="str">
        <f>IF(SUMPRODUCT(--ISNUMBER(SEARCH({" hoy ","horas","tiempo limitado","antes de que","se acab","se agot","finalic","última oportunidad","oportunidad única","relámpago","express","no esperes","no volver","no parpadees"},AF120)))&gt;0,"Sí","No")</f>
        <v>No</v>
      </c>
      <c r="AK120" s="102" t="str">
        <f>IF(SUMPRODUCT(--ISNUMBER(SEARCH({" hoy ","horas","tiempo limitado","antes de que","se acab","se agot","finalic","última oportunidad","oportunidad única","relámpago","express","no esperes","no volver","no parpadees"},AG120)))&gt;0,"Sí","No")</f>
        <v>No</v>
      </c>
      <c r="AL120" s="102" t="str">
        <f t="shared" si="43"/>
        <v>Descuento sin tiempo límite</v>
      </c>
      <c r="AM120" s="102" t="str">
        <f>IF(SUMPRODUCT(--ISNUMBER(SEARCH({"0","1","2","3","4","5","6","7","8","9","favorit","maquillaje","piel","cabello","productos","belleza","regalo"},E120)))&gt;0,"Sí","No")</f>
        <v>No</v>
      </c>
      <c r="AN120" s="102" t="str">
        <f>IF(SUMPRODUCT(--ISNUMBER(SEARCH({"lo que tenemos","estas ofertas","algo especial","ofertas únicas","que preparamos","no te quedes","echa un vistazo"},F120)))&gt;0,"Sí","No")</f>
        <v>No</v>
      </c>
      <c r="AO120" s="102">
        <f t="shared" si="44"/>
        <v>59</v>
      </c>
      <c r="AP120" s="102">
        <f t="shared" si="45"/>
        <v>8</v>
      </c>
      <c r="AQ120" s="102">
        <f>SUMPRODUCT(LEN(E120)-LEN(SUBSTITUTE(E120,{"!","¡","?","¿",":",",",".","%","·","-",";"},"")))</f>
        <v>3</v>
      </c>
      <c r="AR120" s="102" t="str">
        <f t="shared" si="46"/>
        <v>Sí</v>
      </c>
      <c r="AS120" s="102" t="str">
        <f t="shared" si="47"/>
        <v>No</v>
      </c>
      <c r="AT120" s="102" t="str">
        <f>IF(SUMPRODUCT(--ISNUMBER(FIND({"0","1","2","3","4","5","6","7","8","9"},E120)))&gt;0,"Con cifra concreta",IF(OR(ISNUMBER(FIND("?",E120)),ISNUMBER(FIND("¿",E120))),"Pregunta abierta",IF(SUMPRODUCT(--ISNUMBER(SEARCH({" hoy ","horas","tiempo limitado","antes de que","se acab","se agot","finalic","última oportunidad","oportunidad única","relámpago","express","no esperes","no volver","no parpadees"," ya ","últimas horas","últimas unidades"," ahora "},AF120)))&gt;0,"Solo urgencia, sin cifra",IF(SUMPRODUCT(--ISNUMBER(SEARCH({"recompensa","sorpresa","regalo","lealtad","detalle","gracias","pensamos en ti","para ti"},E120)))&gt;0,"Recompensa o sorpresa","Otro: beneficio o novedad"))))</f>
        <v>Recompensa o sorpresa</v>
      </c>
    </row>
    <row r="121" spans="1:46" x14ac:dyDescent="0.2">
      <c r="A121" s="96" t="s">
        <v>988</v>
      </c>
      <c r="B121" s="96" t="s">
        <v>275</v>
      </c>
      <c r="C121" s="96" t="s">
        <v>976</v>
      </c>
      <c r="D121" s="96" t="s">
        <v>751</v>
      </c>
      <c r="E121" s="96" t="s">
        <v>478</v>
      </c>
      <c r="F121" s="96" t="s">
        <v>479</v>
      </c>
      <c r="G121" s="97">
        <v>8895</v>
      </c>
      <c r="H121" s="97">
        <v>2302</v>
      </c>
      <c r="I121" s="97">
        <v>96</v>
      </c>
      <c r="J121" s="98">
        <v>8.07</v>
      </c>
      <c r="K121" s="98">
        <v>2.83</v>
      </c>
      <c r="L121" s="99">
        <v>52105.06</v>
      </c>
      <c r="M121" s="100">
        <f t="shared" si="24"/>
        <v>25.879707700955596</v>
      </c>
      <c r="N121" s="100">
        <f t="shared" si="25"/>
        <v>1.0792580101180438</v>
      </c>
      <c r="O121" s="100">
        <f t="shared" si="26"/>
        <v>4.1702867072111207</v>
      </c>
      <c r="P121" s="100">
        <f t="shared" si="27"/>
        <v>5857.7920179876337</v>
      </c>
      <c r="Q121" s="100">
        <f t="shared" si="28"/>
        <v>21.363100647493706</v>
      </c>
      <c r="R121" s="100">
        <f t="shared" si="29"/>
        <v>27.021447627328243</v>
      </c>
      <c r="S121" s="101">
        <f t="shared" si="30"/>
        <v>45892</v>
      </c>
      <c r="T121" s="102" t="str">
        <f t="shared" si="31"/>
        <v>Agosto</v>
      </c>
      <c r="U121" s="102" t="str">
        <f t="shared" si="32"/>
        <v>Sábado</v>
      </c>
      <c r="V121" s="102">
        <f t="shared" si="33"/>
        <v>11</v>
      </c>
      <c r="W121" s="102" t="str">
        <f t="shared" si="34"/>
        <v>Resto del mes</v>
      </c>
      <c r="X121" s="102">
        <f t="shared" si="35"/>
        <v>25</v>
      </c>
      <c r="Y121" s="102" t="str">
        <f t="shared" si="36"/>
        <v>Sí</v>
      </c>
      <c r="Z121" s="102" t="str">
        <f>CHOOSE(MATCH(B121,{"Customer Appreciation","Exclusive Offers","Flash Sale","Holiday Discounts","New Product Launch","Newsletter"},0),"Fidelizar","Vender","Vender","Vender","Lanzar","Educar")</f>
        <v>Vender</v>
      </c>
      <c r="AA121" s="102" t="str">
        <f t="shared" si="37"/>
        <v>Menos de 100 mil</v>
      </c>
      <c r="AB121" s="102">
        <f>COUNTIFS($E$5:$E$493,E121,$S$5:$S$493,"&lt;"&amp;S121)+COUNTIFS($E$5:E121,E121,$S$5:S121,S121)</f>
        <v>3</v>
      </c>
      <c r="AC121" s="102">
        <f t="shared" si="38"/>
        <v>8</v>
      </c>
      <c r="AD121" s="102" t="str">
        <f t="shared" si="39"/>
        <v>Medio</v>
      </c>
      <c r="AE121" s="103">
        <f t="shared" si="40"/>
        <v>4.5166070534618896</v>
      </c>
      <c r="AF121" s="102" t="str">
        <f t="shared" si="41"/>
        <v xml:space="preserve">  exclusivo para nuestros clientes vip  acceso limitado </v>
      </c>
      <c r="AG121" s="102" t="str">
        <f t="shared" si="42"/>
        <v xml:space="preserve"> no te pierdas estas ofertas que preparamos para ti   descubre más  </v>
      </c>
      <c r="AH121" s="102" t="str">
        <f>IF(SUMPRODUCT(--(LEFT(IF(LEFT(LOWER(E121),1)="¡",MID(LOWER(E121),2,300),LOWER(E121)),LEN({"actualizaci","el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121" s="102" t="str">
        <f>IF(OR(SUMPRODUCT(--ISNUMBER(SEARCH({"descuento","oferta","ahorr","precio"," sale ","flash","deals"},AF121)))&gt;0,SUMPRODUCT(--ISNUMBER(SEARCH({"descuento","oferta","ahorr","precio"," sale ","flash","deals"},AG121)))&gt;0),"Sí","No")</f>
        <v>Sí</v>
      </c>
      <c r="AJ121" s="102" t="str">
        <f>IF(SUMPRODUCT(--ISNUMBER(SEARCH({" hoy ","horas","tiempo limitado","antes de que","se acab","se agot","finalic","última oportunidad","oportunidad única","relámpago","express","no esperes","no volver","no parpadees"},AF121)))&gt;0,"Sí","No")</f>
        <v>No</v>
      </c>
      <c r="AK121" s="102" t="str">
        <f>IF(SUMPRODUCT(--ISNUMBER(SEARCH({" hoy ","horas","tiempo limitado","antes de que","se acab","se agot","finalic","última oportunidad","oportunidad única","relámpago","express","no esperes","no volver","no parpadees"},AG121)))&gt;0,"Sí","No")</f>
        <v>No</v>
      </c>
      <c r="AL121" s="102" t="str">
        <f t="shared" si="43"/>
        <v>Descuento sin tiempo límite</v>
      </c>
      <c r="AM121" s="102" t="str">
        <f>IF(SUMPRODUCT(--ISNUMBER(SEARCH({"0","1","2","3","4","5","6","7","8","9","favorit","maquillaje","piel","cabello","productos","belleza","regalo"},E121)))&gt;0,"Sí","No")</f>
        <v>No</v>
      </c>
      <c r="AN121" s="102" t="str">
        <f>IF(SUMPRODUCT(--ISNUMBER(SEARCH({"lo que tenemos","estas ofertas","algo especial","ofertas únicas","que preparamos","no te quedes","echa un vistazo"},F121)))&gt;0,"Sí","No")</f>
        <v>Sí</v>
      </c>
      <c r="AO121" s="102">
        <f t="shared" si="44"/>
        <v>54</v>
      </c>
      <c r="AP121" s="102">
        <f t="shared" si="45"/>
        <v>7</v>
      </c>
      <c r="AQ121" s="102">
        <f>SUMPRODUCT(LEN(E121)-LEN(SUBSTITUTE(E121,{"!","¡","?","¿",":",",",".","%","·","-",";"},"")))</f>
        <v>2</v>
      </c>
      <c r="AR121" s="102" t="str">
        <f t="shared" si="46"/>
        <v>Sí</v>
      </c>
      <c r="AS121" s="102" t="str">
        <f t="shared" si="47"/>
        <v>No</v>
      </c>
      <c r="AT121" s="102" t="str">
        <f>IF(SUMPRODUCT(--ISNUMBER(FIND({"0","1","2","3","4","5","6","7","8","9"},E121)))&gt;0,"Con cifra concreta",IF(OR(ISNUMBER(FIND("?",E121)),ISNUMBER(FIND("¿",E121))),"Pregunta abierta",IF(SUMPRODUCT(--ISNUMBER(SEARCH({" hoy ","horas","tiempo limitado","antes de que","se acab","se agot","finalic","última oportunidad","oportunidad única","relámpago","express","no esperes","no volver","no parpadees"," ya ","últimas horas","últimas unidades"," ahora "},AF121)))&gt;0,"Solo urgencia, sin cifra",IF(SUMPRODUCT(--ISNUMBER(SEARCH({"recompensa","sorpresa","regalo","lealtad","detalle","gracias","pensamos en ti","para ti"},E121)))&gt;0,"Recompensa o sorpresa","Otro: beneficio o novedad"))))</f>
        <v>Otro: beneficio o novedad</v>
      </c>
    </row>
    <row r="122" spans="1:46" x14ac:dyDescent="0.2">
      <c r="A122" s="104" t="s">
        <v>989</v>
      </c>
      <c r="B122" s="104" t="s">
        <v>274</v>
      </c>
      <c r="C122" s="104" t="s">
        <v>742</v>
      </c>
      <c r="D122" s="104" t="s">
        <v>702</v>
      </c>
      <c r="E122" s="104" t="s">
        <v>817</v>
      </c>
      <c r="F122" s="104" t="s">
        <v>818</v>
      </c>
      <c r="G122" s="105">
        <v>111737</v>
      </c>
      <c r="H122" s="105">
        <v>43729</v>
      </c>
      <c r="I122" s="105">
        <v>10190</v>
      </c>
      <c r="J122" s="106">
        <v>8.9600000000000009</v>
      </c>
      <c r="K122" s="106">
        <v>0.18</v>
      </c>
      <c r="L122" s="107">
        <v>70418.63</v>
      </c>
      <c r="M122" s="108">
        <f t="shared" si="24"/>
        <v>39.13564888980374</v>
      </c>
      <c r="N122" s="108">
        <f t="shared" si="25"/>
        <v>9.1196291291156921</v>
      </c>
      <c r="O122" s="108">
        <f t="shared" si="26"/>
        <v>23.302613826065084</v>
      </c>
      <c r="P122" s="108">
        <f t="shared" si="27"/>
        <v>630.21765395526995</v>
      </c>
      <c r="Q122" s="108">
        <f t="shared" si="28"/>
        <v>29.881859851946338</v>
      </c>
      <c r="R122" s="108">
        <f t="shared" si="29"/>
        <v>31.113650744455075</v>
      </c>
      <c r="S122" s="101">
        <f t="shared" si="30"/>
        <v>45948</v>
      </c>
      <c r="T122" s="102" t="str">
        <f t="shared" si="31"/>
        <v>Octubre</v>
      </c>
      <c r="U122" s="102" t="str">
        <f t="shared" si="32"/>
        <v>Sábado</v>
      </c>
      <c r="V122" s="102">
        <f t="shared" si="33"/>
        <v>16</v>
      </c>
      <c r="W122" s="102" t="str">
        <f t="shared" si="34"/>
        <v>Días después del pago</v>
      </c>
      <c r="X122" s="102">
        <f t="shared" si="35"/>
        <v>27</v>
      </c>
      <c r="Y122" s="102" t="str">
        <f t="shared" si="36"/>
        <v>Sí</v>
      </c>
      <c r="Z122" s="102" t="str">
        <f>CHOOSE(MATCH(B122,{"Customer Appreciation","Exclusive Offers","Flash Sale","Holiday Discounts","New Product Launch","Newsletter"},0),"Fidelizar","Vender","Vender","Vender","Lanzar","Educar")</f>
        <v>Fidelizar</v>
      </c>
      <c r="AA122" s="102" t="str">
        <f t="shared" si="37"/>
        <v>100 a 200 mil</v>
      </c>
      <c r="AB122" s="102">
        <f>COUNTIFS($E$5:$E$493,E122,$S$5:$S$493,"&lt;"&amp;S122)+COUNTIFS($E$5:E122,E122,$S$5:S122,S122)</f>
        <v>4</v>
      </c>
      <c r="AC122" s="102">
        <f t="shared" si="38"/>
        <v>5</v>
      </c>
      <c r="AD122" s="102" t="str">
        <f t="shared" si="39"/>
        <v/>
      </c>
      <c r="AE122" s="103">
        <f t="shared" si="40"/>
        <v>9.2537890378574019</v>
      </c>
      <c r="AF122" s="102" t="str">
        <f t="shared" si="41"/>
        <v xml:space="preserve">  un gesto de gratitud de l'oréal  tu belleza  nuestra pasión </v>
      </c>
      <c r="AG122" s="102" t="str">
        <f t="shared" si="42"/>
        <v xml:space="preserve"> hemos preparado algo especial para ti   descúbrelo ahora  </v>
      </c>
      <c r="AH122" s="102" t="str">
        <f>IF(SUMPRODUCT(--(LEFT(IF(LEFT(LOWER(E122),1)="¡",MID(LOWER(E122),2,300),LOWER(E122)),LEN({"actualizaci","el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122" s="102" t="str">
        <f>IF(OR(SUMPRODUCT(--ISNUMBER(SEARCH({"descuento","oferta","ahorr","precio"," sale ","flash","deals"},AF122)))&gt;0,SUMPRODUCT(--ISNUMBER(SEARCH({"descuento","oferta","ahorr","precio"," sale ","flash","deals"},AG122)))&gt;0),"Sí","No")</f>
        <v>No</v>
      </c>
      <c r="AJ122" s="102" t="str">
        <f>IF(SUMPRODUCT(--ISNUMBER(SEARCH({" hoy ","horas","tiempo limitado","antes de que","se acab","se agot","finalic","última oportunidad","oportunidad única","relámpago","express","no esperes","no volver","no parpadees"},AF122)))&gt;0,"Sí","No")</f>
        <v>No</v>
      </c>
      <c r="AK122" s="102" t="str">
        <f>IF(SUMPRODUCT(--ISNUMBER(SEARCH({" hoy ","horas","tiempo limitado","antes de que","se acab","se agot","finalic","última oportunidad","oportunidad única","relámpago","express","no esperes","no volver","no parpadees"},AG122)))&gt;0,"Sí","No")</f>
        <v>No</v>
      </c>
      <c r="AL122" s="102" t="str">
        <f t="shared" si="43"/>
        <v>Sin descuento</v>
      </c>
      <c r="AM122" s="102" t="str">
        <f>IF(SUMPRODUCT(--ISNUMBER(SEARCH({"0","1","2","3","4","5","6","7","8","9","favorit","maquillaje","piel","cabello","productos","belleza","regalo"},E122)))&gt;0,"Sí","No")</f>
        <v>Sí</v>
      </c>
      <c r="AN122" s="102" t="str">
        <f>IF(SUMPRODUCT(--ISNUMBER(SEARCH({"lo que tenemos","estas ofertas","algo especial","ofertas únicas","que preparamos","no te quedes","echa un vistazo"},F122)))&gt;0,"Sí","No")</f>
        <v>Sí</v>
      </c>
      <c r="AO122" s="102">
        <f t="shared" si="44"/>
        <v>60</v>
      </c>
      <c r="AP122" s="102">
        <f t="shared" si="45"/>
        <v>10</v>
      </c>
      <c r="AQ122" s="102">
        <f>SUMPRODUCT(LEN(E122)-LEN(SUBSTITUTE(E122,{"!","¡","?","¿",":",",",".","%","·","-",";"},"")))</f>
        <v>3</v>
      </c>
      <c r="AR122" s="102" t="str">
        <f t="shared" si="46"/>
        <v>No</v>
      </c>
      <c r="AS122" s="102" t="str">
        <f t="shared" si="47"/>
        <v>No</v>
      </c>
      <c r="AT122" s="102" t="str">
        <f>IF(SUMPRODUCT(--ISNUMBER(FIND({"0","1","2","3","4","5","6","7","8","9"},E122)))&gt;0,"Con cifra concreta",IF(OR(ISNUMBER(FIND("?",E122)),ISNUMBER(FIND("¿",E122))),"Pregunta abierta",IF(SUMPRODUCT(--ISNUMBER(SEARCH({" hoy ","horas","tiempo limitado","antes de que","se acab","se agot","finalic","última oportunidad","oportunidad única","relámpago","express","no esperes","no volver","no parpadees"," ya ","últimas horas","últimas unidades"," ahora "},AF122)))&gt;0,"Solo urgencia, sin cifra",IF(SUMPRODUCT(--ISNUMBER(SEARCH({"recompensa","sorpresa","regalo","lealtad","detalle","gracias","pensamos en ti","para ti"},E122)))&gt;0,"Recompensa o sorpresa","Otro: beneficio o novedad"))))</f>
        <v>Otro: beneficio o novedad</v>
      </c>
    </row>
    <row r="123" spans="1:46" x14ac:dyDescent="0.2">
      <c r="A123" s="96" t="s">
        <v>990</v>
      </c>
      <c r="B123" s="96" t="s">
        <v>276</v>
      </c>
      <c r="C123" s="96" t="s">
        <v>773</v>
      </c>
      <c r="D123" s="96" t="s">
        <v>707</v>
      </c>
      <c r="E123" s="96" t="s">
        <v>866</v>
      </c>
      <c r="F123" s="96" t="s">
        <v>867</v>
      </c>
      <c r="G123" s="97">
        <v>276367</v>
      </c>
      <c r="H123" s="97">
        <v>46955</v>
      </c>
      <c r="I123" s="97">
        <v>21699</v>
      </c>
      <c r="J123" s="98">
        <v>1.58</v>
      </c>
      <c r="K123" s="98">
        <v>3.6</v>
      </c>
      <c r="L123" s="99">
        <v>15396.96</v>
      </c>
      <c r="M123" s="100">
        <f t="shared" si="24"/>
        <v>16.990089265360915</v>
      </c>
      <c r="N123" s="100">
        <f t="shared" si="25"/>
        <v>7.8515162808873704</v>
      </c>
      <c r="O123" s="100">
        <f t="shared" si="26"/>
        <v>46.212330955169847</v>
      </c>
      <c r="P123" s="100">
        <f t="shared" si="27"/>
        <v>55.712006136767414</v>
      </c>
      <c r="Q123" s="100">
        <f t="shared" si="28"/>
        <v>20.679461560319073</v>
      </c>
      <c r="R123" s="100">
        <f t="shared" si="29"/>
        <v>29.440902453236173</v>
      </c>
      <c r="S123" s="101">
        <f t="shared" si="30"/>
        <v>45909</v>
      </c>
      <c r="T123" s="102" t="str">
        <f t="shared" si="31"/>
        <v>Septiembre</v>
      </c>
      <c r="U123" s="102" t="str">
        <f t="shared" si="32"/>
        <v>Martes</v>
      </c>
      <c r="V123" s="102">
        <f t="shared" si="33"/>
        <v>13</v>
      </c>
      <c r="W123" s="102" t="str">
        <f t="shared" si="34"/>
        <v>Resto del mes</v>
      </c>
      <c r="X123" s="102">
        <f t="shared" si="35"/>
        <v>28</v>
      </c>
      <c r="Y123" s="102" t="str">
        <f t="shared" si="36"/>
        <v>Sí</v>
      </c>
      <c r="Z123" s="102" t="str">
        <f>CHOOSE(MATCH(B123,{"Customer Appreciation","Exclusive Offers","Flash Sale","Holiday Discounts","New Product Launch","Newsletter"},0),"Fidelizar","Vender","Vender","Vender","Lanzar","Educar")</f>
        <v>Vender</v>
      </c>
      <c r="AA123" s="102" t="str">
        <f t="shared" si="37"/>
        <v>200 a 300 mil</v>
      </c>
      <c r="AB123" s="102">
        <f>COUNTIFS($E$5:$E$493,E123,$S$5:$S$493,"&lt;"&amp;S123)+COUNTIFS($E$5:E123,E123,$S$5:S123,S123)</f>
        <v>4</v>
      </c>
      <c r="AC123" s="102">
        <f t="shared" si="38"/>
        <v>7</v>
      </c>
      <c r="AD123" s="102" t="str">
        <f t="shared" si="39"/>
        <v/>
      </c>
      <c r="AE123" s="103">
        <f t="shared" si="40"/>
        <v>-3.689372294958158</v>
      </c>
      <c r="AF123" s="102" t="str">
        <f t="shared" si="41"/>
        <v xml:space="preserve">  ahorra en grande  oferta relámpago  últimas unidades </v>
      </c>
      <c r="AG123" s="102" t="str">
        <f t="shared" si="42"/>
        <v xml:space="preserve"> precios irresistibles en tus productos favoritos   compra ahora  </v>
      </c>
      <c r="AH123" s="102" t="str">
        <f>IF(SUMPRODUCT(--(LEFT(IF(LEFT(LOWER(E123),1)="¡",MID(LOWER(E123),2,300),LOWER(E123)),LEN({"actualizaci","el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123" s="102" t="str">
        <f>IF(OR(SUMPRODUCT(--ISNUMBER(SEARCH({"descuento","oferta","ahorr","precio"," sale ","flash","deals"},AF123)))&gt;0,SUMPRODUCT(--ISNUMBER(SEARCH({"descuento","oferta","ahorr","precio"," sale ","flash","deals"},AG123)))&gt;0),"Sí","No")</f>
        <v>Sí</v>
      </c>
      <c r="AJ123" s="102" t="str">
        <f>IF(SUMPRODUCT(--ISNUMBER(SEARCH({" hoy ","horas","tiempo limitado","antes de que","se acab","se agot","finalic","última oportunidad","oportunidad única","relámpago","express","no esperes","no volver","no parpadees"},AF123)))&gt;0,"Sí","No")</f>
        <v>Sí</v>
      </c>
      <c r="AK123" s="102" t="str">
        <f>IF(SUMPRODUCT(--ISNUMBER(SEARCH({" hoy ","horas","tiempo limitado","antes de que","se acab","se agot","finalic","última oportunidad","oportunidad única","relámpago","express","no esperes","no volver","no parpadees"},AG123)))&gt;0,"Sí","No")</f>
        <v>No</v>
      </c>
      <c r="AL123" s="102" t="str">
        <f t="shared" si="43"/>
        <v>Descuento con tiempo límite en el asunto</v>
      </c>
      <c r="AM123" s="102" t="str">
        <f>IF(SUMPRODUCT(--ISNUMBER(SEARCH({"0","1","2","3","4","5","6","7","8","9","favorit","maquillaje","piel","cabello","productos","belleza","regalo"},E123)))&gt;0,"Sí","No")</f>
        <v>No</v>
      </c>
      <c r="AN123" s="102" t="str">
        <f>IF(SUMPRODUCT(--ISNUMBER(SEARCH({"lo que tenemos","estas ofertas","algo especial","ofertas únicas","que preparamos","no te quedes","echa un vistazo"},F123)))&gt;0,"Sí","No")</f>
        <v>No</v>
      </c>
      <c r="AO123" s="102">
        <f t="shared" si="44"/>
        <v>53</v>
      </c>
      <c r="AP123" s="102">
        <f t="shared" si="45"/>
        <v>7</v>
      </c>
      <c r="AQ123" s="102">
        <f>SUMPRODUCT(LEN(E123)-LEN(SUBSTITUTE(E123,{"!","¡","?","¿",":",",",".","%","·","-",";"},"")))</f>
        <v>3</v>
      </c>
      <c r="AR123" s="102" t="str">
        <f t="shared" si="46"/>
        <v>Sí</v>
      </c>
      <c r="AS123" s="102" t="str">
        <f t="shared" si="47"/>
        <v>No</v>
      </c>
      <c r="AT123" s="102" t="str">
        <f>IF(SUMPRODUCT(--ISNUMBER(FIND({"0","1","2","3","4","5","6","7","8","9"},E123)))&gt;0,"Con cifra concreta",IF(OR(ISNUMBER(FIND("?",E123)),ISNUMBER(FIND("¿",E123))),"Pregunta abierta",IF(SUMPRODUCT(--ISNUMBER(SEARCH({" hoy ","horas","tiempo limitado","antes de que","se acab","se agot","finalic","última oportunidad","oportunidad única","relámpago","express","no esperes","no volver","no parpadees"," ya ","últimas horas","últimas unidades"," ahora "},AF123)))&gt;0,"Solo urgencia, sin cifra",IF(SUMPRODUCT(--ISNUMBER(SEARCH({"recompensa","sorpresa","regalo","lealtad","detalle","gracias","pensamos en ti","para ti"},E123)))&gt;0,"Recompensa o sorpresa","Otro: beneficio o novedad"))))</f>
        <v>Solo urgencia, sin cifra</v>
      </c>
    </row>
    <row r="124" spans="1:46" x14ac:dyDescent="0.2">
      <c r="A124" s="104" t="s">
        <v>991</v>
      </c>
      <c r="B124" s="104" t="s">
        <v>278</v>
      </c>
      <c r="C124" s="104" t="s">
        <v>980</v>
      </c>
      <c r="D124" s="104" t="s">
        <v>824</v>
      </c>
      <c r="E124" s="104" t="s">
        <v>368</v>
      </c>
      <c r="F124" s="104" t="s">
        <v>471</v>
      </c>
      <c r="G124" s="105">
        <v>465001</v>
      </c>
      <c r="H124" s="105">
        <v>114595</v>
      </c>
      <c r="I124" s="105">
        <v>63986</v>
      </c>
      <c r="J124" s="106">
        <v>6.57</v>
      </c>
      <c r="K124" s="106">
        <v>3.6</v>
      </c>
      <c r="L124" s="107">
        <v>72829.710000000006</v>
      </c>
      <c r="M124" s="108">
        <f t="shared" si="24"/>
        <v>24.644033023584896</v>
      </c>
      <c r="N124" s="108">
        <f t="shared" si="25"/>
        <v>13.76040051526771</v>
      </c>
      <c r="O124" s="108">
        <f t="shared" si="26"/>
        <v>55.836642087351109</v>
      </c>
      <c r="P124" s="108">
        <f t="shared" si="27"/>
        <v>156.6226954350636</v>
      </c>
      <c r="Q124" s="108">
        <f t="shared" si="28"/>
        <v>23.315840784070005</v>
      </c>
      <c r="R124" s="108">
        <f t="shared" si="29"/>
        <v>29.458247936272421</v>
      </c>
      <c r="S124" s="101">
        <f t="shared" si="30"/>
        <v>45875</v>
      </c>
      <c r="T124" s="102" t="str">
        <f t="shared" si="31"/>
        <v>Agosto</v>
      </c>
      <c r="U124" s="102" t="str">
        <f t="shared" si="32"/>
        <v>Miércoles</v>
      </c>
      <c r="V124" s="102">
        <f t="shared" si="33"/>
        <v>10</v>
      </c>
      <c r="W124" s="102" t="str">
        <f t="shared" si="34"/>
        <v>Resto del mes</v>
      </c>
      <c r="X124" s="102">
        <f t="shared" si="35"/>
        <v>28</v>
      </c>
      <c r="Y124" s="102" t="str">
        <f t="shared" si="36"/>
        <v>Sí</v>
      </c>
      <c r="Z124" s="102" t="str">
        <f>CHOOSE(MATCH(B124,{"Customer Appreciation","Exclusive Offers","Flash Sale","Holiday Discounts","New Product Launch","Newsletter"},0),"Fidelizar","Vender","Vender","Vender","Lanzar","Educar")</f>
        <v>Lanzar</v>
      </c>
      <c r="AA124" s="102" t="str">
        <f t="shared" si="37"/>
        <v>Más de 400 mil</v>
      </c>
      <c r="AB124" s="102">
        <f>COUNTIFS($E$5:$E$493,E124,$S$5:$S$493,"&lt;"&amp;S124)+COUNTIFS($E$5:E124,E124,$S$5:S124,S124)</f>
        <v>1</v>
      </c>
      <c r="AC124" s="102">
        <f t="shared" si="38"/>
        <v>33</v>
      </c>
      <c r="AD124" s="102" t="str">
        <f t="shared" si="39"/>
        <v>Primer tercio</v>
      </c>
      <c r="AE124" s="103">
        <f t="shared" si="40"/>
        <v>1.3281922395148911</v>
      </c>
      <c r="AF124" s="102" t="str">
        <f t="shared" si="41"/>
        <v xml:space="preserve"> presentamos  nuestro último lanzamiento de belleza  imperdible  </v>
      </c>
      <c r="AG124" s="102" t="str">
        <f t="shared" si="42"/>
        <v xml:space="preserve"> una innovación que cambiará tu rutina   sé de los primeros  </v>
      </c>
      <c r="AH124" s="102" t="str">
        <f>IF(SUMPRODUCT(--(LEFT(IF(LEFT(LOWER(E124),1)="¡",MID(LOWER(E124),2,300),LOWER(E124)),LEN({"actualizaci","el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Sí</v>
      </c>
      <c r="AI124" s="102" t="str">
        <f>IF(OR(SUMPRODUCT(--ISNUMBER(SEARCH({"descuento","oferta","ahorr","precio"," sale ","flash","deals"},AF124)))&gt;0,SUMPRODUCT(--ISNUMBER(SEARCH({"descuento","oferta","ahorr","precio"," sale ","flash","deals"},AG124)))&gt;0),"Sí","No")</f>
        <v>No</v>
      </c>
      <c r="AJ124" s="102" t="str">
        <f>IF(SUMPRODUCT(--ISNUMBER(SEARCH({" hoy ","horas","tiempo limitado","antes de que","se acab","se agot","finalic","última oportunidad","oportunidad única","relámpago","express","no esperes","no volver","no parpadees"},AF124)))&gt;0,"Sí","No")</f>
        <v>No</v>
      </c>
      <c r="AK124" s="102" t="str">
        <f>IF(SUMPRODUCT(--ISNUMBER(SEARCH({" hoy ","horas","tiempo limitado","antes de que","se acab","se agot","finalic","última oportunidad","oportunidad única","relámpago","express","no esperes","no volver","no parpadees"},AG124)))&gt;0,"Sí","No")</f>
        <v>No</v>
      </c>
      <c r="AL124" s="102" t="str">
        <f t="shared" si="43"/>
        <v>Sin descuento</v>
      </c>
      <c r="AM124" s="102" t="str">
        <f>IF(SUMPRODUCT(--ISNUMBER(SEARCH({"0","1","2","3","4","5","6","7","8","9","favorit","maquillaje","piel","cabello","productos","belleza","regalo"},E124)))&gt;0,"Sí","No")</f>
        <v>Sí</v>
      </c>
      <c r="AN124" s="102" t="str">
        <f>IF(SUMPRODUCT(--ISNUMBER(SEARCH({"lo que tenemos","estas ofertas","algo especial","ofertas únicas","que preparamos","no te quedes","echa un vistazo"},F124)))&gt;0,"Sí","No")</f>
        <v>No</v>
      </c>
      <c r="AO124" s="102">
        <f t="shared" si="44"/>
        <v>63</v>
      </c>
      <c r="AP124" s="102">
        <f t="shared" si="45"/>
        <v>7</v>
      </c>
      <c r="AQ124" s="102">
        <f>SUMPRODUCT(LEN(E124)-LEN(SUBSTITUTE(E124,{"!","¡","?","¿",":",",",".","%","·","-",";"},"")))</f>
        <v>3</v>
      </c>
      <c r="AR124" s="102" t="str">
        <f t="shared" si="46"/>
        <v>No</v>
      </c>
      <c r="AS124" s="102" t="str">
        <f t="shared" si="47"/>
        <v>No</v>
      </c>
      <c r="AT124" s="102" t="str">
        <f>IF(SUMPRODUCT(--ISNUMBER(FIND({"0","1","2","3","4","5","6","7","8","9"},E124)))&gt;0,"Con cifra concreta",IF(OR(ISNUMBER(FIND("?",E124)),ISNUMBER(FIND("¿",E124))),"Pregunta abierta",IF(SUMPRODUCT(--ISNUMBER(SEARCH({" hoy ","horas","tiempo limitado","antes de que","se acab","se agot","finalic","última oportunidad","oportunidad única","relámpago","express","no esperes","no volver","no parpadees"," ya ","últimas horas","últimas unidades"," ahora "},AF124)))&gt;0,"Solo urgencia, sin cifra",IF(SUMPRODUCT(--ISNUMBER(SEARCH({"recompensa","sorpresa","regalo","lealtad","detalle","gracias","pensamos en ti","para ti"},E124)))&gt;0,"Recompensa o sorpresa","Otro: beneficio o novedad"))))</f>
        <v>Otro: beneficio o novedad</v>
      </c>
    </row>
    <row r="125" spans="1:46" x14ac:dyDescent="0.2">
      <c r="A125" s="96" t="s">
        <v>992</v>
      </c>
      <c r="B125" s="96" t="s">
        <v>279</v>
      </c>
      <c r="C125" s="96" t="s">
        <v>815</v>
      </c>
      <c r="D125" s="96" t="s">
        <v>764</v>
      </c>
      <c r="E125" s="96" t="s">
        <v>370</v>
      </c>
      <c r="F125" s="96" t="s">
        <v>485</v>
      </c>
      <c r="G125" s="97">
        <v>202584</v>
      </c>
      <c r="H125" s="97">
        <v>34057</v>
      </c>
      <c r="I125" s="97">
        <v>12155</v>
      </c>
      <c r="J125" s="98">
        <v>1.55</v>
      </c>
      <c r="K125" s="98">
        <v>1.81</v>
      </c>
      <c r="L125" s="99">
        <v>7834.09</v>
      </c>
      <c r="M125" s="100">
        <f t="shared" si="24"/>
        <v>16.811298029459383</v>
      </c>
      <c r="N125" s="100">
        <f t="shared" si="25"/>
        <v>5.999980255104056</v>
      </c>
      <c r="O125" s="100">
        <f t="shared" si="26"/>
        <v>35.690166485597672</v>
      </c>
      <c r="P125" s="100">
        <f t="shared" si="27"/>
        <v>38.670822967262964</v>
      </c>
      <c r="Q125" s="100">
        <f t="shared" si="28"/>
        <v>15.908213539730554</v>
      </c>
      <c r="R125" s="100">
        <f t="shared" si="29"/>
        <v>27.75136451093497</v>
      </c>
      <c r="S125" s="101">
        <f t="shared" si="30"/>
        <v>45959</v>
      </c>
      <c r="T125" s="102" t="str">
        <f t="shared" si="31"/>
        <v>Octubre</v>
      </c>
      <c r="U125" s="102" t="str">
        <f t="shared" si="32"/>
        <v>Miércoles</v>
      </c>
      <c r="V125" s="102">
        <f t="shared" si="33"/>
        <v>15</v>
      </c>
      <c r="W125" s="102" t="str">
        <f t="shared" si="34"/>
        <v>Resto del mes</v>
      </c>
      <c r="X125" s="102">
        <f t="shared" si="35"/>
        <v>27</v>
      </c>
      <c r="Y125" s="102" t="str">
        <f t="shared" si="36"/>
        <v>Sí</v>
      </c>
      <c r="Z125" s="102" t="str">
        <f>CHOOSE(MATCH(B125,{"Customer Appreciation","Exclusive Offers","Flash Sale","Holiday Discounts","New Product Launch","Newsletter"},0),"Fidelizar","Vender","Vender","Vender","Lanzar","Educar")</f>
        <v>Educar</v>
      </c>
      <c r="AA125" s="102" t="str">
        <f t="shared" si="37"/>
        <v>200 a 300 mil</v>
      </c>
      <c r="AB125" s="102">
        <f>COUNTIFS($E$5:$E$493,E125,$S$5:$S$493,"&lt;"&amp;S125)+COUNTIFS($E$5:E125,E125,$S$5:S125,S125)</f>
        <v>9</v>
      </c>
      <c r="AC125" s="102">
        <f t="shared" si="38"/>
        <v>10</v>
      </c>
      <c r="AD125" s="102" t="str">
        <f t="shared" si="39"/>
        <v>Último tercio</v>
      </c>
      <c r="AE125" s="103">
        <f t="shared" si="40"/>
        <v>0.90308448972882971</v>
      </c>
      <c r="AF125" s="102" t="str">
        <f t="shared" si="41"/>
        <v xml:space="preserve"> actualización de l'oréal   qué hay de nuevo en el mundo beauty  </v>
      </c>
      <c r="AG125" s="102" t="str">
        <f t="shared" si="42"/>
        <v xml:space="preserve"> no te quedes atrás con las últimas tendencias   descubre más  </v>
      </c>
      <c r="AH125" s="102" t="str">
        <f>IF(SUMPRODUCT(--(LEFT(IF(LEFT(LOWER(E125),1)="¡",MID(LOWER(E125),2,300),LOWER(E125)),LEN({"actualizaci","el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Sí</v>
      </c>
      <c r="AI125" s="102" t="str">
        <f>IF(OR(SUMPRODUCT(--ISNUMBER(SEARCH({"descuento","oferta","ahorr","precio"," sale ","flash","deals"},AF125)))&gt;0,SUMPRODUCT(--ISNUMBER(SEARCH({"descuento","oferta","ahorr","precio"," sale ","flash","deals"},AG125)))&gt;0),"Sí","No")</f>
        <v>No</v>
      </c>
      <c r="AJ125" s="102" t="str">
        <f>IF(SUMPRODUCT(--ISNUMBER(SEARCH({" hoy ","horas","tiempo limitado","antes de que","se acab","se agot","finalic","última oportunidad","oportunidad única","relámpago","express","no esperes","no volver","no parpadees"},AF125)))&gt;0,"Sí","No")</f>
        <v>No</v>
      </c>
      <c r="AK125" s="102" t="str">
        <f>IF(SUMPRODUCT(--ISNUMBER(SEARCH({" hoy ","horas","tiempo limitado","antes de que","se acab","se agot","finalic","última oportunidad","oportunidad única","relámpago","express","no esperes","no volver","no parpadees"},AG125)))&gt;0,"Sí","No")</f>
        <v>No</v>
      </c>
      <c r="AL125" s="102" t="str">
        <f t="shared" si="43"/>
        <v>Sin descuento</v>
      </c>
      <c r="AM125" s="102" t="str">
        <f>IF(SUMPRODUCT(--ISNUMBER(SEARCH({"0","1","2","3","4","5","6","7","8","9","favorit","maquillaje","piel","cabello","productos","belleza","regalo"},E125)))&gt;0,"Sí","No")</f>
        <v>No</v>
      </c>
      <c r="AN125" s="102" t="str">
        <f>IF(SUMPRODUCT(--ISNUMBER(SEARCH({"lo que tenemos","estas ofertas","algo especial","ofertas únicas","que preparamos","no te quedes","echa un vistazo"},F125)))&gt;0,"Sí","No")</f>
        <v>Sí</v>
      </c>
      <c r="AO125" s="102">
        <f t="shared" si="44"/>
        <v>63</v>
      </c>
      <c r="AP125" s="102">
        <f t="shared" si="45"/>
        <v>11</v>
      </c>
      <c r="AQ125" s="102">
        <f>SUMPRODUCT(LEN(E125)-LEN(SUBSTITUTE(E125,{"!","¡","?","¿",":",",",".","%","·","-",";"},"")))</f>
        <v>3</v>
      </c>
      <c r="AR125" s="102" t="str">
        <f t="shared" si="46"/>
        <v>No</v>
      </c>
      <c r="AS125" s="102" t="str">
        <f t="shared" si="47"/>
        <v>No</v>
      </c>
      <c r="AT125" s="102" t="str">
        <f>IF(SUMPRODUCT(--ISNUMBER(FIND({"0","1","2","3","4","5","6","7","8","9"},E125)))&gt;0,"Con cifra concreta",IF(OR(ISNUMBER(FIND("?",E125)),ISNUMBER(FIND("¿",E125))),"Pregunta abierta",IF(SUMPRODUCT(--ISNUMBER(SEARCH({" hoy ","horas","tiempo limitado","antes de que","se acab","se agot","finalic","última oportunidad","oportunidad única","relámpago","express","no esperes","no volver","no parpadees"," ya ","últimas horas","últimas unidades"," ahora "},AF125)))&gt;0,"Solo urgencia, sin cifra",IF(SUMPRODUCT(--ISNUMBER(SEARCH({"recompensa","sorpresa","regalo","lealtad","detalle","gracias","pensamos en ti","para ti"},E125)))&gt;0,"Recompensa o sorpresa","Otro: beneficio o novedad"))))</f>
        <v>Pregunta abierta</v>
      </c>
    </row>
    <row r="126" spans="1:46" x14ac:dyDescent="0.2">
      <c r="A126" s="104" t="s">
        <v>993</v>
      </c>
      <c r="B126" s="104" t="s">
        <v>278</v>
      </c>
      <c r="C126" s="104" t="s">
        <v>869</v>
      </c>
      <c r="D126" s="104" t="s">
        <v>821</v>
      </c>
      <c r="E126" s="104" t="s">
        <v>467</v>
      </c>
      <c r="F126" s="104" t="s">
        <v>468</v>
      </c>
      <c r="G126" s="105">
        <v>339271</v>
      </c>
      <c r="H126" s="105">
        <v>118949</v>
      </c>
      <c r="I126" s="105">
        <v>42841</v>
      </c>
      <c r="J126" s="106">
        <v>8.44</v>
      </c>
      <c r="K126" s="106">
        <v>4.5199999999999996</v>
      </c>
      <c r="L126" s="107">
        <v>69051.64</v>
      </c>
      <c r="M126" s="108">
        <f t="shared" si="24"/>
        <v>35.060173135929688</v>
      </c>
      <c r="N126" s="108">
        <f t="shared" si="25"/>
        <v>12.627368681673353</v>
      </c>
      <c r="O126" s="108">
        <f t="shared" si="26"/>
        <v>36.016275882941429</v>
      </c>
      <c r="P126" s="108">
        <f t="shared" si="27"/>
        <v>203.52944990877501</v>
      </c>
      <c r="Q126" s="108">
        <f t="shared" si="28"/>
        <v>30.93688234168668</v>
      </c>
      <c r="R126" s="108">
        <f t="shared" si="29"/>
        <v>29.458247936272421</v>
      </c>
      <c r="S126" s="101">
        <f t="shared" si="30"/>
        <v>45917</v>
      </c>
      <c r="T126" s="102" t="str">
        <f t="shared" si="31"/>
        <v>Septiembre</v>
      </c>
      <c r="U126" s="102" t="str">
        <f t="shared" si="32"/>
        <v>Miércoles</v>
      </c>
      <c r="V126" s="102">
        <f t="shared" si="33"/>
        <v>8</v>
      </c>
      <c r="W126" s="102" t="str">
        <f t="shared" si="34"/>
        <v>Días después del pago</v>
      </c>
      <c r="X126" s="102">
        <f t="shared" si="35"/>
        <v>26</v>
      </c>
      <c r="Y126" s="102" t="str">
        <f t="shared" si="36"/>
        <v>Sí</v>
      </c>
      <c r="Z126" s="102" t="str">
        <f>CHOOSE(MATCH(B126,{"Customer Appreciation","Exclusive Offers","Flash Sale","Holiday Discounts","New Product Launch","Newsletter"},0),"Fidelizar","Vender","Vender","Vender","Lanzar","Educar")</f>
        <v>Lanzar</v>
      </c>
      <c r="AA126" s="102" t="str">
        <f t="shared" si="37"/>
        <v>300 a 400 mil</v>
      </c>
      <c r="AB126" s="102">
        <f>COUNTIFS($E$5:$E$493,E126,$S$5:$S$493,"&lt;"&amp;S126)+COUNTIFS($E$5:E126,E126,$S$5:S126,S126)</f>
        <v>19</v>
      </c>
      <c r="AC126" s="102">
        <f t="shared" si="38"/>
        <v>22</v>
      </c>
      <c r="AD126" s="102" t="str">
        <f t="shared" si="39"/>
        <v>Último tercio</v>
      </c>
      <c r="AE126" s="103">
        <f t="shared" si="40"/>
        <v>4.1232907942430082</v>
      </c>
      <c r="AF126" s="102" t="str">
        <f t="shared" si="41"/>
        <v xml:space="preserve">  lo nuevo de l'oréal  te va a encantar  innovación en belleza </v>
      </c>
      <c r="AG126" s="102" t="str">
        <f t="shared" si="42"/>
        <v xml:space="preserve"> prepárate para experimentar la innovación en tu belleza   descúbrela  </v>
      </c>
      <c r="AH126" s="102" t="str">
        <f>IF(SUMPRODUCT(--(LEFT(IF(LEFT(LOWER(E126),1)="¡",MID(LOWER(E126),2,300),LOWER(E126)),LEN({"actualizaci","el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126" s="102" t="str">
        <f>IF(OR(SUMPRODUCT(--ISNUMBER(SEARCH({"descuento","oferta","ahorr","precio"," sale ","flash","deals"},AF126)))&gt;0,SUMPRODUCT(--ISNUMBER(SEARCH({"descuento","oferta","ahorr","precio"," sale ","flash","deals"},AG126)))&gt;0),"Sí","No")</f>
        <v>No</v>
      </c>
      <c r="AJ126" s="102" t="str">
        <f>IF(SUMPRODUCT(--ISNUMBER(SEARCH({" hoy ","horas","tiempo limitado","antes de que","se acab","se agot","finalic","última oportunidad","oportunidad única","relámpago","express","no esperes","no volver","no parpadees"},AF126)))&gt;0,"Sí","No")</f>
        <v>No</v>
      </c>
      <c r="AK126" s="102" t="str">
        <f>IF(SUMPRODUCT(--ISNUMBER(SEARCH({" hoy ","horas","tiempo limitado","antes de que","se acab","se agot","finalic","última oportunidad","oportunidad única","relámpago","express","no esperes","no volver","no parpadees"},AG126)))&gt;0,"Sí","No")</f>
        <v>No</v>
      </c>
      <c r="AL126" s="102" t="str">
        <f t="shared" si="43"/>
        <v>Sin descuento</v>
      </c>
      <c r="AM126" s="102" t="str">
        <f>IF(SUMPRODUCT(--ISNUMBER(SEARCH({"0","1","2","3","4","5","6","7","8","9","favorit","maquillaje","piel","cabello","productos","belleza","regalo"},E126)))&gt;0,"Sí","No")</f>
        <v>Sí</v>
      </c>
      <c r="AN126" s="102" t="str">
        <f>IF(SUMPRODUCT(--ISNUMBER(SEARCH({"lo que tenemos","estas ofertas","algo especial","ofertas únicas","que preparamos","no te quedes","echa un vistazo"},F126)))&gt;0,"Sí","No")</f>
        <v>No</v>
      </c>
      <c r="AO126" s="102">
        <f t="shared" si="44"/>
        <v>61</v>
      </c>
      <c r="AP126" s="102">
        <f t="shared" si="45"/>
        <v>11</v>
      </c>
      <c r="AQ126" s="102">
        <f>SUMPRODUCT(LEN(E126)-LEN(SUBSTITUTE(E126,{"!","¡","?","¿",":",",",".","%","·","-",";"},"")))</f>
        <v>3</v>
      </c>
      <c r="AR126" s="102" t="str">
        <f t="shared" si="46"/>
        <v>No</v>
      </c>
      <c r="AS126" s="102" t="str">
        <f t="shared" si="47"/>
        <v>No</v>
      </c>
      <c r="AT126" s="102" t="str">
        <f>IF(SUMPRODUCT(--ISNUMBER(FIND({"0","1","2","3","4","5","6","7","8","9"},E126)))&gt;0,"Con cifra concreta",IF(OR(ISNUMBER(FIND("?",E126)),ISNUMBER(FIND("¿",E126))),"Pregunta abierta",IF(SUMPRODUCT(--ISNUMBER(SEARCH({" hoy ","horas","tiempo limitado","antes de que","se acab","se agot","finalic","última oportunidad","oportunidad única","relámpago","express","no esperes","no volver","no parpadees"," ya ","últimas horas","últimas unidades"," ahora "},AF126)))&gt;0,"Solo urgencia, sin cifra",IF(SUMPRODUCT(--ISNUMBER(SEARCH({"recompensa","sorpresa","regalo","lealtad","detalle","gracias","pensamos en ti","para ti"},E126)))&gt;0,"Recompensa o sorpresa","Otro: beneficio o novedad"))))</f>
        <v>Otro: beneficio o novedad</v>
      </c>
    </row>
    <row r="127" spans="1:46" x14ac:dyDescent="0.2">
      <c r="A127" s="96" t="s">
        <v>994</v>
      </c>
      <c r="B127" s="96" t="s">
        <v>277</v>
      </c>
      <c r="C127" s="96" t="s">
        <v>928</v>
      </c>
      <c r="D127" s="96" t="s">
        <v>715</v>
      </c>
      <c r="E127" s="96" t="s">
        <v>476</v>
      </c>
      <c r="F127" s="96" t="s">
        <v>477</v>
      </c>
      <c r="G127" s="97">
        <v>371168</v>
      </c>
      <c r="H127" s="97">
        <v>101150</v>
      </c>
      <c r="I127" s="97">
        <v>7200</v>
      </c>
      <c r="J127" s="98">
        <v>5.33</v>
      </c>
      <c r="K127" s="98">
        <v>1.08</v>
      </c>
      <c r="L127" s="99">
        <v>55867.51</v>
      </c>
      <c r="M127" s="100">
        <f t="shared" si="24"/>
        <v>27.25181050090525</v>
      </c>
      <c r="N127" s="100">
        <f t="shared" si="25"/>
        <v>1.9398223984826279</v>
      </c>
      <c r="O127" s="100">
        <f t="shared" si="26"/>
        <v>7.1181413741967372</v>
      </c>
      <c r="P127" s="100">
        <f t="shared" si="27"/>
        <v>150.51812117423916</v>
      </c>
      <c r="Q127" s="100">
        <f t="shared" si="28"/>
        <v>21.434915192427972</v>
      </c>
      <c r="R127" s="100">
        <f t="shared" si="29"/>
        <v>30.71114383300629</v>
      </c>
      <c r="S127" s="101">
        <f t="shared" si="30"/>
        <v>45883</v>
      </c>
      <c r="T127" s="102" t="str">
        <f t="shared" si="31"/>
        <v>Agosto</v>
      </c>
      <c r="U127" s="102" t="str">
        <f t="shared" si="32"/>
        <v>Jueves</v>
      </c>
      <c r="V127" s="102">
        <f t="shared" si="33"/>
        <v>11</v>
      </c>
      <c r="W127" s="102" t="str">
        <f t="shared" si="34"/>
        <v>Quincena</v>
      </c>
      <c r="X127" s="102">
        <f t="shared" si="35"/>
        <v>23</v>
      </c>
      <c r="Y127" s="102" t="str">
        <f t="shared" si="36"/>
        <v>Sí</v>
      </c>
      <c r="Z127" s="102" t="str">
        <f>CHOOSE(MATCH(B127,{"Customer Appreciation","Exclusive Offers","Flash Sale","Holiday Discounts","New Product Launch","Newsletter"},0),"Fidelizar","Vender","Vender","Vender","Lanzar","Educar")</f>
        <v>Vender</v>
      </c>
      <c r="AA127" s="102" t="str">
        <f t="shared" si="37"/>
        <v>300 a 400 mil</v>
      </c>
      <c r="AB127" s="102">
        <f>COUNTIFS($E$5:$E$493,E127,$S$5:$S$493,"&lt;"&amp;S127)+COUNTIFS($E$5:E127,E127,$S$5:S127,S127)</f>
        <v>2</v>
      </c>
      <c r="AC127" s="102">
        <f t="shared" si="38"/>
        <v>10</v>
      </c>
      <c r="AD127" s="102" t="str">
        <f t="shared" si="39"/>
        <v>Primer tercio</v>
      </c>
      <c r="AE127" s="103">
        <f t="shared" si="40"/>
        <v>5.8168953084772781</v>
      </c>
      <c r="AF127" s="102" t="str">
        <f t="shared" si="41"/>
        <v xml:space="preserve">  ofertas de temporada  listas para ti  regalos perfectos </v>
      </c>
      <c r="AG127" s="102" t="str">
        <f t="shared" si="42"/>
        <v xml:space="preserve"> los mejores productos para tus celebraciones te esperan   descubre  </v>
      </c>
      <c r="AH127" s="102" t="str">
        <f>IF(SUMPRODUCT(--(LEFT(IF(LEFT(LOWER(E127),1)="¡",MID(LOWER(E127),2,300),LOWER(E127)),LEN({"actualizaci","el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Sí</v>
      </c>
      <c r="AI127" s="102" t="str">
        <f>IF(OR(SUMPRODUCT(--ISNUMBER(SEARCH({"descuento","oferta","ahorr","precio"," sale ","flash","deals"},AF127)))&gt;0,SUMPRODUCT(--ISNUMBER(SEARCH({"descuento","oferta","ahorr","precio"," sale ","flash","deals"},AG127)))&gt;0),"Sí","No")</f>
        <v>Sí</v>
      </c>
      <c r="AJ127" s="102" t="str">
        <f>IF(SUMPRODUCT(--ISNUMBER(SEARCH({" hoy ","horas","tiempo limitado","antes de que","se acab","se agot","finalic","última oportunidad","oportunidad única","relámpago","express","no esperes","no volver","no parpadees"},AF127)))&gt;0,"Sí","No")</f>
        <v>No</v>
      </c>
      <c r="AK127" s="102" t="str">
        <f>IF(SUMPRODUCT(--ISNUMBER(SEARCH({" hoy ","horas","tiempo limitado","antes de que","se acab","se agot","finalic","última oportunidad","oportunidad única","relámpago","express","no esperes","no volver","no parpadees"},AG127)))&gt;0,"Sí","No")</f>
        <v>No</v>
      </c>
      <c r="AL127" s="102" t="str">
        <f t="shared" si="43"/>
        <v>Descuento sin tiempo límite</v>
      </c>
      <c r="AM127" s="102" t="str">
        <f>IF(SUMPRODUCT(--ISNUMBER(SEARCH({"0","1","2","3","4","5","6","7","8","9","favorit","maquillaje","piel","cabello","productos","belleza","regalo"},E127)))&gt;0,"Sí","No")</f>
        <v>Sí</v>
      </c>
      <c r="AN127" s="102" t="str">
        <f>IF(SUMPRODUCT(--ISNUMBER(SEARCH({"lo que tenemos","estas ofertas","algo especial","ofertas únicas","que preparamos","no te quedes","echa un vistazo"},F127)))&gt;0,"Sí","No")</f>
        <v>No</v>
      </c>
      <c r="AO127" s="102">
        <f t="shared" si="44"/>
        <v>56</v>
      </c>
      <c r="AP127" s="102">
        <f t="shared" si="45"/>
        <v>8</v>
      </c>
      <c r="AQ127" s="102">
        <f>SUMPRODUCT(LEN(E127)-LEN(SUBSTITUTE(E127,{"!","¡","?","¿",":",",",".","%","·","-",";"},"")))</f>
        <v>3</v>
      </c>
      <c r="AR127" s="102" t="str">
        <f t="shared" si="46"/>
        <v>Sí</v>
      </c>
      <c r="AS127" s="102" t="str">
        <f t="shared" si="47"/>
        <v>No</v>
      </c>
      <c r="AT127" s="102" t="str">
        <f>IF(SUMPRODUCT(--ISNUMBER(FIND({"0","1","2","3","4","5","6","7","8","9"},E127)))&gt;0,"Con cifra concreta",IF(OR(ISNUMBER(FIND("?",E127)),ISNUMBER(FIND("¿",E127))),"Pregunta abierta",IF(SUMPRODUCT(--ISNUMBER(SEARCH({" hoy ","horas","tiempo limitado","antes de que","se acab","se agot","finalic","última oportunidad","oportunidad única","relámpago","express","no esperes","no volver","no parpadees"," ya ","últimas horas","últimas unidades"," ahora "},AF127)))&gt;0,"Solo urgencia, sin cifra",IF(SUMPRODUCT(--ISNUMBER(SEARCH({"recompensa","sorpresa","regalo","lealtad","detalle","gracias","pensamos en ti","para ti"},E127)))&gt;0,"Recompensa o sorpresa","Otro: beneficio o novedad"))))</f>
        <v>Recompensa o sorpresa</v>
      </c>
    </row>
    <row r="128" spans="1:46" x14ac:dyDescent="0.2">
      <c r="A128" s="104" t="s">
        <v>995</v>
      </c>
      <c r="B128" s="104" t="s">
        <v>277</v>
      </c>
      <c r="C128" s="104" t="s">
        <v>944</v>
      </c>
      <c r="D128" s="104" t="s">
        <v>794</v>
      </c>
      <c r="E128" s="104" t="s">
        <v>469</v>
      </c>
      <c r="F128" s="104" t="s">
        <v>470</v>
      </c>
      <c r="G128" s="105">
        <v>356291</v>
      </c>
      <c r="H128" s="105">
        <v>149021</v>
      </c>
      <c r="I128" s="105">
        <v>35133</v>
      </c>
      <c r="J128" s="106">
        <v>2.4700000000000002</v>
      </c>
      <c r="K128" s="106">
        <v>2.95</v>
      </c>
      <c r="L128" s="107">
        <v>33658.9</v>
      </c>
      <c r="M128" s="108">
        <f t="shared" si="24"/>
        <v>41.825642522544776</v>
      </c>
      <c r="N128" s="108">
        <f t="shared" si="25"/>
        <v>9.8607598844764528</v>
      </c>
      <c r="O128" s="108">
        <f t="shared" si="26"/>
        <v>23.575871856986598</v>
      </c>
      <c r="P128" s="108">
        <f t="shared" si="27"/>
        <v>94.470250441352718</v>
      </c>
      <c r="Q128" s="108">
        <f t="shared" si="28"/>
        <v>29.233022524783024</v>
      </c>
      <c r="R128" s="108">
        <f t="shared" si="29"/>
        <v>30.71114383300629</v>
      </c>
      <c r="S128" s="101">
        <f t="shared" si="30"/>
        <v>45943</v>
      </c>
      <c r="T128" s="102" t="str">
        <f t="shared" si="31"/>
        <v>Octubre</v>
      </c>
      <c r="U128" s="102" t="str">
        <f t="shared" si="32"/>
        <v>Lunes</v>
      </c>
      <c r="V128" s="102">
        <f t="shared" si="33"/>
        <v>12</v>
      </c>
      <c r="W128" s="102" t="str">
        <f t="shared" si="34"/>
        <v>Resto del mes</v>
      </c>
      <c r="X128" s="102">
        <f t="shared" si="35"/>
        <v>23</v>
      </c>
      <c r="Y128" s="102" t="str">
        <f t="shared" si="36"/>
        <v>Sí</v>
      </c>
      <c r="Z128" s="102" t="str">
        <f>CHOOSE(MATCH(B128,{"Customer Appreciation","Exclusive Offers","Flash Sale","Holiday Discounts","New Product Launch","Newsletter"},0),"Fidelizar","Vender","Vender","Vender","Lanzar","Educar")</f>
        <v>Vender</v>
      </c>
      <c r="AA128" s="102" t="str">
        <f t="shared" si="37"/>
        <v>300 a 400 mil</v>
      </c>
      <c r="AB128" s="102">
        <f>COUNTIFS($E$5:$E$493,E128,$S$5:$S$493,"&lt;"&amp;S128)+COUNTIFS($E$5:E128,E128,$S$5:S128,S128)</f>
        <v>12</v>
      </c>
      <c r="AC128" s="102">
        <f t="shared" si="38"/>
        <v>20</v>
      </c>
      <c r="AD128" s="102" t="str">
        <f t="shared" si="39"/>
        <v>Medio</v>
      </c>
      <c r="AE128" s="103">
        <f t="shared" si="40"/>
        <v>12.592619997761751</v>
      </c>
      <c r="AF128" s="102" t="str">
        <f t="shared" si="41"/>
        <v xml:space="preserve">  celebra con nosotros  descuentos festivos para regalar </v>
      </c>
      <c r="AG128" s="102" t="str">
        <f t="shared" si="42"/>
        <v xml:space="preserve"> regalos perfectos y ofertas que te encantarán   descubre más  </v>
      </c>
      <c r="AH128" s="102" t="str">
        <f>IF(SUMPRODUCT(--(LEFT(IF(LEFT(LOWER(E128),1)="¡",MID(LOWER(E128),2,300),LOWER(E128)),LEN({"actualizaci","el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128" s="102" t="str">
        <f>IF(OR(SUMPRODUCT(--ISNUMBER(SEARCH({"descuento","oferta","ahorr","precio"," sale ","flash","deals"},AF128)))&gt;0,SUMPRODUCT(--ISNUMBER(SEARCH({"descuento","oferta","ahorr","precio"," sale ","flash","deals"},AG128)))&gt;0),"Sí","No")</f>
        <v>Sí</v>
      </c>
      <c r="AJ128" s="102" t="str">
        <f>IF(SUMPRODUCT(--ISNUMBER(SEARCH({" hoy ","horas","tiempo limitado","antes de que","se acab","se agot","finalic","última oportunidad","oportunidad única","relámpago","express","no esperes","no volver","no parpadees"},AF128)))&gt;0,"Sí","No")</f>
        <v>No</v>
      </c>
      <c r="AK128" s="102" t="str">
        <f>IF(SUMPRODUCT(--ISNUMBER(SEARCH({" hoy ","horas","tiempo limitado","antes de que","se acab","se agot","finalic","última oportunidad","oportunidad única","relámpago","express","no esperes","no volver","no parpadees"},AG128)))&gt;0,"Sí","No")</f>
        <v>No</v>
      </c>
      <c r="AL128" s="102" t="str">
        <f t="shared" si="43"/>
        <v>Descuento sin tiempo límite</v>
      </c>
      <c r="AM128" s="102" t="str">
        <f>IF(SUMPRODUCT(--ISNUMBER(SEARCH({"0","1","2","3","4","5","6","7","8","9","favorit","maquillaje","piel","cabello","productos","belleza","regalo"},E128)))&gt;0,"Sí","No")</f>
        <v>No</v>
      </c>
      <c r="AN128" s="102" t="str">
        <f>IF(SUMPRODUCT(--ISNUMBER(SEARCH({"lo que tenemos","estas ofertas","algo especial","ofertas únicas","que preparamos","no te quedes","echa un vistazo"},F128)))&gt;0,"Sí","No")</f>
        <v>No</v>
      </c>
      <c r="AO128" s="102">
        <f t="shared" si="44"/>
        <v>55</v>
      </c>
      <c r="AP128" s="102">
        <f t="shared" si="45"/>
        <v>7</v>
      </c>
      <c r="AQ128" s="102">
        <f>SUMPRODUCT(LEN(E128)-LEN(SUBSTITUTE(E128,{"!","¡","?","¿",":",",",".","%","·","-",";"},"")))</f>
        <v>2</v>
      </c>
      <c r="AR128" s="102" t="str">
        <f t="shared" si="46"/>
        <v>Sí</v>
      </c>
      <c r="AS128" s="102" t="str">
        <f t="shared" si="47"/>
        <v>No</v>
      </c>
      <c r="AT128" s="102" t="str">
        <f>IF(SUMPRODUCT(--ISNUMBER(FIND({"0","1","2","3","4","5","6","7","8","9"},E128)))&gt;0,"Con cifra concreta",IF(OR(ISNUMBER(FIND("?",E128)),ISNUMBER(FIND("¿",E128))),"Pregunta abierta",IF(SUMPRODUCT(--ISNUMBER(SEARCH({" hoy ","horas","tiempo limitado","antes de que","se acab","se agot","finalic","última oportunidad","oportunidad única","relámpago","express","no esperes","no volver","no parpadees"," ya ","últimas horas","últimas unidades"," ahora "},AF128)))&gt;0,"Solo urgencia, sin cifra",IF(SUMPRODUCT(--ISNUMBER(SEARCH({"recompensa","sorpresa","regalo","lealtad","detalle","gracias","pensamos en ti","para ti"},E128)))&gt;0,"Recompensa o sorpresa","Otro: beneficio o novedad"))))</f>
        <v>Otro: beneficio o novedad</v>
      </c>
    </row>
    <row r="129" spans="1:46" x14ac:dyDescent="0.2">
      <c r="A129" s="96" t="s">
        <v>996</v>
      </c>
      <c r="B129" s="96" t="s">
        <v>277</v>
      </c>
      <c r="C129" s="96" t="s">
        <v>889</v>
      </c>
      <c r="D129" s="96" t="s">
        <v>761</v>
      </c>
      <c r="E129" s="96" t="s">
        <v>896</v>
      </c>
      <c r="F129" s="96" t="s">
        <v>470</v>
      </c>
      <c r="G129" s="97">
        <v>114038</v>
      </c>
      <c r="H129" s="97">
        <v>21223</v>
      </c>
      <c r="I129" s="97">
        <v>16281</v>
      </c>
      <c r="J129" s="98">
        <v>4.21</v>
      </c>
      <c r="K129" s="98">
        <v>0.75</v>
      </c>
      <c r="L129" s="99">
        <v>9198.9599999999991</v>
      </c>
      <c r="M129" s="100">
        <f t="shared" si="24"/>
        <v>18.610463178940353</v>
      </c>
      <c r="N129" s="100">
        <f t="shared" si="25"/>
        <v>14.276820007365965</v>
      </c>
      <c r="O129" s="100">
        <f t="shared" si="26"/>
        <v>76.713942420958389</v>
      </c>
      <c r="P129" s="100">
        <f t="shared" si="27"/>
        <v>80.665742997948044</v>
      </c>
      <c r="Q129" s="100">
        <f t="shared" si="28"/>
        <v>19.100010084099871</v>
      </c>
      <c r="R129" s="100">
        <f t="shared" si="29"/>
        <v>30.71114383300629</v>
      </c>
      <c r="S129" s="101">
        <f t="shared" si="30"/>
        <v>45908</v>
      </c>
      <c r="T129" s="102" t="str">
        <f t="shared" si="31"/>
        <v>Septiembre</v>
      </c>
      <c r="U129" s="102" t="str">
        <f t="shared" si="32"/>
        <v>Lunes</v>
      </c>
      <c r="V129" s="102">
        <f t="shared" si="33"/>
        <v>10</v>
      </c>
      <c r="W129" s="102" t="str">
        <f t="shared" si="34"/>
        <v>Resto del mes</v>
      </c>
      <c r="X129" s="102">
        <f t="shared" si="35"/>
        <v>28</v>
      </c>
      <c r="Y129" s="102" t="str">
        <f t="shared" si="36"/>
        <v>Sí</v>
      </c>
      <c r="Z129" s="102" t="str">
        <f>CHOOSE(MATCH(B129,{"Customer Appreciation","Exclusive Offers","Flash Sale","Holiday Discounts","New Product Launch","Newsletter"},0),"Fidelizar","Vender","Vender","Vender","Lanzar","Educar")</f>
        <v>Vender</v>
      </c>
      <c r="AA129" s="102" t="str">
        <f t="shared" si="37"/>
        <v>100 a 200 mil</v>
      </c>
      <c r="AB129" s="102">
        <f>COUNTIFS($E$5:$E$493,E129,$S$5:$S$493,"&lt;"&amp;S129)+COUNTIFS($E$5:E129,E129,$S$5:S129,S129)</f>
        <v>2</v>
      </c>
      <c r="AC129" s="102">
        <f t="shared" si="38"/>
        <v>5</v>
      </c>
      <c r="AD129" s="102" t="str">
        <f t="shared" si="39"/>
        <v/>
      </c>
      <c r="AE129" s="103">
        <f t="shared" si="40"/>
        <v>-0.48954690515951782</v>
      </c>
      <c r="AF129" s="102" t="str">
        <f t="shared" si="41"/>
        <v xml:space="preserve">  es hora de celebrar  descuentos festivos  l'oréal para ti </v>
      </c>
      <c r="AG129" s="102" t="str">
        <f t="shared" si="42"/>
        <v xml:space="preserve"> regalos perfectos y ofertas que te encantarán   descubre más  </v>
      </c>
      <c r="AH129" s="102" t="str">
        <f>IF(SUMPRODUCT(--(LEFT(IF(LEFT(LOWER(E129),1)="¡",MID(LOWER(E129),2,300),LOWER(E129)),LEN({"actualizaci","el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Sí</v>
      </c>
      <c r="AI129" s="102" t="str">
        <f>IF(OR(SUMPRODUCT(--ISNUMBER(SEARCH({"descuento","oferta","ahorr","precio"," sale ","flash","deals"},AF129)))&gt;0,SUMPRODUCT(--ISNUMBER(SEARCH({"descuento","oferta","ahorr","precio"," sale ","flash","deals"},AG129)))&gt;0),"Sí","No")</f>
        <v>Sí</v>
      </c>
      <c r="AJ129" s="102" t="str">
        <f>IF(SUMPRODUCT(--ISNUMBER(SEARCH({" hoy ","horas","tiempo limitado","antes de que","se acab","se agot","finalic","última oportunidad","oportunidad única","relámpago","express","no esperes","no volver","no parpadees"},AF129)))&gt;0,"Sí","No")</f>
        <v>No</v>
      </c>
      <c r="AK129" s="102" t="str">
        <f>IF(SUMPRODUCT(--ISNUMBER(SEARCH({" hoy ","horas","tiempo limitado","antes de que","se acab","se agot","finalic","última oportunidad","oportunidad única","relámpago","express","no esperes","no volver","no parpadees"},AG129)))&gt;0,"Sí","No")</f>
        <v>No</v>
      </c>
      <c r="AL129" s="102" t="str">
        <f t="shared" si="43"/>
        <v>Descuento sin tiempo límite</v>
      </c>
      <c r="AM129" s="102" t="str">
        <f>IF(SUMPRODUCT(--ISNUMBER(SEARCH({"0","1","2","3","4","5","6","7","8","9","favorit","maquillaje","piel","cabello","productos","belleza","regalo"},E129)))&gt;0,"Sí","No")</f>
        <v>No</v>
      </c>
      <c r="AN129" s="102" t="str">
        <f>IF(SUMPRODUCT(--ISNUMBER(SEARCH({"lo que tenemos","estas ofertas","algo especial","ofertas únicas","que preparamos","no te quedes","echa un vistazo"},F129)))&gt;0,"Sí","No")</f>
        <v>No</v>
      </c>
      <c r="AO129" s="102">
        <f t="shared" si="44"/>
        <v>58</v>
      </c>
      <c r="AP129" s="102">
        <f t="shared" si="45"/>
        <v>9</v>
      </c>
      <c r="AQ129" s="102">
        <f>SUMPRODUCT(LEN(E129)-LEN(SUBSTITUTE(E129,{"!","¡","?","¿",":",",",".","%","·","-",";"},"")))</f>
        <v>3</v>
      </c>
      <c r="AR129" s="102" t="str">
        <f t="shared" si="46"/>
        <v>Sí</v>
      </c>
      <c r="AS129" s="102" t="str">
        <f t="shared" si="47"/>
        <v>No</v>
      </c>
      <c r="AT129" s="102" t="str">
        <f>IF(SUMPRODUCT(--ISNUMBER(FIND({"0","1","2","3","4","5","6","7","8","9"},E129)))&gt;0,"Con cifra concreta",IF(OR(ISNUMBER(FIND("?",E129)),ISNUMBER(FIND("¿",E129))),"Pregunta abierta",IF(SUMPRODUCT(--ISNUMBER(SEARCH({" hoy ","horas","tiempo limitado","antes de que","se acab","se agot","finalic","última oportunidad","oportunidad única","relámpago","express","no esperes","no volver","no parpadees"," ya ","últimas horas","últimas unidades"," ahora "},AF129)))&gt;0,"Solo urgencia, sin cifra",IF(SUMPRODUCT(--ISNUMBER(SEARCH({"recompensa","sorpresa","regalo","lealtad","detalle","gracias","pensamos en ti","para ti"},E129)))&gt;0,"Recompensa o sorpresa","Otro: beneficio o novedad"))))</f>
        <v>Recompensa o sorpresa</v>
      </c>
    </row>
    <row r="130" spans="1:46" x14ac:dyDescent="0.2">
      <c r="A130" s="104" t="s">
        <v>997</v>
      </c>
      <c r="B130" s="104" t="s">
        <v>274</v>
      </c>
      <c r="C130" s="104" t="s">
        <v>891</v>
      </c>
      <c r="D130" s="104" t="s">
        <v>786</v>
      </c>
      <c r="E130" s="104" t="s">
        <v>948</v>
      </c>
      <c r="F130" s="104" t="s">
        <v>480</v>
      </c>
      <c r="G130" s="105">
        <v>224135</v>
      </c>
      <c r="H130" s="105">
        <v>59218</v>
      </c>
      <c r="I130" s="105">
        <v>7080</v>
      </c>
      <c r="J130" s="106">
        <v>0.53</v>
      </c>
      <c r="K130" s="106">
        <v>1.9</v>
      </c>
      <c r="L130" s="107">
        <v>11207.21</v>
      </c>
      <c r="M130" s="108">
        <f t="shared" si="24"/>
        <v>26.420683962790282</v>
      </c>
      <c r="N130" s="108">
        <f t="shared" si="25"/>
        <v>3.1588105382916543</v>
      </c>
      <c r="O130" s="108">
        <f t="shared" si="26"/>
        <v>11.95582424262893</v>
      </c>
      <c r="P130" s="108">
        <f t="shared" si="27"/>
        <v>50.002052334530525</v>
      </c>
      <c r="Q130" s="108">
        <f t="shared" si="28"/>
        <v>15.012382065107001</v>
      </c>
      <c r="R130" s="108">
        <f t="shared" si="29"/>
        <v>31.113650744455075</v>
      </c>
      <c r="S130" s="101">
        <f t="shared" si="30"/>
        <v>45888</v>
      </c>
      <c r="T130" s="102" t="str">
        <f t="shared" si="31"/>
        <v>Agosto</v>
      </c>
      <c r="U130" s="102" t="str">
        <f t="shared" si="32"/>
        <v>Martes</v>
      </c>
      <c r="V130" s="102">
        <f t="shared" si="33"/>
        <v>15</v>
      </c>
      <c r="W130" s="102" t="str">
        <f t="shared" si="34"/>
        <v>Días después del pago</v>
      </c>
      <c r="X130" s="102">
        <f t="shared" si="35"/>
        <v>29</v>
      </c>
      <c r="Y130" s="102" t="str">
        <f t="shared" si="36"/>
        <v>Sí</v>
      </c>
      <c r="Z130" s="102" t="str">
        <f>CHOOSE(MATCH(B130,{"Customer Appreciation","Exclusive Offers","Flash Sale","Holiday Discounts","New Product Launch","Newsletter"},0),"Fidelizar","Vender","Vender","Vender","Lanzar","Educar")</f>
        <v>Fidelizar</v>
      </c>
      <c r="AA130" s="102" t="str">
        <f t="shared" si="37"/>
        <v>200 a 300 mil</v>
      </c>
      <c r="AB130" s="102">
        <f>COUNTIFS($E$5:$E$493,E130,$S$5:$S$493,"&lt;"&amp;S130)+COUNTIFS($E$5:E130,E130,$S$5:S130,S130)</f>
        <v>1</v>
      </c>
      <c r="AC130" s="102">
        <f t="shared" si="38"/>
        <v>4</v>
      </c>
      <c r="AD130" s="102" t="str">
        <f t="shared" si="39"/>
        <v/>
      </c>
      <c r="AE130" s="103">
        <f t="shared" si="40"/>
        <v>11.40830189768328</v>
      </c>
      <c r="AF130" s="102" t="str">
        <f t="shared" si="41"/>
        <v xml:space="preserve">  un pequeño detalle para agradecerte tu lealtad  </v>
      </c>
      <c r="AG130" s="102" t="str">
        <f t="shared" si="42"/>
        <v xml:space="preserve"> echa un vistazo a lo que tenemos para ti   te va a encantar  </v>
      </c>
      <c r="AH130" s="102" t="str">
        <f>IF(SUMPRODUCT(--(LEFT(IF(LEFT(LOWER(E130),1)="¡",MID(LOWER(E130),2,300),LOWER(E130)),LEN({"actualizaci","el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Sí</v>
      </c>
      <c r="AI130" s="102" t="str">
        <f>IF(OR(SUMPRODUCT(--ISNUMBER(SEARCH({"descuento","oferta","ahorr","precio"," sale ","flash","deals"},AF130)))&gt;0,SUMPRODUCT(--ISNUMBER(SEARCH({"descuento","oferta","ahorr","precio"," sale ","flash","deals"},AG130)))&gt;0),"Sí","No")</f>
        <v>No</v>
      </c>
      <c r="AJ130" s="102" t="str">
        <f>IF(SUMPRODUCT(--ISNUMBER(SEARCH({" hoy ","horas","tiempo limitado","antes de que","se acab","se agot","finalic","última oportunidad","oportunidad única","relámpago","express","no esperes","no volver","no parpadees"},AF130)))&gt;0,"Sí","No")</f>
        <v>No</v>
      </c>
      <c r="AK130" s="102" t="str">
        <f>IF(SUMPRODUCT(--ISNUMBER(SEARCH({" hoy ","horas","tiempo limitado","antes de que","se acab","se agot","finalic","última oportunidad","oportunidad única","relámpago","express","no esperes","no volver","no parpadees"},AG130)))&gt;0,"Sí","No")</f>
        <v>No</v>
      </c>
      <c r="AL130" s="102" t="str">
        <f t="shared" si="43"/>
        <v>Sin descuento</v>
      </c>
      <c r="AM130" s="102" t="str">
        <f>IF(SUMPRODUCT(--ISNUMBER(SEARCH({"0","1","2","3","4","5","6","7","8","9","favorit","maquillaje","piel","cabello","productos","belleza","regalo"},E130)))&gt;0,"Sí","No")</f>
        <v>No</v>
      </c>
      <c r="AN130" s="102" t="str">
        <f>IF(SUMPRODUCT(--ISNUMBER(SEARCH({"lo que tenemos","estas ofertas","algo especial","ofertas únicas","que preparamos","no te quedes","echa un vistazo"},F130)))&gt;0,"Sí","No")</f>
        <v>Sí</v>
      </c>
      <c r="AO130" s="102">
        <f t="shared" si="44"/>
        <v>48</v>
      </c>
      <c r="AP130" s="102">
        <f t="shared" si="45"/>
        <v>7</v>
      </c>
      <c r="AQ130" s="102">
        <f>SUMPRODUCT(LEN(E130)-LEN(SUBSTITUTE(E130,{"!","¡","?","¿",":",",",".","%","·","-",";"},"")))</f>
        <v>2</v>
      </c>
      <c r="AR130" s="102" t="str">
        <f t="shared" si="46"/>
        <v>Sí</v>
      </c>
      <c r="AS130" s="102" t="str">
        <f t="shared" si="47"/>
        <v>No</v>
      </c>
      <c r="AT130" s="102" t="str">
        <f>IF(SUMPRODUCT(--ISNUMBER(FIND({"0","1","2","3","4","5","6","7","8","9"},E130)))&gt;0,"Con cifra concreta",IF(OR(ISNUMBER(FIND("?",E130)),ISNUMBER(FIND("¿",E130))),"Pregunta abierta",IF(SUMPRODUCT(--ISNUMBER(SEARCH({" hoy ","horas","tiempo limitado","antes de que","se acab","se agot","finalic","última oportunidad","oportunidad única","relámpago","express","no esperes","no volver","no parpadees"," ya ","últimas horas","últimas unidades"," ahora "},AF130)))&gt;0,"Solo urgencia, sin cifra",IF(SUMPRODUCT(--ISNUMBER(SEARCH({"recompensa","sorpresa","regalo","lealtad","detalle","gracias","pensamos en ti","para ti"},E130)))&gt;0,"Recompensa o sorpresa","Otro: beneficio o novedad"))))</f>
        <v>Recompensa o sorpresa</v>
      </c>
    </row>
    <row r="131" spans="1:46" x14ac:dyDescent="0.2">
      <c r="A131" s="96" t="s">
        <v>998</v>
      </c>
      <c r="B131" s="96" t="s">
        <v>274</v>
      </c>
      <c r="C131" s="96" t="s">
        <v>915</v>
      </c>
      <c r="D131" s="96" t="s">
        <v>769</v>
      </c>
      <c r="E131" s="96" t="s">
        <v>999</v>
      </c>
      <c r="F131" s="96" t="s">
        <v>1000</v>
      </c>
      <c r="G131" s="97">
        <v>183777</v>
      </c>
      <c r="H131" s="97">
        <v>16723</v>
      </c>
      <c r="I131" s="97">
        <v>4283</v>
      </c>
      <c r="J131" s="98">
        <v>2.82</v>
      </c>
      <c r="K131" s="98">
        <v>0.53</v>
      </c>
      <c r="L131" s="99">
        <v>62907.38</v>
      </c>
      <c r="M131" s="100">
        <f t="shared" si="24"/>
        <v>9.0996152946233764</v>
      </c>
      <c r="N131" s="100">
        <f t="shared" si="25"/>
        <v>2.3305419067674409</v>
      </c>
      <c r="O131" s="100">
        <f t="shared" si="26"/>
        <v>25.611433355259223</v>
      </c>
      <c r="P131" s="100">
        <f t="shared" si="27"/>
        <v>342.30279088242816</v>
      </c>
      <c r="Q131" s="100">
        <f t="shared" si="28"/>
        <v>21.495532447877647</v>
      </c>
      <c r="R131" s="100">
        <f t="shared" si="29"/>
        <v>31.113650744455075</v>
      </c>
      <c r="S131" s="101">
        <f t="shared" si="30"/>
        <v>45954</v>
      </c>
      <c r="T131" s="102" t="str">
        <f t="shared" si="31"/>
        <v>Octubre</v>
      </c>
      <c r="U131" s="102" t="str">
        <f t="shared" si="32"/>
        <v>Viernes</v>
      </c>
      <c r="V131" s="102">
        <f t="shared" si="33"/>
        <v>13</v>
      </c>
      <c r="W131" s="102" t="str">
        <f t="shared" si="34"/>
        <v>Resto del mes</v>
      </c>
      <c r="X131" s="102">
        <f t="shared" si="35"/>
        <v>29</v>
      </c>
      <c r="Y131" s="102" t="str">
        <f t="shared" si="36"/>
        <v>Sí</v>
      </c>
      <c r="Z131" s="102" t="str">
        <f>CHOOSE(MATCH(B131,{"Customer Appreciation","Exclusive Offers","Flash Sale","Holiday Discounts","New Product Launch","Newsletter"},0),"Fidelizar","Vender","Vender","Vender","Lanzar","Educar")</f>
        <v>Fidelizar</v>
      </c>
      <c r="AA131" s="102" t="str">
        <f t="shared" si="37"/>
        <v>100 a 200 mil</v>
      </c>
      <c r="AB131" s="102">
        <f>COUNTIFS($E$5:$E$493,E131,$S$5:$S$493,"&lt;"&amp;S131)+COUNTIFS($E$5:E131,E131,$S$5:S131,S131)</f>
        <v>5</v>
      </c>
      <c r="AC131" s="102">
        <f t="shared" si="38"/>
        <v>6</v>
      </c>
      <c r="AD131" s="102" t="str">
        <f t="shared" si="39"/>
        <v/>
      </c>
      <c r="AE131" s="103">
        <f t="shared" si="40"/>
        <v>-12.39591715325427</v>
      </c>
      <c r="AF131" s="102" t="str">
        <f t="shared" si="41"/>
        <v xml:space="preserve">  gracias por elegir l'oréal  tu belleza  nuestra inspiración </v>
      </c>
      <c r="AG131" s="102" t="str">
        <f t="shared" si="42"/>
        <v xml:space="preserve"> queremos celebrar tu preferencia con estas ofertas   descúbrelas  </v>
      </c>
      <c r="AH131" s="102" t="str">
        <f>IF(SUMPRODUCT(--(LEFT(IF(LEFT(LOWER(E131),1)="¡",MID(LOWER(E131),2,300),LOWER(E131)),LEN({"actualizaci","el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131" s="102" t="str">
        <f>IF(OR(SUMPRODUCT(--ISNUMBER(SEARCH({"descuento","oferta","ahorr","precio"," sale ","flash","deals"},AF131)))&gt;0,SUMPRODUCT(--ISNUMBER(SEARCH({"descuento","oferta","ahorr","precio"," sale ","flash","deals"},AG131)))&gt;0),"Sí","No")</f>
        <v>Sí</v>
      </c>
      <c r="AJ131" s="102" t="str">
        <f>IF(SUMPRODUCT(--ISNUMBER(SEARCH({" hoy ","horas","tiempo limitado","antes de que","se acab","se agot","finalic","última oportunidad","oportunidad única","relámpago","express","no esperes","no volver","no parpadees"},AF131)))&gt;0,"Sí","No")</f>
        <v>No</v>
      </c>
      <c r="AK131" s="102" t="str">
        <f>IF(SUMPRODUCT(--ISNUMBER(SEARCH({" hoy ","horas","tiempo limitado","antes de que","se acab","se agot","finalic","última oportunidad","oportunidad única","relámpago","express","no esperes","no volver","no parpadees"},AG131)))&gt;0,"Sí","No")</f>
        <v>No</v>
      </c>
      <c r="AL131" s="102" t="str">
        <f t="shared" si="43"/>
        <v>Descuento sin tiempo límite</v>
      </c>
      <c r="AM131" s="102" t="str">
        <f>IF(SUMPRODUCT(--ISNUMBER(SEARCH({"0","1","2","3","4","5","6","7","8","9","favorit","maquillaje","piel","cabello","productos","belleza","regalo"},E131)))&gt;0,"Sí","No")</f>
        <v>Sí</v>
      </c>
      <c r="AN131" s="102" t="str">
        <f>IF(SUMPRODUCT(--ISNUMBER(SEARCH({"lo que tenemos","estas ofertas","algo especial","ofertas únicas","que preparamos","no te quedes","echa un vistazo"},F131)))&gt;0,"Sí","No")</f>
        <v>Sí</v>
      </c>
      <c r="AO131" s="102">
        <f t="shared" si="44"/>
        <v>60</v>
      </c>
      <c r="AP131" s="102">
        <f t="shared" si="45"/>
        <v>8</v>
      </c>
      <c r="AQ131" s="102">
        <f>SUMPRODUCT(LEN(E131)-LEN(SUBSTITUTE(E131,{"!","¡","?","¿",":",",",".","%","·","-",";"},"")))</f>
        <v>3</v>
      </c>
      <c r="AR131" s="102" t="str">
        <f t="shared" si="46"/>
        <v>Sí</v>
      </c>
      <c r="AS131" s="102" t="str">
        <f t="shared" si="47"/>
        <v>No</v>
      </c>
      <c r="AT131" s="102" t="str">
        <f>IF(SUMPRODUCT(--ISNUMBER(FIND({"0","1","2","3","4","5","6","7","8","9"},E131)))&gt;0,"Con cifra concreta",IF(OR(ISNUMBER(FIND("?",E131)),ISNUMBER(FIND("¿",E131))),"Pregunta abierta",IF(SUMPRODUCT(--ISNUMBER(SEARCH({" hoy ","horas","tiempo limitado","antes de que","se acab","se agot","finalic","última oportunidad","oportunidad única","relámpago","express","no esperes","no volver","no parpadees"," ya ","últimas horas","últimas unidades"," ahora "},AF131)))&gt;0,"Solo urgencia, sin cifra",IF(SUMPRODUCT(--ISNUMBER(SEARCH({"recompensa","sorpresa","regalo","lealtad","detalle","gracias","pensamos en ti","para ti"},E131)))&gt;0,"Recompensa o sorpresa","Otro: beneficio o novedad"))))</f>
        <v>Recompensa o sorpresa</v>
      </c>
    </row>
    <row r="132" spans="1:46" x14ac:dyDescent="0.2">
      <c r="A132" s="104" t="s">
        <v>1001</v>
      </c>
      <c r="B132" s="104" t="s">
        <v>277</v>
      </c>
      <c r="C132" s="104" t="s">
        <v>917</v>
      </c>
      <c r="D132" s="104" t="s">
        <v>774</v>
      </c>
      <c r="E132" s="104" t="s">
        <v>459</v>
      </c>
      <c r="F132" s="104" t="s">
        <v>460</v>
      </c>
      <c r="G132" s="105">
        <v>128433</v>
      </c>
      <c r="H132" s="105">
        <v>58197</v>
      </c>
      <c r="I132" s="105">
        <v>23024</v>
      </c>
      <c r="J132" s="106">
        <v>4.4000000000000004</v>
      </c>
      <c r="K132" s="106">
        <v>2.83</v>
      </c>
      <c r="L132" s="107">
        <v>74058.009999999995</v>
      </c>
      <c r="M132" s="108">
        <f t="shared" si="24"/>
        <v>45.313120459694936</v>
      </c>
      <c r="N132" s="108">
        <f t="shared" si="25"/>
        <v>17.9268568047153</v>
      </c>
      <c r="O132" s="108">
        <f t="shared" si="26"/>
        <v>39.562176744505727</v>
      </c>
      <c r="P132" s="108">
        <f t="shared" si="27"/>
        <v>576.6275801390608</v>
      </c>
      <c r="Q132" s="108">
        <f t="shared" si="28"/>
        <v>35.565837226891659</v>
      </c>
      <c r="R132" s="108">
        <f t="shared" si="29"/>
        <v>30.71114383300629</v>
      </c>
      <c r="S132" s="101">
        <f t="shared" si="30"/>
        <v>45916</v>
      </c>
      <c r="T132" s="102" t="str">
        <f t="shared" si="31"/>
        <v>Septiembre</v>
      </c>
      <c r="U132" s="102" t="str">
        <f t="shared" si="32"/>
        <v>Martes</v>
      </c>
      <c r="V132" s="102">
        <f t="shared" si="33"/>
        <v>11</v>
      </c>
      <c r="W132" s="102" t="str">
        <f t="shared" si="34"/>
        <v>Quincena</v>
      </c>
      <c r="X132" s="102">
        <f t="shared" si="35"/>
        <v>27</v>
      </c>
      <c r="Y132" s="102" t="str">
        <f t="shared" si="36"/>
        <v>Sí</v>
      </c>
      <c r="Z132" s="102" t="str">
        <f>CHOOSE(MATCH(B132,{"Customer Appreciation","Exclusive Offers","Flash Sale","Holiday Discounts","New Product Launch","Newsletter"},0),"Fidelizar","Vender","Vender","Vender","Lanzar","Educar")</f>
        <v>Vender</v>
      </c>
      <c r="AA132" s="102" t="str">
        <f t="shared" si="37"/>
        <v>100 a 200 mil</v>
      </c>
      <c r="AB132" s="102">
        <f>COUNTIFS($E$5:$E$493,E132,$S$5:$S$493,"&lt;"&amp;S132)+COUNTIFS($E$5:E132,E132,$S$5:S132,S132)</f>
        <v>4</v>
      </c>
      <c r="AC132" s="102">
        <f t="shared" si="38"/>
        <v>9</v>
      </c>
      <c r="AD132" s="102" t="str">
        <f t="shared" si="39"/>
        <v>Medio</v>
      </c>
      <c r="AE132" s="103">
        <f t="shared" si="40"/>
        <v>9.7472832328032766</v>
      </c>
      <c r="AF132" s="102" t="str">
        <f t="shared" si="41"/>
        <v xml:space="preserve">  aprovecha los descuentos  temporada de fiestas  beauty deals </v>
      </c>
      <c r="AG132" s="102" t="str">
        <f t="shared" si="42"/>
        <v xml:space="preserve"> tus productos favoritos con precios festivos   no te los pierdas  </v>
      </c>
      <c r="AH132" s="102" t="str">
        <f>IF(SUMPRODUCT(--(LEFT(IF(LEFT(LOWER(E132),1)="¡",MID(LOWER(E132),2,300),LOWER(E132)),LEN({"actualizaci","el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132" s="102" t="str">
        <f>IF(OR(SUMPRODUCT(--ISNUMBER(SEARCH({"descuento","oferta","ahorr","precio"," sale ","flash","deals"},AF132)))&gt;0,SUMPRODUCT(--ISNUMBER(SEARCH({"descuento","oferta","ahorr","precio"," sale ","flash","deals"},AG132)))&gt;0),"Sí","No")</f>
        <v>Sí</v>
      </c>
      <c r="AJ132" s="102" t="str">
        <f>IF(SUMPRODUCT(--ISNUMBER(SEARCH({" hoy ","horas","tiempo limitado","antes de que","se acab","se agot","finalic","última oportunidad","oportunidad única","relámpago","express","no esperes","no volver","no parpadees"},AF132)))&gt;0,"Sí","No")</f>
        <v>No</v>
      </c>
      <c r="AK132" s="102" t="str">
        <f>IF(SUMPRODUCT(--ISNUMBER(SEARCH({" hoy ","horas","tiempo limitado","antes de que","se acab","se agot","finalic","última oportunidad","oportunidad única","relámpago","express","no esperes","no volver","no parpadees"},AG132)))&gt;0,"Sí","No")</f>
        <v>No</v>
      </c>
      <c r="AL132" s="102" t="str">
        <f t="shared" si="43"/>
        <v>Descuento sin tiempo límite</v>
      </c>
      <c r="AM132" s="102" t="str">
        <f>IF(SUMPRODUCT(--ISNUMBER(SEARCH({"0","1","2","3","4","5","6","7","8","9","favorit","maquillaje","piel","cabello","productos","belleza","regalo"},E132)))&gt;0,"Sí","No")</f>
        <v>No</v>
      </c>
      <c r="AN132" s="102" t="str">
        <f>IF(SUMPRODUCT(--ISNUMBER(SEARCH({"lo que tenemos","estas ofertas","algo especial","ofertas únicas","que preparamos","no te quedes","echa un vistazo"},F132)))&gt;0,"Sí","No")</f>
        <v>No</v>
      </c>
      <c r="AO132" s="102">
        <f t="shared" si="44"/>
        <v>61</v>
      </c>
      <c r="AP132" s="102">
        <f t="shared" si="45"/>
        <v>8</v>
      </c>
      <c r="AQ132" s="102">
        <f>SUMPRODUCT(LEN(E132)-LEN(SUBSTITUTE(E132,{"!","¡","?","¿",":",",",".","%","·","-",";"},"")))</f>
        <v>3</v>
      </c>
      <c r="AR132" s="102" t="str">
        <f t="shared" si="46"/>
        <v>No</v>
      </c>
      <c r="AS132" s="102" t="str">
        <f t="shared" si="47"/>
        <v>No</v>
      </c>
      <c r="AT132" s="102" t="str">
        <f>IF(SUMPRODUCT(--ISNUMBER(FIND({"0","1","2","3","4","5","6","7","8","9"},E132)))&gt;0,"Con cifra concreta",IF(OR(ISNUMBER(FIND("?",E132)),ISNUMBER(FIND("¿",E132))),"Pregunta abierta",IF(SUMPRODUCT(--ISNUMBER(SEARCH({" hoy ","horas","tiempo limitado","antes de que","se acab","se agot","finalic","última oportunidad","oportunidad única","relámpago","express","no esperes","no volver","no parpadees"," ya ","últimas horas","últimas unidades"," ahora "},AF132)))&gt;0,"Solo urgencia, sin cifra",IF(SUMPRODUCT(--ISNUMBER(SEARCH({"recompensa","sorpresa","regalo","lealtad","detalle","gracias","pensamos en ti","para ti"},E132)))&gt;0,"Recompensa o sorpresa","Otro: beneficio o novedad"))))</f>
        <v>Otro: beneficio o novedad</v>
      </c>
    </row>
    <row r="133" spans="1:46" x14ac:dyDescent="0.2">
      <c r="A133" s="96" t="s">
        <v>1002</v>
      </c>
      <c r="B133" s="96" t="s">
        <v>275</v>
      </c>
      <c r="C133" s="96" t="s">
        <v>923</v>
      </c>
      <c r="D133" s="96" t="s">
        <v>729</v>
      </c>
      <c r="E133" s="96" t="s">
        <v>455</v>
      </c>
      <c r="F133" s="96" t="s">
        <v>456</v>
      </c>
      <c r="G133" s="97">
        <v>140757</v>
      </c>
      <c r="H133" s="97">
        <v>58778</v>
      </c>
      <c r="I133" s="97">
        <v>22266</v>
      </c>
      <c r="J133" s="98">
        <v>1.01</v>
      </c>
      <c r="K133" s="98">
        <v>0.47</v>
      </c>
      <c r="L133" s="99">
        <v>55675.97</v>
      </c>
      <c r="M133" s="100">
        <f t="shared" ref="M133:M196" si="48">IFERROR(H133/G133*100,"")</f>
        <v>41.758491584787969</v>
      </c>
      <c r="N133" s="100">
        <f t="shared" ref="N133:N196" si="49">IFERROR(I133/G133*100,"")</f>
        <v>15.818751465291248</v>
      </c>
      <c r="O133" s="100">
        <f t="shared" ref="O133:O196" si="50">IFERROR(I133/H133*100,"")</f>
        <v>37.881520296709652</v>
      </c>
      <c r="P133" s="100">
        <f t="shared" ref="P133:P196" si="51">IFERROR(L133/G133*1000,"")</f>
        <v>395.54672236549516</v>
      </c>
      <c r="Q133" s="100">
        <f t="shared" ref="Q133:Q196" si="52">AVERAGEIF($E$5:$E$493,$E133,$M$5:$M$493)</f>
        <v>38.720231784441999</v>
      </c>
      <c r="R133" s="100">
        <f t="shared" ref="R133:R196" si="53">AVERAGEIF($B$5:$B$493,$B133,$M$5:$M$493)</f>
        <v>27.021447627328243</v>
      </c>
      <c r="S133" s="101">
        <f t="shared" ref="S133:S196" si="54">DATEVALUE(C133)</f>
        <v>45873</v>
      </c>
      <c r="T133" s="102" t="str">
        <f t="shared" ref="T133:T196" si="55">CHOOSE(MONTH(S133)-7,"Agosto","Septiembre","Octubre")</f>
        <v>Agosto</v>
      </c>
      <c r="U133" s="102" t="str">
        <f t="shared" ref="U133:U196" si="56">CHOOSE(WEEKDAY(S133,2),"Lunes","Martes","Miércoles","Jueves","Viernes","Sábado","Domingo")</f>
        <v>Lunes</v>
      </c>
      <c r="V133" s="102">
        <f t="shared" ref="V133:V196" si="57">VALUE(LEFT(D133,2))</f>
        <v>10</v>
      </c>
      <c r="W133" s="102" t="str">
        <f t="shared" ref="W133:W196" si="58">IF(OR(AND(DAY(S133)&gt;=14,DAY(S133)&lt;=16),DAY(S133)&gt;=DAY(EOMONTH(S133,0))-1,DAY(S133)=1),"Quincena",IF(OR(AND(DAY(S133)&gt;=2,DAY(S133)&lt;=5),AND(DAY(S133)&gt;=17,DAY(S133)&lt;=20)),"Días después del pago","Resto del mes"))</f>
        <v>Días después del pago</v>
      </c>
      <c r="X133" s="102">
        <f t="shared" ref="X133:X196" si="59">COUNTIF($S$5:$S$493,S133)</f>
        <v>24</v>
      </c>
      <c r="Y133" s="102" t="str">
        <f t="shared" ref="Y133:Y196" si="60">IF(X133&gt;=20,"Sí","No")</f>
        <v>Sí</v>
      </c>
      <c r="Z133" s="102" t="str">
        <f>CHOOSE(MATCH(B133,{"Customer Appreciation","Exclusive Offers","Flash Sale","Holiday Discounts","New Product Launch","Newsletter"},0),"Fidelizar","Vender","Vender","Vender","Lanzar","Educar")</f>
        <v>Vender</v>
      </c>
      <c r="AA133" s="102" t="str">
        <f t="shared" ref="AA133:AA196" si="61">IF(G133&lt;100000,"Menos de 100 mil",IF(G133&lt;200000,"100 a 200 mil",IF(G133&lt;300000,"200 a 300 mil",IF(G133&lt;400000,"300 a 400 mil","Más de 400 mil"))))</f>
        <v>100 a 200 mil</v>
      </c>
      <c r="AB133" s="102">
        <f>COUNTIFS($E$5:$E$493,E133,$S$5:$S$493,"&lt;"&amp;S133)+COUNTIFS($E$5:E133,E133,$S$5:S133,S133)</f>
        <v>1</v>
      </c>
      <c r="AC133" s="102">
        <f t="shared" ref="AC133:AC196" si="62">COUNTIF($E$5:$E$493,E133)</f>
        <v>15</v>
      </c>
      <c r="AD133" s="102" t="str">
        <f t="shared" ref="AD133:AD196" si="63">IF(AC133&lt;8,"",IF(AB133&lt;=AC133/3,"Primer tercio",IF(AB133&gt;AC133*2/3,"Último tercio","Medio")))</f>
        <v>Primer tercio</v>
      </c>
      <c r="AE133" s="103">
        <f t="shared" ref="AE133:AE196" si="64">M133-Q133</f>
        <v>3.0382598003459691</v>
      </c>
      <c r="AF133" s="102" t="str">
        <f t="shared" ref="AF133:AF196" si="65">" "&amp;LOWER(SUBSTITUTE(SUBSTITUTE(SUBSTITUTE(SUBSTITUTE(SUBSTITUTE(SUBSTITUTE(SUBSTITUTE(E133,"¡"," "),"!"," "),"¿"," "),"?"," "),":"," "),","," "),"."," "))&amp;" "</f>
        <v xml:space="preserve">  solo un clic te separa de estas ofertas  l'oréal paris </v>
      </c>
      <c r="AG133" s="102" t="str">
        <f t="shared" ref="AG133:AG196" si="66">" "&amp;LOWER(SUBSTITUTE(SUBSTITUTE(SUBSTITUTE(SUBSTITUTE(SUBSTITUTE(SUBSTITUTE(SUBSTITUTE(F133,"¡"," "),"!"," "),"¿"," "),"?"," "),":"," "),","," "),"."," "))&amp;" "</f>
        <v xml:space="preserve"> descuentos irresistibles en productos seleccionados   últimas horas  </v>
      </c>
      <c r="AH133" s="102" t="str">
        <f>IF(SUMPRODUCT(--(LEFT(IF(LEFT(LOWER(E133),1)="¡",MID(LOWER(E133),2,300),LOWER(E133)),LEN({"actualizaci","el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133" s="102" t="str">
        <f>IF(OR(SUMPRODUCT(--ISNUMBER(SEARCH({"descuento","oferta","ahorr","precio"," sale ","flash","deals"},AF133)))&gt;0,SUMPRODUCT(--ISNUMBER(SEARCH({"descuento","oferta","ahorr","precio"," sale ","flash","deals"},AG133)))&gt;0),"Sí","No")</f>
        <v>Sí</v>
      </c>
      <c r="AJ133" s="102" t="str">
        <f>IF(SUMPRODUCT(--ISNUMBER(SEARCH({" hoy ","horas","tiempo limitado","antes de que","se acab","se agot","finalic","última oportunidad","oportunidad única","relámpago","express","no esperes","no volver","no parpadees"},AF133)))&gt;0,"Sí","No")</f>
        <v>No</v>
      </c>
      <c r="AK133" s="102" t="str">
        <f>IF(SUMPRODUCT(--ISNUMBER(SEARCH({" hoy ","horas","tiempo limitado","antes de que","se acab","se agot","finalic","última oportunidad","oportunidad única","relámpago","express","no esperes","no volver","no parpadees"},AG133)))&gt;0,"Sí","No")</f>
        <v>Sí</v>
      </c>
      <c r="AL133" s="102" t="str">
        <f t="shared" ref="AL133:AL196" si="67">IF(AI133="No","Sin descuento",IF(AJ133="Sí","Descuento con tiempo límite en el asunto",IF(AK133="Sí","Descuento con tiempo límite solo en el preheader","Descuento sin tiempo límite")))</f>
        <v>Descuento con tiempo límite solo en el preheader</v>
      </c>
      <c r="AM133" s="102" t="str">
        <f>IF(SUMPRODUCT(--ISNUMBER(SEARCH({"0","1","2","3","4","5","6","7","8","9","favorit","maquillaje","piel","cabello","productos","belleza","regalo"},E133)))&gt;0,"Sí","No")</f>
        <v>No</v>
      </c>
      <c r="AN133" s="102" t="str">
        <f>IF(SUMPRODUCT(--ISNUMBER(SEARCH({"lo que tenemos","estas ofertas","algo especial","ofertas únicas","que preparamos","no te quedes","echa un vistazo"},F133)))&gt;0,"Sí","No")</f>
        <v>No</v>
      </c>
      <c r="AO133" s="102">
        <f t="shared" ref="AO133:AO196" si="68">LEN(E133)-(LEN(E133)-LEN(SUBSTITUTE(E133,"🔥","")))/LEN("🔥")*(LEN("🔥")-1)</f>
        <v>55</v>
      </c>
      <c r="AP133" s="102">
        <f t="shared" ref="AP133:AP196" si="69">LEN(TRIM(E133))-LEN(SUBSTITUTE(TRIM(E133)," ",""))+1</f>
        <v>10</v>
      </c>
      <c r="AQ133" s="102">
        <f>SUMPRODUCT(LEN(E133)-LEN(SUBSTITUTE(E133,{"!","¡","?","¿",":",",",".","%","·","-",";"},"")))</f>
        <v>2</v>
      </c>
      <c r="AR133" s="102" t="str">
        <f t="shared" ref="AR133:AR196" si="70">IF(AND(AO133&lt;=60,AP133&lt;=9,AQ133&lt;=3,(LEN(E133)-LEN(SUBSTITUTE(E133,"🔥","")))/LEN("🔥")&lt;=1),"Sí","No")</f>
        <v>No</v>
      </c>
      <c r="AS133" s="102" t="str">
        <f t="shared" ref="AS133:AS196" si="71">IF(ISNUMBER(SEARCH("hot sale",E133)),"Sí","No")</f>
        <v>No</v>
      </c>
      <c r="AT133" s="102" t="str">
        <f>IF(SUMPRODUCT(--ISNUMBER(FIND({"0","1","2","3","4","5","6","7","8","9"},E133)))&gt;0,"Con cifra concreta",IF(OR(ISNUMBER(FIND("?",E133)),ISNUMBER(FIND("¿",E133))),"Pregunta abierta",IF(SUMPRODUCT(--ISNUMBER(SEARCH({" hoy ","horas","tiempo limitado","antes de que","se acab","se agot","finalic","última oportunidad","oportunidad única","relámpago","express","no esperes","no volver","no parpadees"," ya ","últimas horas","últimas unidades"," ahora "},AF133)))&gt;0,"Solo urgencia, sin cifra",IF(SUMPRODUCT(--ISNUMBER(SEARCH({"recompensa","sorpresa","regalo","lealtad","detalle","gracias","pensamos en ti","para ti"},E133)))&gt;0,"Recompensa o sorpresa","Otro: beneficio o novedad"))))</f>
        <v>Otro: beneficio o novedad</v>
      </c>
    </row>
    <row r="134" spans="1:46" x14ac:dyDescent="0.2">
      <c r="A134" s="104" t="s">
        <v>1003</v>
      </c>
      <c r="B134" s="104" t="s">
        <v>279</v>
      </c>
      <c r="C134" s="104" t="s">
        <v>793</v>
      </c>
      <c r="D134" s="104" t="s">
        <v>947</v>
      </c>
      <c r="E134" s="104" t="s">
        <v>472</v>
      </c>
      <c r="F134" s="104" t="s">
        <v>473</v>
      </c>
      <c r="G134" s="105">
        <v>31941</v>
      </c>
      <c r="H134" s="105">
        <v>5079</v>
      </c>
      <c r="I134" s="105">
        <v>900</v>
      </c>
      <c r="J134" s="106">
        <v>8.7899999999999991</v>
      </c>
      <c r="K134" s="106">
        <v>3.75</v>
      </c>
      <c r="L134" s="107">
        <v>22815.1</v>
      </c>
      <c r="M134" s="108">
        <f t="shared" si="48"/>
        <v>15.901192824269748</v>
      </c>
      <c r="N134" s="108">
        <f t="shared" si="49"/>
        <v>2.8176951253874329</v>
      </c>
      <c r="O134" s="108">
        <f t="shared" si="50"/>
        <v>17.720023626698168</v>
      </c>
      <c r="P134" s="108">
        <f t="shared" si="51"/>
        <v>714.28884505807582</v>
      </c>
      <c r="Q134" s="108">
        <f t="shared" si="52"/>
        <v>22.891293825435607</v>
      </c>
      <c r="R134" s="108">
        <f t="shared" si="53"/>
        <v>27.75136451093497</v>
      </c>
      <c r="S134" s="101">
        <f t="shared" si="54"/>
        <v>45939</v>
      </c>
      <c r="T134" s="102" t="str">
        <f t="shared" si="55"/>
        <v>Octubre</v>
      </c>
      <c r="U134" s="102" t="str">
        <f t="shared" si="56"/>
        <v>Jueves</v>
      </c>
      <c r="V134" s="102">
        <f t="shared" si="57"/>
        <v>9</v>
      </c>
      <c r="W134" s="102" t="str">
        <f t="shared" si="58"/>
        <v>Resto del mes</v>
      </c>
      <c r="X134" s="102">
        <f t="shared" si="59"/>
        <v>27</v>
      </c>
      <c r="Y134" s="102" t="str">
        <f t="shared" si="60"/>
        <v>Sí</v>
      </c>
      <c r="Z134" s="102" t="str">
        <f>CHOOSE(MATCH(B134,{"Customer Appreciation","Exclusive Offers","Flash Sale","Holiday Discounts","New Product Launch","Newsletter"},0),"Fidelizar","Vender","Vender","Vender","Lanzar","Educar")</f>
        <v>Educar</v>
      </c>
      <c r="AA134" s="102" t="str">
        <f t="shared" si="61"/>
        <v>Menos de 100 mil</v>
      </c>
      <c r="AB134" s="102">
        <f>COUNTIFS($E$5:$E$493,E134,$S$5:$S$493,"&lt;"&amp;S134)+COUNTIFS($E$5:E134,E134,$S$5:S134,S134)</f>
        <v>16</v>
      </c>
      <c r="AC134" s="102">
        <f t="shared" si="62"/>
        <v>22</v>
      </c>
      <c r="AD134" s="102" t="str">
        <f t="shared" si="63"/>
        <v>Último tercio</v>
      </c>
      <c r="AE134" s="103">
        <f t="shared" si="64"/>
        <v>-6.9901010011658595</v>
      </c>
      <c r="AF134" s="102" t="str">
        <f t="shared" si="65"/>
        <v xml:space="preserve"> tu dosis semanal de belleza  novedades y tips </v>
      </c>
      <c r="AG134" s="102" t="str">
        <f t="shared" si="66"/>
        <v xml:space="preserve"> novedades  tips y más para tu rutina diaria   entra ya  </v>
      </c>
      <c r="AH134" s="102" t="str">
        <f>IF(SUMPRODUCT(--(LEFT(IF(LEFT(LOWER(E134),1)="¡",MID(LOWER(E134),2,300),LOWER(E134)),LEN({"actualizaci","el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134" s="102" t="str">
        <f>IF(OR(SUMPRODUCT(--ISNUMBER(SEARCH({"descuento","oferta","ahorr","precio"," sale ","flash","deals"},AF134)))&gt;0,SUMPRODUCT(--ISNUMBER(SEARCH({"descuento","oferta","ahorr","precio"," sale ","flash","deals"},AG134)))&gt;0),"Sí","No")</f>
        <v>No</v>
      </c>
      <c r="AJ134" s="102" t="str">
        <f>IF(SUMPRODUCT(--ISNUMBER(SEARCH({" hoy ","horas","tiempo limitado","antes de que","se acab","se agot","finalic","última oportunidad","oportunidad única","relámpago","express","no esperes","no volver","no parpadees"},AF134)))&gt;0,"Sí","No")</f>
        <v>No</v>
      </c>
      <c r="AK134" s="102" t="str">
        <f>IF(SUMPRODUCT(--ISNUMBER(SEARCH({" hoy ","horas","tiempo limitado","antes de que","se acab","se agot","finalic","última oportunidad","oportunidad única","relámpago","express","no esperes","no volver","no parpadees"},AG134)))&gt;0,"Sí","No")</f>
        <v>No</v>
      </c>
      <c r="AL134" s="102" t="str">
        <f t="shared" si="67"/>
        <v>Sin descuento</v>
      </c>
      <c r="AM134" s="102" t="str">
        <f>IF(SUMPRODUCT(--ISNUMBER(SEARCH({"0","1","2","3","4","5","6","7","8","9","favorit","maquillaje","piel","cabello","productos","belleza","regalo"},E134)))&gt;0,"Sí","No")</f>
        <v>Sí</v>
      </c>
      <c r="AN134" s="102" t="str">
        <f>IF(SUMPRODUCT(--ISNUMBER(SEARCH({"lo que tenemos","estas ofertas","algo especial","ofertas únicas","que preparamos","no te quedes","echa un vistazo"},F134)))&gt;0,"Sí","No")</f>
        <v>No</v>
      </c>
      <c r="AO134" s="102">
        <f t="shared" si="68"/>
        <v>45</v>
      </c>
      <c r="AP134" s="102">
        <f t="shared" si="69"/>
        <v>8</v>
      </c>
      <c r="AQ134" s="102">
        <f>SUMPRODUCT(LEN(E134)-LEN(SUBSTITUTE(E134,{"!","¡","?","¿",":",",",".","%","·","-",";"},"")))</f>
        <v>1</v>
      </c>
      <c r="AR134" s="102" t="str">
        <f t="shared" si="70"/>
        <v>Sí</v>
      </c>
      <c r="AS134" s="102" t="str">
        <f t="shared" si="71"/>
        <v>No</v>
      </c>
      <c r="AT134" s="102" t="str">
        <f>IF(SUMPRODUCT(--ISNUMBER(FIND({"0","1","2","3","4","5","6","7","8","9"},E134)))&gt;0,"Con cifra concreta",IF(OR(ISNUMBER(FIND("?",E134)),ISNUMBER(FIND("¿",E134))),"Pregunta abierta",IF(SUMPRODUCT(--ISNUMBER(SEARCH({" hoy ","horas","tiempo limitado","antes de que","se acab","se agot","finalic","última oportunidad","oportunidad única","relámpago","express","no esperes","no volver","no parpadees"," ya ","últimas horas","últimas unidades"," ahora "},AF134)))&gt;0,"Solo urgencia, sin cifra",IF(SUMPRODUCT(--ISNUMBER(SEARCH({"recompensa","sorpresa","regalo","lealtad","detalle","gracias","pensamos en ti","para ti"},E134)))&gt;0,"Recompensa o sorpresa","Otro: beneficio o novedad"))))</f>
        <v>Otro: beneficio o novedad</v>
      </c>
    </row>
    <row r="135" spans="1:46" x14ac:dyDescent="0.2">
      <c r="A135" s="96" t="s">
        <v>1004</v>
      </c>
      <c r="B135" s="96" t="s">
        <v>274</v>
      </c>
      <c r="C135" s="96" t="s">
        <v>830</v>
      </c>
      <c r="D135" s="96" t="s">
        <v>950</v>
      </c>
      <c r="E135" s="96" t="s">
        <v>371</v>
      </c>
      <c r="F135" s="96" t="s">
        <v>452</v>
      </c>
      <c r="G135" s="97">
        <v>148056</v>
      </c>
      <c r="H135" s="97">
        <v>50226</v>
      </c>
      <c r="I135" s="97">
        <v>20668</v>
      </c>
      <c r="J135" s="98">
        <v>1.57</v>
      </c>
      <c r="K135" s="98">
        <v>0.39</v>
      </c>
      <c r="L135" s="99">
        <v>91986.21</v>
      </c>
      <c r="M135" s="100">
        <f t="shared" si="48"/>
        <v>33.923650510617605</v>
      </c>
      <c r="N135" s="100">
        <f t="shared" si="49"/>
        <v>13.959582860539255</v>
      </c>
      <c r="O135" s="100">
        <f t="shared" si="50"/>
        <v>41.150001991000678</v>
      </c>
      <c r="P135" s="100">
        <f t="shared" si="51"/>
        <v>621.29336197114606</v>
      </c>
      <c r="Q135" s="100">
        <f t="shared" si="52"/>
        <v>40.72142758959253</v>
      </c>
      <c r="R135" s="100">
        <f t="shared" si="53"/>
        <v>31.113650744455075</v>
      </c>
      <c r="S135" s="101">
        <f t="shared" si="54"/>
        <v>45901</v>
      </c>
      <c r="T135" s="102" t="str">
        <f t="shared" si="55"/>
        <v>Septiembre</v>
      </c>
      <c r="U135" s="102" t="str">
        <f t="shared" si="56"/>
        <v>Lunes</v>
      </c>
      <c r="V135" s="102">
        <f t="shared" si="57"/>
        <v>14</v>
      </c>
      <c r="W135" s="102" t="str">
        <f t="shared" si="58"/>
        <v>Quincena</v>
      </c>
      <c r="X135" s="102">
        <f t="shared" si="59"/>
        <v>29</v>
      </c>
      <c r="Y135" s="102" t="str">
        <f t="shared" si="60"/>
        <v>Sí</v>
      </c>
      <c r="Z135" s="102" t="str">
        <f>CHOOSE(MATCH(B135,{"Customer Appreciation","Exclusive Offers","Flash Sale","Holiday Discounts","New Product Launch","Newsletter"},0),"Fidelizar","Vender","Vender","Vender","Lanzar","Educar")</f>
        <v>Fidelizar</v>
      </c>
      <c r="AA135" s="102" t="str">
        <f t="shared" si="61"/>
        <v>100 a 200 mil</v>
      </c>
      <c r="AB135" s="102">
        <f>COUNTIFS($E$5:$E$493,E135,$S$5:$S$493,"&lt;"&amp;S135)+COUNTIFS($E$5:E135,E135,$S$5:S135,S135)</f>
        <v>5</v>
      </c>
      <c r="AC135" s="102">
        <f t="shared" si="62"/>
        <v>16</v>
      </c>
      <c r="AD135" s="102" t="str">
        <f t="shared" si="63"/>
        <v>Primer tercio</v>
      </c>
      <c r="AE135" s="103">
        <f t="shared" si="64"/>
        <v>-6.7977770789749243</v>
      </c>
      <c r="AF135" s="102" t="str">
        <f t="shared" si="65"/>
        <v xml:space="preserve">  tu lealtad tiene recompensa  descúbrela  sorpresas para ti </v>
      </c>
      <c r="AG135" s="102" t="str">
        <f t="shared" si="66"/>
        <v xml:space="preserve"> ofertas exclusivas para nuestros clientes más especiales   no te las pierdas  </v>
      </c>
      <c r="AH135" s="102" t="str">
        <f>IF(SUMPRODUCT(--(LEFT(IF(LEFT(LOWER(E135),1)="¡",MID(LOWER(E135),2,300),LOWER(E135)),LEN({"actualizaci","el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135" s="102" t="str">
        <f>IF(OR(SUMPRODUCT(--ISNUMBER(SEARCH({"descuento","oferta","ahorr","precio"," sale ","flash","deals"},AF135)))&gt;0,SUMPRODUCT(--ISNUMBER(SEARCH({"descuento","oferta","ahorr","precio"," sale ","flash","deals"},AG135)))&gt;0),"Sí","No")</f>
        <v>Sí</v>
      </c>
      <c r="AJ135" s="102" t="str">
        <f>IF(SUMPRODUCT(--ISNUMBER(SEARCH({" hoy ","horas","tiempo limitado","antes de que","se acab","se agot","finalic","última oportunidad","oportunidad única","relámpago","express","no esperes","no volver","no parpadees"},AF135)))&gt;0,"Sí","No")</f>
        <v>No</v>
      </c>
      <c r="AK135" s="102" t="str">
        <f>IF(SUMPRODUCT(--ISNUMBER(SEARCH({" hoy ","horas","tiempo limitado","antes de que","se acab","se agot","finalic","última oportunidad","oportunidad única","relámpago","express","no esperes","no volver","no parpadees"},AG135)))&gt;0,"Sí","No")</f>
        <v>No</v>
      </c>
      <c r="AL135" s="102" t="str">
        <f t="shared" si="67"/>
        <v>Descuento sin tiempo límite</v>
      </c>
      <c r="AM135" s="102" t="str">
        <f>IF(SUMPRODUCT(--ISNUMBER(SEARCH({"0","1","2","3","4","5","6","7","8","9","favorit","maquillaje","piel","cabello","productos","belleza","regalo"},E135)))&gt;0,"Sí","No")</f>
        <v>No</v>
      </c>
      <c r="AN135" s="102" t="str">
        <f>IF(SUMPRODUCT(--ISNUMBER(SEARCH({"lo que tenemos","estas ofertas","algo especial","ofertas únicas","que preparamos","no te quedes","echa un vistazo"},F135)))&gt;0,"Sí","No")</f>
        <v>No</v>
      </c>
      <c r="AO135" s="102">
        <f t="shared" si="68"/>
        <v>59</v>
      </c>
      <c r="AP135" s="102">
        <f t="shared" si="69"/>
        <v>8</v>
      </c>
      <c r="AQ135" s="102">
        <f>SUMPRODUCT(LEN(E135)-LEN(SUBSTITUTE(E135,{"!","¡","?","¿",":",",",".","%","·","-",";"},"")))</f>
        <v>3</v>
      </c>
      <c r="AR135" s="102" t="str">
        <f t="shared" si="70"/>
        <v>Sí</v>
      </c>
      <c r="AS135" s="102" t="str">
        <f t="shared" si="71"/>
        <v>No</v>
      </c>
      <c r="AT135" s="102" t="str">
        <f>IF(SUMPRODUCT(--ISNUMBER(FIND({"0","1","2","3","4","5","6","7","8","9"},E135)))&gt;0,"Con cifra concreta",IF(OR(ISNUMBER(FIND("?",E135)),ISNUMBER(FIND("¿",E135))),"Pregunta abierta",IF(SUMPRODUCT(--ISNUMBER(SEARCH({" hoy ","horas","tiempo limitado","antes de que","se acab","se agot","finalic","última oportunidad","oportunidad única","relámpago","express","no esperes","no volver","no parpadees"," ya ","últimas horas","últimas unidades"," ahora "},AF135)))&gt;0,"Solo urgencia, sin cifra",IF(SUMPRODUCT(--ISNUMBER(SEARCH({"recompensa","sorpresa","regalo","lealtad","detalle","gracias","pensamos en ti","para ti"},E135)))&gt;0,"Recompensa o sorpresa","Otro: beneficio o novedad"))))</f>
        <v>Recompensa o sorpresa</v>
      </c>
    </row>
    <row r="136" spans="1:46" x14ac:dyDescent="0.2">
      <c r="A136" s="104" t="s">
        <v>1005</v>
      </c>
      <c r="B136" s="104" t="s">
        <v>275</v>
      </c>
      <c r="C136" s="104" t="s">
        <v>976</v>
      </c>
      <c r="D136" s="104" t="s">
        <v>751</v>
      </c>
      <c r="E136" s="104" t="s">
        <v>882</v>
      </c>
      <c r="F136" s="104" t="s">
        <v>883</v>
      </c>
      <c r="G136" s="105">
        <v>442115</v>
      </c>
      <c r="H136" s="105">
        <v>97311</v>
      </c>
      <c r="I136" s="105">
        <v>81744</v>
      </c>
      <c r="J136" s="106">
        <v>5.86</v>
      </c>
      <c r="K136" s="106">
        <v>4.55</v>
      </c>
      <c r="L136" s="107">
        <v>26450.13</v>
      </c>
      <c r="M136" s="108">
        <f t="shared" si="48"/>
        <v>22.010336677108896</v>
      </c>
      <c r="N136" s="108">
        <f t="shared" si="49"/>
        <v>18.489307080736914</v>
      </c>
      <c r="O136" s="108">
        <f t="shared" si="50"/>
        <v>84.002836267225703</v>
      </c>
      <c r="P136" s="108">
        <f t="shared" si="51"/>
        <v>59.826357395700221</v>
      </c>
      <c r="Q136" s="108">
        <f t="shared" si="52"/>
        <v>19.375383213349011</v>
      </c>
      <c r="R136" s="108">
        <f t="shared" si="53"/>
        <v>27.021447627328243</v>
      </c>
      <c r="S136" s="101">
        <f t="shared" si="54"/>
        <v>45892</v>
      </c>
      <c r="T136" s="102" t="str">
        <f t="shared" si="55"/>
        <v>Agosto</v>
      </c>
      <c r="U136" s="102" t="str">
        <f t="shared" si="56"/>
        <v>Sábado</v>
      </c>
      <c r="V136" s="102">
        <f t="shared" si="57"/>
        <v>11</v>
      </c>
      <c r="W136" s="102" t="str">
        <f t="shared" si="58"/>
        <v>Resto del mes</v>
      </c>
      <c r="X136" s="102">
        <f t="shared" si="59"/>
        <v>25</v>
      </c>
      <c r="Y136" s="102" t="str">
        <f t="shared" si="60"/>
        <v>Sí</v>
      </c>
      <c r="Z136" s="102" t="str">
        <f>CHOOSE(MATCH(B136,{"Customer Appreciation","Exclusive Offers","Flash Sale","Holiday Discounts","New Product Launch","Newsletter"},0),"Fidelizar","Vender","Vender","Vender","Lanzar","Educar")</f>
        <v>Vender</v>
      </c>
      <c r="AA136" s="102" t="str">
        <f t="shared" si="61"/>
        <v>Más de 400 mil</v>
      </c>
      <c r="AB136" s="102">
        <f>COUNTIFS($E$5:$E$493,E136,$S$5:$S$493,"&lt;"&amp;S136)+COUNTIFS($E$5:E136,E136,$S$5:S136,S136)</f>
        <v>3</v>
      </c>
      <c r="AC136" s="102">
        <f t="shared" si="62"/>
        <v>5</v>
      </c>
      <c r="AD136" s="102" t="str">
        <f t="shared" si="63"/>
        <v/>
      </c>
      <c r="AE136" s="103">
        <f t="shared" si="64"/>
        <v>2.634953463759885</v>
      </c>
      <c r="AF136" s="102" t="str">
        <f t="shared" si="65"/>
        <v xml:space="preserve">  descuentos que no querrás perderte  l'oréal para ti </v>
      </c>
      <c r="AG136" s="102" t="str">
        <f t="shared" si="66"/>
        <v xml:space="preserve"> solo para nuestra comunidad más fiel   acceso limitado  </v>
      </c>
      <c r="AH136" s="102" t="str">
        <f>IF(SUMPRODUCT(--(LEFT(IF(LEFT(LOWER(E136),1)="¡",MID(LOWER(E136),2,300),LOWER(E136)),LEN({"actualizaci","el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Sí</v>
      </c>
      <c r="AI136" s="102" t="str">
        <f>IF(OR(SUMPRODUCT(--ISNUMBER(SEARCH({"descuento","oferta","ahorr","precio"," sale ","flash","deals"},AF136)))&gt;0,SUMPRODUCT(--ISNUMBER(SEARCH({"descuento","oferta","ahorr","precio"," sale ","flash","deals"},AG136)))&gt;0),"Sí","No")</f>
        <v>Sí</v>
      </c>
      <c r="AJ136" s="102" t="str">
        <f>IF(SUMPRODUCT(--ISNUMBER(SEARCH({" hoy ","horas","tiempo limitado","antes de que","se acab","se agot","finalic","última oportunidad","oportunidad única","relámpago","express","no esperes","no volver","no parpadees"},AF136)))&gt;0,"Sí","No")</f>
        <v>No</v>
      </c>
      <c r="AK136" s="102" t="str">
        <f>IF(SUMPRODUCT(--ISNUMBER(SEARCH({" hoy ","horas","tiempo limitado","antes de que","se acab","se agot","finalic","última oportunidad","oportunidad única","relámpago","express","no esperes","no volver","no parpadees"},AG136)))&gt;0,"Sí","No")</f>
        <v>No</v>
      </c>
      <c r="AL136" s="102" t="str">
        <f t="shared" si="67"/>
        <v>Descuento sin tiempo límite</v>
      </c>
      <c r="AM136" s="102" t="str">
        <f>IF(SUMPRODUCT(--ISNUMBER(SEARCH({"0","1","2","3","4","5","6","7","8","9","favorit","maquillaje","piel","cabello","productos","belleza","regalo"},E136)))&gt;0,"Sí","No")</f>
        <v>No</v>
      </c>
      <c r="AN136" s="102" t="str">
        <f>IF(SUMPRODUCT(--ISNUMBER(SEARCH({"lo que tenemos","estas ofertas","algo especial","ofertas únicas","que preparamos","no te quedes","echa un vistazo"},F136)))&gt;0,"Sí","No")</f>
        <v>No</v>
      </c>
      <c r="AO136" s="102">
        <f t="shared" si="68"/>
        <v>52</v>
      </c>
      <c r="AP136" s="102">
        <f t="shared" si="69"/>
        <v>8</v>
      </c>
      <c r="AQ136" s="102">
        <f>SUMPRODUCT(LEN(E136)-LEN(SUBSTITUTE(E136,{"!","¡","?","¿",":",",",".","%","·","-",";"},"")))</f>
        <v>2</v>
      </c>
      <c r="AR136" s="102" t="str">
        <f t="shared" si="70"/>
        <v>Sí</v>
      </c>
      <c r="AS136" s="102" t="str">
        <f t="shared" si="71"/>
        <v>No</v>
      </c>
      <c r="AT136" s="102" t="str">
        <f>IF(SUMPRODUCT(--ISNUMBER(FIND({"0","1","2","3","4","5","6","7","8","9"},E136)))&gt;0,"Con cifra concreta",IF(OR(ISNUMBER(FIND("?",E136)),ISNUMBER(FIND("¿",E136))),"Pregunta abierta",IF(SUMPRODUCT(--ISNUMBER(SEARCH({" hoy ","horas","tiempo limitado","antes de que","se acab","se agot","finalic","última oportunidad","oportunidad única","relámpago","express","no esperes","no volver","no parpadees"," ya ","últimas horas","últimas unidades"," ahora "},AF136)))&gt;0,"Solo urgencia, sin cifra",IF(SUMPRODUCT(--ISNUMBER(SEARCH({"recompensa","sorpresa","regalo","lealtad","detalle","gracias","pensamos en ti","para ti"},E136)))&gt;0,"Recompensa o sorpresa","Otro: beneficio o novedad"))))</f>
        <v>Recompensa o sorpresa</v>
      </c>
    </row>
    <row r="137" spans="1:46" x14ac:dyDescent="0.2">
      <c r="A137" s="96" t="s">
        <v>1006</v>
      </c>
      <c r="B137" s="96" t="s">
        <v>278</v>
      </c>
      <c r="C137" s="96" t="s">
        <v>742</v>
      </c>
      <c r="D137" s="96" t="s">
        <v>702</v>
      </c>
      <c r="E137" s="96" t="s">
        <v>367</v>
      </c>
      <c r="F137" s="96" t="s">
        <v>458</v>
      </c>
      <c r="G137" s="97">
        <v>355798</v>
      </c>
      <c r="H137" s="97">
        <v>127814</v>
      </c>
      <c r="I137" s="97">
        <v>65466</v>
      </c>
      <c r="J137" s="98">
        <v>4.2</v>
      </c>
      <c r="K137" s="98">
        <v>2.85</v>
      </c>
      <c r="L137" s="99">
        <v>87138.48</v>
      </c>
      <c r="M137" s="100">
        <f t="shared" si="48"/>
        <v>35.923192373200521</v>
      </c>
      <c r="N137" s="100">
        <f t="shared" si="49"/>
        <v>18.399766159450024</v>
      </c>
      <c r="O137" s="100">
        <f t="shared" si="50"/>
        <v>51.219741186411504</v>
      </c>
      <c r="P137" s="100">
        <f t="shared" si="51"/>
        <v>244.90997700942668</v>
      </c>
      <c r="Q137" s="100">
        <f t="shared" si="52"/>
        <v>36.132518317209367</v>
      </c>
      <c r="R137" s="100">
        <f t="shared" si="53"/>
        <v>29.458247936272421</v>
      </c>
      <c r="S137" s="101">
        <f t="shared" si="54"/>
        <v>45948</v>
      </c>
      <c r="T137" s="102" t="str">
        <f t="shared" si="55"/>
        <v>Octubre</v>
      </c>
      <c r="U137" s="102" t="str">
        <f t="shared" si="56"/>
        <v>Sábado</v>
      </c>
      <c r="V137" s="102">
        <f t="shared" si="57"/>
        <v>16</v>
      </c>
      <c r="W137" s="102" t="str">
        <f t="shared" si="58"/>
        <v>Días después del pago</v>
      </c>
      <c r="X137" s="102">
        <f t="shared" si="59"/>
        <v>27</v>
      </c>
      <c r="Y137" s="102" t="str">
        <f t="shared" si="60"/>
        <v>Sí</v>
      </c>
      <c r="Z137" s="102" t="str">
        <f>CHOOSE(MATCH(B137,{"Customer Appreciation","Exclusive Offers","Flash Sale","Holiday Discounts","New Product Launch","Newsletter"},0),"Fidelizar","Vender","Vender","Vender","Lanzar","Educar")</f>
        <v>Lanzar</v>
      </c>
      <c r="AA137" s="102" t="str">
        <f t="shared" si="61"/>
        <v>300 a 400 mil</v>
      </c>
      <c r="AB137" s="102">
        <f>COUNTIFS($E$5:$E$493,E137,$S$5:$S$493,"&lt;"&amp;S137)+COUNTIFS($E$5:E137,E137,$S$5:S137,S137)</f>
        <v>17</v>
      </c>
      <c r="AC137" s="102">
        <f t="shared" si="62"/>
        <v>25</v>
      </c>
      <c r="AD137" s="102" t="str">
        <f t="shared" si="63"/>
        <v>Último tercio</v>
      </c>
      <c r="AE137" s="103">
        <f t="shared" si="64"/>
        <v>-0.20932594400884597</v>
      </c>
      <c r="AF137" s="102" t="str">
        <f t="shared" si="65"/>
        <v xml:space="preserve">  el futuro de tu piel ha llegado  nuevo producto revolucionario </v>
      </c>
      <c r="AG137" s="102" t="str">
        <f t="shared" si="66"/>
        <v xml:space="preserve"> una fórmula revolucionaria para resultados visibles   compruébalo  </v>
      </c>
      <c r="AH137" s="102" t="str">
        <f>IF(SUMPRODUCT(--(LEFT(IF(LEFT(LOWER(E137),1)="¡",MID(LOWER(E137),2,300),LOWER(E137)),LEN({"actualizaci","el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137" s="102" t="str">
        <f>IF(OR(SUMPRODUCT(--ISNUMBER(SEARCH({"descuento","oferta","ahorr","precio"," sale ","flash","deals"},AF137)))&gt;0,SUMPRODUCT(--ISNUMBER(SEARCH({"descuento","oferta","ahorr","precio"," sale ","flash","deals"},AG137)))&gt;0),"Sí","No")</f>
        <v>No</v>
      </c>
      <c r="AJ137" s="102" t="str">
        <f>IF(SUMPRODUCT(--ISNUMBER(SEARCH({" hoy ","horas","tiempo limitado","antes de que","se acab","se agot","finalic","última oportunidad","oportunidad única","relámpago","express","no esperes","no volver","no parpadees"},AF137)))&gt;0,"Sí","No")</f>
        <v>No</v>
      </c>
      <c r="AK137" s="102" t="str">
        <f>IF(SUMPRODUCT(--ISNUMBER(SEARCH({" hoy ","horas","tiempo limitado","antes de que","se acab","se agot","finalic","última oportunidad","oportunidad única","relámpago","express","no esperes","no volver","no parpadees"},AG137)))&gt;0,"Sí","No")</f>
        <v>No</v>
      </c>
      <c r="AL137" s="102" t="str">
        <f t="shared" si="67"/>
        <v>Sin descuento</v>
      </c>
      <c r="AM137" s="102" t="str">
        <f>IF(SUMPRODUCT(--ISNUMBER(SEARCH({"0","1","2","3","4","5","6","7","8","9","favorit","maquillaje","piel","cabello","productos","belleza","regalo"},E137)))&gt;0,"Sí","No")</f>
        <v>Sí</v>
      </c>
      <c r="AN137" s="102" t="str">
        <f>IF(SUMPRODUCT(--ISNUMBER(SEARCH({"lo que tenemos","estas ofertas","algo especial","ofertas únicas","que preparamos","no te quedes","echa un vistazo"},F137)))&gt;0,"Sí","No")</f>
        <v>No</v>
      </c>
      <c r="AO137" s="102">
        <f t="shared" si="68"/>
        <v>63</v>
      </c>
      <c r="AP137" s="102">
        <f t="shared" si="69"/>
        <v>10</v>
      </c>
      <c r="AQ137" s="102">
        <f>SUMPRODUCT(LEN(E137)-LEN(SUBSTITUTE(E137,{"!","¡","?","¿",":",",",".","%","·","-",";"},"")))</f>
        <v>2</v>
      </c>
      <c r="AR137" s="102" t="str">
        <f t="shared" si="70"/>
        <v>No</v>
      </c>
      <c r="AS137" s="102" t="str">
        <f t="shared" si="71"/>
        <v>No</v>
      </c>
      <c r="AT137" s="102" t="str">
        <f>IF(SUMPRODUCT(--ISNUMBER(FIND({"0","1","2","3","4","5","6","7","8","9"},E137)))&gt;0,"Con cifra concreta",IF(OR(ISNUMBER(FIND("?",E137)),ISNUMBER(FIND("¿",E137))),"Pregunta abierta",IF(SUMPRODUCT(--ISNUMBER(SEARCH({" hoy ","horas","tiempo limitado","antes de que","se acab","se agot","finalic","última oportunidad","oportunidad única","relámpago","express","no esperes","no volver","no parpadees"," ya ","últimas horas","últimas unidades"," ahora "},AF137)))&gt;0,"Solo urgencia, sin cifra",IF(SUMPRODUCT(--ISNUMBER(SEARCH({"recompensa","sorpresa","regalo","lealtad","detalle","gracias","pensamos en ti","para ti"},E137)))&gt;0,"Recompensa o sorpresa","Otro: beneficio o novedad"))))</f>
        <v>Otro: beneficio o novedad</v>
      </c>
    </row>
    <row r="138" spans="1:46" x14ac:dyDescent="0.2">
      <c r="A138" s="104" t="s">
        <v>1007</v>
      </c>
      <c r="B138" s="104" t="s">
        <v>279</v>
      </c>
      <c r="C138" s="104" t="s">
        <v>980</v>
      </c>
      <c r="D138" s="104" t="s">
        <v>824</v>
      </c>
      <c r="E138" s="104" t="s">
        <v>1008</v>
      </c>
      <c r="F138" s="104" t="s">
        <v>1009</v>
      </c>
      <c r="G138" s="105">
        <v>108471</v>
      </c>
      <c r="H138" s="105">
        <v>20993</v>
      </c>
      <c r="I138" s="105">
        <v>17926</v>
      </c>
      <c r="J138" s="106">
        <v>8.01</v>
      </c>
      <c r="K138" s="106">
        <v>2.3199999999999998</v>
      </c>
      <c r="L138" s="107">
        <v>68207.08</v>
      </c>
      <c r="M138" s="108">
        <f t="shared" si="48"/>
        <v>19.353559937679197</v>
      </c>
      <c r="N138" s="108">
        <f t="shared" si="49"/>
        <v>16.526076094071225</v>
      </c>
      <c r="O138" s="108">
        <f t="shared" si="50"/>
        <v>85.390368217977425</v>
      </c>
      <c r="P138" s="108">
        <f t="shared" si="51"/>
        <v>628.80474965659027</v>
      </c>
      <c r="Q138" s="108">
        <f t="shared" si="52"/>
        <v>20.124757314949409</v>
      </c>
      <c r="R138" s="108">
        <f t="shared" si="53"/>
        <v>27.75136451093497</v>
      </c>
      <c r="S138" s="101">
        <f t="shared" si="54"/>
        <v>45875</v>
      </c>
      <c r="T138" s="102" t="str">
        <f t="shared" si="55"/>
        <v>Agosto</v>
      </c>
      <c r="U138" s="102" t="str">
        <f t="shared" si="56"/>
        <v>Miércoles</v>
      </c>
      <c r="V138" s="102">
        <f t="shared" si="57"/>
        <v>10</v>
      </c>
      <c r="W138" s="102" t="str">
        <f t="shared" si="58"/>
        <v>Resto del mes</v>
      </c>
      <c r="X138" s="102">
        <f t="shared" si="59"/>
        <v>28</v>
      </c>
      <c r="Y138" s="102" t="str">
        <f t="shared" si="60"/>
        <v>Sí</v>
      </c>
      <c r="Z138" s="102" t="str">
        <f>CHOOSE(MATCH(B138,{"Customer Appreciation","Exclusive Offers","Flash Sale","Holiday Discounts","New Product Launch","Newsletter"},0),"Fidelizar","Vender","Vender","Vender","Lanzar","Educar")</f>
        <v>Educar</v>
      </c>
      <c r="AA138" s="102" t="str">
        <f t="shared" si="61"/>
        <v>100 a 200 mil</v>
      </c>
      <c r="AB138" s="102">
        <f>COUNTIFS($E$5:$E$493,E138,$S$5:$S$493,"&lt;"&amp;S138)+COUNTIFS($E$5:E138,E138,$S$5:S138,S138)</f>
        <v>1</v>
      </c>
      <c r="AC138" s="102">
        <f t="shared" si="62"/>
        <v>6</v>
      </c>
      <c r="AD138" s="102" t="str">
        <f t="shared" si="63"/>
        <v/>
      </c>
      <c r="AE138" s="103">
        <f t="shared" si="64"/>
        <v>-0.77119737727021231</v>
      </c>
      <c r="AF138" s="102" t="str">
        <f t="shared" si="65"/>
        <v xml:space="preserve"> actualización de l'oréal  lo más relevante </v>
      </c>
      <c r="AG138" s="102" t="str">
        <f t="shared" si="66"/>
        <v xml:space="preserve"> mantente al tanto de todas las novedades   infórmate  </v>
      </c>
      <c r="AH138" s="102" t="str">
        <f>IF(SUMPRODUCT(--(LEFT(IF(LEFT(LOWER(E138),1)="¡",MID(LOWER(E138),2,300),LOWER(E138)),LEN({"actualizaci","el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Sí</v>
      </c>
      <c r="AI138" s="102" t="str">
        <f>IF(OR(SUMPRODUCT(--ISNUMBER(SEARCH({"descuento","oferta","ahorr","precio"," sale ","flash","deals"},AF138)))&gt;0,SUMPRODUCT(--ISNUMBER(SEARCH({"descuento","oferta","ahorr","precio"," sale ","flash","deals"},AG138)))&gt;0),"Sí","No")</f>
        <v>No</v>
      </c>
      <c r="AJ138" s="102" t="str">
        <f>IF(SUMPRODUCT(--ISNUMBER(SEARCH({" hoy ","horas","tiempo limitado","antes de que","se acab","se agot","finalic","última oportunidad","oportunidad única","relámpago","express","no esperes","no volver","no parpadees"},AF138)))&gt;0,"Sí","No")</f>
        <v>No</v>
      </c>
      <c r="AK138" s="102" t="str">
        <f>IF(SUMPRODUCT(--ISNUMBER(SEARCH({" hoy ","horas","tiempo limitado","antes de que","se acab","se agot","finalic","última oportunidad","oportunidad única","relámpago","express","no esperes","no volver","no parpadees"},AG138)))&gt;0,"Sí","No")</f>
        <v>No</v>
      </c>
      <c r="AL138" s="102" t="str">
        <f t="shared" si="67"/>
        <v>Sin descuento</v>
      </c>
      <c r="AM138" s="102" t="str">
        <f>IF(SUMPRODUCT(--ISNUMBER(SEARCH({"0","1","2","3","4","5","6","7","8","9","favorit","maquillaje","piel","cabello","productos","belleza","regalo"},E138)))&gt;0,"Sí","No")</f>
        <v>No</v>
      </c>
      <c r="AN138" s="102" t="str">
        <f>IF(SUMPRODUCT(--ISNUMBER(SEARCH({"lo que tenemos","estas ofertas","algo especial","ofertas únicas","que preparamos","no te quedes","echa un vistazo"},F138)))&gt;0,"Sí","No")</f>
        <v>No</v>
      </c>
      <c r="AO138" s="102">
        <f t="shared" si="68"/>
        <v>42</v>
      </c>
      <c r="AP138" s="102">
        <f t="shared" si="69"/>
        <v>6</v>
      </c>
      <c r="AQ138" s="102">
        <f>SUMPRODUCT(LEN(E138)-LEN(SUBSTITUTE(E138,{"!","¡","?","¿",":",",",".","%","·","-",";"},"")))</f>
        <v>1</v>
      </c>
      <c r="AR138" s="102" t="str">
        <f t="shared" si="70"/>
        <v>Sí</v>
      </c>
      <c r="AS138" s="102" t="str">
        <f t="shared" si="71"/>
        <v>No</v>
      </c>
      <c r="AT138" s="102" t="str">
        <f>IF(SUMPRODUCT(--ISNUMBER(FIND({"0","1","2","3","4","5","6","7","8","9"},E138)))&gt;0,"Con cifra concreta",IF(OR(ISNUMBER(FIND("?",E138)),ISNUMBER(FIND("¿",E138))),"Pregunta abierta",IF(SUMPRODUCT(--ISNUMBER(SEARCH({" hoy ","horas","tiempo limitado","antes de que","se acab","se agot","finalic","última oportunidad","oportunidad única","relámpago","express","no esperes","no volver","no parpadees"," ya ","últimas horas","últimas unidades"," ahora "},AF138)))&gt;0,"Solo urgencia, sin cifra",IF(SUMPRODUCT(--ISNUMBER(SEARCH({"recompensa","sorpresa","regalo","lealtad","detalle","gracias","pensamos en ti","para ti"},E138)))&gt;0,"Recompensa o sorpresa","Otro: beneficio o novedad"))))</f>
        <v>Otro: beneficio o novedad</v>
      </c>
    </row>
    <row r="139" spans="1:46" x14ac:dyDescent="0.2">
      <c r="A139" s="96" t="s">
        <v>1010</v>
      </c>
      <c r="B139" s="96" t="s">
        <v>278</v>
      </c>
      <c r="C139" s="96" t="s">
        <v>869</v>
      </c>
      <c r="D139" s="96" t="s">
        <v>821</v>
      </c>
      <c r="E139" s="96" t="s">
        <v>368</v>
      </c>
      <c r="F139" s="96" t="s">
        <v>471</v>
      </c>
      <c r="G139" s="97">
        <v>87368</v>
      </c>
      <c r="H139" s="97">
        <v>13551</v>
      </c>
      <c r="I139" s="97">
        <v>2263</v>
      </c>
      <c r="J139" s="98">
        <v>1.4</v>
      </c>
      <c r="K139" s="98">
        <v>3.03</v>
      </c>
      <c r="L139" s="99">
        <v>19846.38</v>
      </c>
      <c r="M139" s="100">
        <f t="shared" si="48"/>
        <v>15.510255471110703</v>
      </c>
      <c r="N139" s="100">
        <f t="shared" si="49"/>
        <v>2.5901932057503894</v>
      </c>
      <c r="O139" s="100">
        <f t="shared" si="50"/>
        <v>16.699874548003837</v>
      </c>
      <c r="P139" s="100">
        <f t="shared" si="51"/>
        <v>227.15845618533103</v>
      </c>
      <c r="Q139" s="100">
        <f t="shared" si="52"/>
        <v>23.315840784070005</v>
      </c>
      <c r="R139" s="100">
        <f t="shared" si="53"/>
        <v>29.458247936272421</v>
      </c>
      <c r="S139" s="101">
        <f t="shared" si="54"/>
        <v>45917</v>
      </c>
      <c r="T139" s="102" t="str">
        <f t="shared" si="55"/>
        <v>Septiembre</v>
      </c>
      <c r="U139" s="102" t="str">
        <f t="shared" si="56"/>
        <v>Miércoles</v>
      </c>
      <c r="V139" s="102">
        <f t="shared" si="57"/>
        <v>8</v>
      </c>
      <c r="W139" s="102" t="str">
        <f t="shared" si="58"/>
        <v>Días después del pago</v>
      </c>
      <c r="X139" s="102">
        <f t="shared" si="59"/>
        <v>26</v>
      </c>
      <c r="Y139" s="102" t="str">
        <f t="shared" si="60"/>
        <v>Sí</v>
      </c>
      <c r="Z139" s="102" t="str">
        <f>CHOOSE(MATCH(B139,{"Customer Appreciation","Exclusive Offers","Flash Sale","Holiday Discounts","New Product Launch","Newsletter"},0),"Fidelizar","Vender","Vender","Vender","Lanzar","Educar")</f>
        <v>Lanzar</v>
      </c>
      <c r="AA139" s="102" t="str">
        <f t="shared" si="61"/>
        <v>Menos de 100 mil</v>
      </c>
      <c r="AB139" s="102">
        <f>COUNTIFS($E$5:$E$493,E139,$S$5:$S$493,"&lt;"&amp;S139)+COUNTIFS($E$5:E139,E139,$S$5:S139,S139)</f>
        <v>16</v>
      </c>
      <c r="AC139" s="102">
        <f t="shared" si="62"/>
        <v>33</v>
      </c>
      <c r="AD139" s="102" t="str">
        <f t="shared" si="63"/>
        <v>Medio</v>
      </c>
      <c r="AE139" s="103">
        <f t="shared" si="64"/>
        <v>-7.8055853129593018</v>
      </c>
      <c r="AF139" s="102" t="str">
        <f t="shared" si="65"/>
        <v xml:space="preserve"> presentamos  nuestro último lanzamiento de belleza  imperdible  </v>
      </c>
      <c r="AG139" s="102" t="str">
        <f t="shared" si="66"/>
        <v xml:space="preserve"> una innovación que cambiará tu rutina   sé de los primeros  </v>
      </c>
      <c r="AH139" s="102" t="str">
        <f>IF(SUMPRODUCT(--(LEFT(IF(LEFT(LOWER(E139),1)="¡",MID(LOWER(E139),2,300),LOWER(E139)),LEN({"actualizaci","el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Sí</v>
      </c>
      <c r="AI139" s="102" t="str">
        <f>IF(OR(SUMPRODUCT(--ISNUMBER(SEARCH({"descuento","oferta","ahorr","precio"," sale ","flash","deals"},AF139)))&gt;0,SUMPRODUCT(--ISNUMBER(SEARCH({"descuento","oferta","ahorr","precio"," sale ","flash","deals"},AG139)))&gt;0),"Sí","No")</f>
        <v>No</v>
      </c>
      <c r="AJ139" s="102" t="str">
        <f>IF(SUMPRODUCT(--ISNUMBER(SEARCH({" hoy ","horas","tiempo limitado","antes de que","se acab","se agot","finalic","última oportunidad","oportunidad única","relámpago","express","no esperes","no volver","no parpadees"},AF139)))&gt;0,"Sí","No")</f>
        <v>No</v>
      </c>
      <c r="AK139" s="102" t="str">
        <f>IF(SUMPRODUCT(--ISNUMBER(SEARCH({" hoy ","horas","tiempo limitado","antes de que","se acab","se agot","finalic","última oportunidad","oportunidad única","relámpago","express","no esperes","no volver","no parpadees"},AG139)))&gt;0,"Sí","No")</f>
        <v>No</v>
      </c>
      <c r="AL139" s="102" t="str">
        <f t="shared" si="67"/>
        <v>Sin descuento</v>
      </c>
      <c r="AM139" s="102" t="str">
        <f>IF(SUMPRODUCT(--ISNUMBER(SEARCH({"0","1","2","3","4","5","6","7","8","9","favorit","maquillaje","piel","cabello","productos","belleza","regalo"},E139)))&gt;0,"Sí","No")</f>
        <v>Sí</v>
      </c>
      <c r="AN139" s="102" t="str">
        <f>IF(SUMPRODUCT(--ISNUMBER(SEARCH({"lo que tenemos","estas ofertas","algo especial","ofertas únicas","que preparamos","no te quedes","echa un vistazo"},F139)))&gt;0,"Sí","No")</f>
        <v>No</v>
      </c>
      <c r="AO139" s="102">
        <f t="shared" si="68"/>
        <v>63</v>
      </c>
      <c r="AP139" s="102">
        <f t="shared" si="69"/>
        <v>7</v>
      </c>
      <c r="AQ139" s="102">
        <f>SUMPRODUCT(LEN(E139)-LEN(SUBSTITUTE(E139,{"!","¡","?","¿",":",",",".","%","·","-",";"},"")))</f>
        <v>3</v>
      </c>
      <c r="AR139" s="102" t="str">
        <f t="shared" si="70"/>
        <v>No</v>
      </c>
      <c r="AS139" s="102" t="str">
        <f t="shared" si="71"/>
        <v>No</v>
      </c>
      <c r="AT139" s="102" t="str">
        <f>IF(SUMPRODUCT(--ISNUMBER(FIND({"0","1","2","3","4","5","6","7","8","9"},E139)))&gt;0,"Con cifra concreta",IF(OR(ISNUMBER(FIND("?",E139)),ISNUMBER(FIND("¿",E139))),"Pregunta abierta",IF(SUMPRODUCT(--ISNUMBER(SEARCH({" hoy ","horas","tiempo limitado","antes de que","se acab","se agot","finalic","última oportunidad","oportunidad única","relámpago","express","no esperes","no volver","no parpadees"," ya ","últimas horas","últimas unidades"," ahora "},AF139)))&gt;0,"Solo urgencia, sin cifra",IF(SUMPRODUCT(--ISNUMBER(SEARCH({"recompensa","sorpresa","regalo","lealtad","detalle","gracias","pensamos en ti","para ti"},E139)))&gt;0,"Recompensa o sorpresa","Otro: beneficio o novedad"))))</f>
        <v>Otro: beneficio o novedad</v>
      </c>
    </row>
    <row r="140" spans="1:46" x14ac:dyDescent="0.2">
      <c r="A140" s="104" t="s">
        <v>1011</v>
      </c>
      <c r="B140" s="104" t="s">
        <v>279</v>
      </c>
      <c r="C140" s="104" t="s">
        <v>928</v>
      </c>
      <c r="D140" s="104" t="s">
        <v>715</v>
      </c>
      <c r="E140" s="104" t="s">
        <v>472</v>
      </c>
      <c r="F140" s="104" t="s">
        <v>473</v>
      </c>
      <c r="G140" s="105">
        <v>172992</v>
      </c>
      <c r="H140" s="105">
        <v>37812</v>
      </c>
      <c r="I140" s="105">
        <v>15951</v>
      </c>
      <c r="J140" s="106">
        <v>6.45</v>
      </c>
      <c r="K140" s="106">
        <v>0.74</v>
      </c>
      <c r="L140" s="107">
        <v>25942</v>
      </c>
      <c r="M140" s="108">
        <f t="shared" si="48"/>
        <v>21.857658157602664</v>
      </c>
      <c r="N140" s="108">
        <f t="shared" si="49"/>
        <v>9.2206576026637066</v>
      </c>
      <c r="O140" s="108">
        <f t="shared" si="50"/>
        <v>42.185020628371944</v>
      </c>
      <c r="P140" s="108">
        <f t="shared" si="51"/>
        <v>149.96069182389937</v>
      </c>
      <c r="Q140" s="108">
        <f t="shared" si="52"/>
        <v>22.891293825435607</v>
      </c>
      <c r="R140" s="108">
        <f t="shared" si="53"/>
        <v>27.75136451093497</v>
      </c>
      <c r="S140" s="101">
        <f t="shared" si="54"/>
        <v>45883</v>
      </c>
      <c r="T140" s="102" t="str">
        <f t="shared" si="55"/>
        <v>Agosto</v>
      </c>
      <c r="U140" s="102" t="str">
        <f t="shared" si="56"/>
        <v>Jueves</v>
      </c>
      <c r="V140" s="102">
        <f t="shared" si="57"/>
        <v>11</v>
      </c>
      <c r="W140" s="102" t="str">
        <f t="shared" si="58"/>
        <v>Quincena</v>
      </c>
      <c r="X140" s="102">
        <f t="shared" si="59"/>
        <v>23</v>
      </c>
      <c r="Y140" s="102" t="str">
        <f t="shared" si="60"/>
        <v>Sí</v>
      </c>
      <c r="Z140" s="102" t="str">
        <f>CHOOSE(MATCH(B140,{"Customer Appreciation","Exclusive Offers","Flash Sale","Holiday Discounts","New Product Launch","Newsletter"},0),"Fidelizar","Vender","Vender","Vender","Lanzar","Educar")</f>
        <v>Educar</v>
      </c>
      <c r="AA140" s="102" t="str">
        <f t="shared" si="61"/>
        <v>100 a 200 mil</v>
      </c>
      <c r="AB140" s="102">
        <f>COUNTIFS($E$5:$E$493,E140,$S$5:$S$493,"&lt;"&amp;S140)+COUNTIFS($E$5:E140,E140,$S$5:S140,S140)</f>
        <v>2</v>
      </c>
      <c r="AC140" s="102">
        <f t="shared" si="62"/>
        <v>22</v>
      </c>
      <c r="AD140" s="102" t="str">
        <f t="shared" si="63"/>
        <v>Primer tercio</v>
      </c>
      <c r="AE140" s="103">
        <f t="shared" si="64"/>
        <v>-1.033635667832943</v>
      </c>
      <c r="AF140" s="102" t="str">
        <f t="shared" si="65"/>
        <v xml:space="preserve"> tu dosis semanal de belleza  novedades y tips </v>
      </c>
      <c r="AG140" s="102" t="str">
        <f t="shared" si="66"/>
        <v xml:space="preserve"> novedades  tips y más para tu rutina diaria   entra ya  </v>
      </c>
      <c r="AH140" s="102" t="str">
        <f>IF(SUMPRODUCT(--(LEFT(IF(LEFT(LOWER(E140),1)="¡",MID(LOWER(E140),2,300),LOWER(E140)),LEN({"actualizaci","el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140" s="102" t="str">
        <f>IF(OR(SUMPRODUCT(--ISNUMBER(SEARCH({"descuento","oferta","ahorr","precio"," sale ","flash","deals"},AF140)))&gt;0,SUMPRODUCT(--ISNUMBER(SEARCH({"descuento","oferta","ahorr","precio"," sale ","flash","deals"},AG140)))&gt;0),"Sí","No")</f>
        <v>No</v>
      </c>
      <c r="AJ140" s="102" t="str">
        <f>IF(SUMPRODUCT(--ISNUMBER(SEARCH({" hoy ","horas","tiempo limitado","antes de que","se acab","se agot","finalic","última oportunidad","oportunidad única","relámpago","express","no esperes","no volver","no parpadees"},AF140)))&gt;0,"Sí","No")</f>
        <v>No</v>
      </c>
      <c r="AK140" s="102" t="str">
        <f>IF(SUMPRODUCT(--ISNUMBER(SEARCH({" hoy ","horas","tiempo limitado","antes de que","se acab","se agot","finalic","última oportunidad","oportunidad única","relámpago","express","no esperes","no volver","no parpadees"},AG140)))&gt;0,"Sí","No")</f>
        <v>No</v>
      </c>
      <c r="AL140" s="102" t="str">
        <f t="shared" si="67"/>
        <v>Sin descuento</v>
      </c>
      <c r="AM140" s="102" t="str">
        <f>IF(SUMPRODUCT(--ISNUMBER(SEARCH({"0","1","2","3","4","5","6","7","8","9","favorit","maquillaje","piel","cabello","productos","belleza","regalo"},E140)))&gt;0,"Sí","No")</f>
        <v>Sí</v>
      </c>
      <c r="AN140" s="102" t="str">
        <f>IF(SUMPRODUCT(--ISNUMBER(SEARCH({"lo que tenemos","estas ofertas","algo especial","ofertas únicas","que preparamos","no te quedes","echa un vistazo"},F140)))&gt;0,"Sí","No")</f>
        <v>No</v>
      </c>
      <c r="AO140" s="102">
        <f t="shared" si="68"/>
        <v>45</v>
      </c>
      <c r="AP140" s="102">
        <f t="shared" si="69"/>
        <v>8</v>
      </c>
      <c r="AQ140" s="102">
        <f>SUMPRODUCT(LEN(E140)-LEN(SUBSTITUTE(E140,{"!","¡","?","¿",":",",",".","%","·","-",";"},"")))</f>
        <v>1</v>
      </c>
      <c r="AR140" s="102" t="str">
        <f t="shared" si="70"/>
        <v>Sí</v>
      </c>
      <c r="AS140" s="102" t="str">
        <f t="shared" si="71"/>
        <v>No</v>
      </c>
      <c r="AT140" s="102" t="str">
        <f>IF(SUMPRODUCT(--ISNUMBER(FIND({"0","1","2","3","4","5","6","7","8","9"},E140)))&gt;0,"Con cifra concreta",IF(OR(ISNUMBER(FIND("?",E140)),ISNUMBER(FIND("¿",E140))),"Pregunta abierta",IF(SUMPRODUCT(--ISNUMBER(SEARCH({" hoy ","horas","tiempo limitado","antes de que","se acab","se agot","finalic","última oportunidad","oportunidad única","relámpago","express","no esperes","no volver","no parpadees"," ya ","últimas horas","últimas unidades"," ahora "},AF140)))&gt;0,"Solo urgencia, sin cifra",IF(SUMPRODUCT(--ISNUMBER(SEARCH({"recompensa","sorpresa","regalo","lealtad","detalle","gracias","pensamos en ti","para ti"},E140)))&gt;0,"Recompensa o sorpresa","Otro: beneficio o novedad"))))</f>
        <v>Otro: beneficio o novedad</v>
      </c>
    </row>
    <row r="141" spans="1:46" x14ac:dyDescent="0.2">
      <c r="A141" s="96" t="s">
        <v>1012</v>
      </c>
      <c r="B141" s="96" t="s">
        <v>275</v>
      </c>
      <c r="C141" s="96" t="s">
        <v>944</v>
      </c>
      <c r="D141" s="96" t="s">
        <v>794</v>
      </c>
      <c r="E141" s="96" t="s">
        <v>465</v>
      </c>
      <c r="F141" s="96" t="s">
        <v>466</v>
      </c>
      <c r="G141" s="97">
        <v>200832</v>
      </c>
      <c r="H141" s="97">
        <v>69752</v>
      </c>
      <c r="I141" s="97">
        <v>15423</v>
      </c>
      <c r="J141" s="98">
        <v>7.51</v>
      </c>
      <c r="K141" s="98">
        <v>1.42</v>
      </c>
      <c r="L141" s="99">
        <v>21454.77</v>
      </c>
      <c r="M141" s="100">
        <f t="shared" si="48"/>
        <v>34.731516889738693</v>
      </c>
      <c r="N141" s="100">
        <f t="shared" si="49"/>
        <v>7.679553059273422</v>
      </c>
      <c r="O141" s="100">
        <f t="shared" si="50"/>
        <v>22.111193944259664</v>
      </c>
      <c r="P141" s="100">
        <f t="shared" si="51"/>
        <v>106.82943953154876</v>
      </c>
      <c r="Q141" s="100">
        <f t="shared" si="52"/>
        <v>33.047230763392911</v>
      </c>
      <c r="R141" s="100">
        <f t="shared" si="53"/>
        <v>27.021447627328243</v>
      </c>
      <c r="S141" s="101">
        <f t="shared" si="54"/>
        <v>45943</v>
      </c>
      <c r="T141" s="102" t="str">
        <f t="shared" si="55"/>
        <v>Octubre</v>
      </c>
      <c r="U141" s="102" t="str">
        <f t="shared" si="56"/>
        <v>Lunes</v>
      </c>
      <c r="V141" s="102">
        <f t="shared" si="57"/>
        <v>12</v>
      </c>
      <c r="W141" s="102" t="str">
        <f t="shared" si="58"/>
        <v>Resto del mes</v>
      </c>
      <c r="X141" s="102">
        <f t="shared" si="59"/>
        <v>23</v>
      </c>
      <c r="Y141" s="102" t="str">
        <f t="shared" si="60"/>
        <v>Sí</v>
      </c>
      <c r="Z141" s="102" t="str">
        <f>CHOOSE(MATCH(B141,{"Customer Appreciation","Exclusive Offers","Flash Sale","Holiday Discounts","New Product Launch","Newsletter"},0),"Fidelizar","Vender","Vender","Vender","Lanzar","Educar")</f>
        <v>Vender</v>
      </c>
      <c r="AA141" s="102" t="str">
        <f t="shared" si="61"/>
        <v>200 a 300 mil</v>
      </c>
      <c r="AB141" s="102">
        <f>COUNTIFS($E$5:$E$493,E141,$S$5:$S$493,"&lt;"&amp;S141)+COUNTIFS($E$5:E141,E141,$S$5:S141,S141)</f>
        <v>14</v>
      </c>
      <c r="AC141" s="102">
        <f t="shared" si="62"/>
        <v>22</v>
      </c>
      <c r="AD141" s="102" t="str">
        <f t="shared" si="63"/>
        <v>Medio</v>
      </c>
      <c r="AE141" s="103">
        <f t="shared" si="64"/>
        <v>1.684286126345782</v>
      </c>
      <c r="AF141" s="102" t="str">
        <f t="shared" si="65"/>
        <v xml:space="preserve">  ofertas exclusivas  solo para nuestra comunidad vip </v>
      </c>
      <c r="AG141" s="102" t="str">
        <f t="shared" si="66"/>
        <v xml:space="preserve"> productos premium con descuentos únicos   acceso limitado  </v>
      </c>
      <c r="AH141" s="102" t="str">
        <f>IF(SUMPRODUCT(--(LEFT(IF(LEFT(LOWER(E141),1)="¡",MID(LOWER(E141),2,300),LOWER(E141)),LEN({"actualizaci","el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141" s="102" t="str">
        <f>IF(OR(SUMPRODUCT(--ISNUMBER(SEARCH({"descuento","oferta","ahorr","precio"," sale ","flash","deals"},AF141)))&gt;0,SUMPRODUCT(--ISNUMBER(SEARCH({"descuento","oferta","ahorr","precio"," sale ","flash","deals"},AG141)))&gt;0),"Sí","No")</f>
        <v>Sí</v>
      </c>
      <c r="AJ141" s="102" t="str">
        <f>IF(SUMPRODUCT(--ISNUMBER(SEARCH({" hoy ","horas","tiempo limitado","antes de que","se acab","se agot","finalic","última oportunidad","oportunidad única","relámpago","express","no esperes","no volver","no parpadees"},AF141)))&gt;0,"Sí","No")</f>
        <v>No</v>
      </c>
      <c r="AK141" s="102" t="str">
        <f>IF(SUMPRODUCT(--ISNUMBER(SEARCH({" hoy ","horas","tiempo limitado","antes de que","se acab","se agot","finalic","última oportunidad","oportunidad única","relámpago","express","no esperes","no volver","no parpadees"},AG141)))&gt;0,"Sí","No")</f>
        <v>No</v>
      </c>
      <c r="AL141" s="102" t="str">
        <f t="shared" si="67"/>
        <v>Descuento sin tiempo límite</v>
      </c>
      <c r="AM141" s="102" t="str">
        <f>IF(SUMPRODUCT(--ISNUMBER(SEARCH({"0","1","2","3","4","5","6","7","8","9","favorit","maquillaje","piel","cabello","productos","belleza","regalo"},E141)))&gt;0,"Sí","No")</f>
        <v>No</v>
      </c>
      <c r="AN141" s="102" t="str">
        <f>IF(SUMPRODUCT(--ISNUMBER(SEARCH({"lo que tenemos","estas ofertas","algo especial","ofertas únicas","que preparamos","no te quedes","echa un vistazo"},F141)))&gt;0,"Sí","No")</f>
        <v>No</v>
      </c>
      <c r="AO141" s="102">
        <f t="shared" si="68"/>
        <v>52</v>
      </c>
      <c r="AP141" s="102">
        <f t="shared" si="69"/>
        <v>7</v>
      </c>
      <c r="AQ141" s="102">
        <f>SUMPRODUCT(LEN(E141)-LEN(SUBSTITUTE(E141,{"!","¡","?","¿",":",",",".","%","·","-",";"},"")))</f>
        <v>2</v>
      </c>
      <c r="AR141" s="102" t="str">
        <f t="shared" si="70"/>
        <v>Sí</v>
      </c>
      <c r="AS141" s="102" t="str">
        <f t="shared" si="71"/>
        <v>No</v>
      </c>
      <c r="AT141" s="102" t="str">
        <f>IF(SUMPRODUCT(--ISNUMBER(FIND({"0","1","2","3","4","5","6","7","8","9"},E141)))&gt;0,"Con cifra concreta",IF(OR(ISNUMBER(FIND("?",E141)),ISNUMBER(FIND("¿",E141))),"Pregunta abierta",IF(SUMPRODUCT(--ISNUMBER(SEARCH({" hoy ","horas","tiempo limitado","antes de que","se acab","se agot","finalic","última oportunidad","oportunidad única","relámpago","express","no esperes","no volver","no parpadees"," ya ","últimas horas","últimas unidades"," ahora "},AF141)))&gt;0,"Solo urgencia, sin cifra",IF(SUMPRODUCT(--ISNUMBER(SEARCH({"recompensa","sorpresa","regalo","lealtad","detalle","gracias","pensamos en ti","para ti"},E141)))&gt;0,"Recompensa o sorpresa","Otro: beneficio o novedad"))))</f>
        <v>Otro: beneficio o novedad</v>
      </c>
    </row>
    <row r="142" spans="1:46" x14ac:dyDescent="0.2">
      <c r="A142" s="104" t="s">
        <v>1013</v>
      </c>
      <c r="B142" s="104" t="s">
        <v>278</v>
      </c>
      <c r="C142" s="104" t="s">
        <v>889</v>
      </c>
      <c r="D142" s="104" t="s">
        <v>761</v>
      </c>
      <c r="E142" s="104" t="s">
        <v>467</v>
      </c>
      <c r="F142" s="104" t="s">
        <v>468</v>
      </c>
      <c r="G142" s="105">
        <v>17777</v>
      </c>
      <c r="H142" s="105">
        <v>4613</v>
      </c>
      <c r="I142" s="105">
        <v>2335</v>
      </c>
      <c r="J142" s="106">
        <v>4.92</v>
      </c>
      <c r="K142" s="106">
        <v>3.43</v>
      </c>
      <c r="L142" s="107">
        <v>48623.3</v>
      </c>
      <c r="M142" s="108">
        <f t="shared" si="48"/>
        <v>25.949260280137253</v>
      </c>
      <c r="N142" s="108">
        <f t="shared" si="49"/>
        <v>13.134949654047364</v>
      </c>
      <c r="O142" s="108">
        <f t="shared" si="50"/>
        <v>50.617819206590077</v>
      </c>
      <c r="P142" s="108">
        <f t="shared" si="51"/>
        <v>2735.1802891376501</v>
      </c>
      <c r="Q142" s="108">
        <f t="shared" si="52"/>
        <v>30.93688234168668</v>
      </c>
      <c r="R142" s="108">
        <f t="shared" si="53"/>
        <v>29.458247936272421</v>
      </c>
      <c r="S142" s="101">
        <f t="shared" si="54"/>
        <v>45908</v>
      </c>
      <c r="T142" s="102" t="str">
        <f t="shared" si="55"/>
        <v>Septiembre</v>
      </c>
      <c r="U142" s="102" t="str">
        <f t="shared" si="56"/>
        <v>Lunes</v>
      </c>
      <c r="V142" s="102">
        <f t="shared" si="57"/>
        <v>10</v>
      </c>
      <c r="W142" s="102" t="str">
        <f t="shared" si="58"/>
        <v>Resto del mes</v>
      </c>
      <c r="X142" s="102">
        <f t="shared" si="59"/>
        <v>28</v>
      </c>
      <c r="Y142" s="102" t="str">
        <f t="shared" si="60"/>
        <v>Sí</v>
      </c>
      <c r="Z142" s="102" t="str">
        <f>CHOOSE(MATCH(B142,{"Customer Appreciation","Exclusive Offers","Flash Sale","Holiday Discounts","New Product Launch","Newsletter"},0),"Fidelizar","Vender","Vender","Vender","Lanzar","Educar")</f>
        <v>Lanzar</v>
      </c>
      <c r="AA142" s="102" t="str">
        <f t="shared" si="61"/>
        <v>Menos de 100 mil</v>
      </c>
      <c r="AB142" s="102">
        <f>COUNTIFS($E$5:$E$493,E142,$S$5:$S$493,"&lt;"&amp;S142)+COUNTIFS($E$5:E142,E142,$S$5:S142,S142)</f>
        <v>8</v>
      </c>
      <c r="AC142" s="102">
        <f t="shared" si="62"/>
        <v>22</v>
      </c>
      <c r="AD142" s="102" t="str">
        <f t="shared" si="63"/>
        <v>Medio</v>
      </c>
      <c r="AE142" s="103">
        <f t="shared" si="64"/>
        <v>-4.9876220615494269</v>
      </c>
      <c r="AF142" s="102" t="str">
        <f t="shared" si="65"/>
        <v xml:space="preserve">  lo nuevo de l'oréal  te va a encantar  innovación en belleza </v>
      </c>
      <c r="AG142" s="102" t="str">
        <f t="shared" si="66"/>
        <v xml:space="preserve"> prepárate para experimentar la innovación en tu belleza   descúbrela  </v>
      </c>
      <c r="AH142" s="102" t="str">
        <f>IF(SUMPRODUCT(--(LEFT(IF(LEFT(LOWER(E142),1)="¡",MID(LOWER(E142),2,300),LOWER(E142)),LEN({"actualizaci","el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142" s="102" t="str">
        <f>IF(OR(SUMPRODUCT(--ISNUMBER(SEARCH({"descuento","oferta","ahorr","precio"," sale ","flash","deals"},AF142)))&gt;0,SUMPRODUCT(--ISNUMBER(SEARCH({"descuento","oferta","ahorr","precio"," sale ","flash","deals"},AG142)))&gt;0),"Sí","No")</f>
        <v>No</v>
      </c>
      <c r="AJ142" s="102" t="str">
        <f>IF(SUMPRODUCT(--ISNUMBER(SEARCH({" hoy ","horas","tiempo limitado","antes de que","se acab","se agot","finalic","última oportunidad","oportunidad única","relámpago","express","no esperes","no volver","no parpadees"},AF142)))&gt;0,"Sí","No")</f>
        <v>No</v>
      </c>
      <c r="AK142" s="102" t="str">
        <f>IF(SUMPRODUCT(--ISNUMBER(SEARCH({" hoy ","horas","tiempo limitado","antes de que","se acab","se agot","finalic","última oportunidad","oportunidad única","relámpago","express","no esperes","no volver","no parpadees"},AG142)))&gt;0,"Sí","No")</f>
        <v>No</v>
      </c>
      <c r="AL142" s="102" t="str">
        <f t="shared" si="67"/>
        <v>Sin descuento</v>
      </c>
      <c r="AM142" s="102" t="str">
        <f>IF(SUMPRODUCT(--ISNUMBER(SEARCH({"0","1","2","3","4","5","6","7","8","9","favorit","maquillaje","piel","cabello","productos","belleza","regalo"},E142)))&gt;0,"Sí","No")</f>
        <v>Sí</v>
      </c>
      <c r="AN142" s="102" t="str">
        <f>IF(SUMPRODUCT(--ISNUMBER(SEARCH({"lo que tenemos","estas ofertas","algo especial","ofertas únicas","que preparamos","no te quedes","echa un vistazo"},F142)))&gt;0,"Sí","No")</f>
        <v>No</v>
      </c>
      <c r="AO142" s="102">
        <f t="shared" si="68"/>
        <v>61</v>
      </c>
      <c r="AP142" s="102">
        <f t="shared" si="69"/>
        <v>11</v>
      </c>
      <c r="AQ142" s="102">
        <f>SUMPRODUCT(LEN(E142)-LEN(SUBSTITUTE(E142,{"!","¡","?","¿",":",",",".","%","·","-",";"},"")))</f>
        <v>3</v>
      </c>
      <c r="AR142" s="102" t="str">
        <f t="shared" si="70"/>
        <v>No</v>
      </c>
      <c r="AS142" s="102" t="str">
        <f t="shared" si="71"/>
        <v>No</v>
      </c>
      <c r="AT142" s="102" t="str">
        <f>IF(SUMPRODUCT(--ISNUMBER(FIND({"0","1","2","3","4","5","6","7","8","9"},E142)))&gt;0,"Con cifra concreta",IF(OR(ISNUMBER(FIND("?",E142)),ISNUMBER(FIND("¿",E142))),"Pregunta abierta",IF(SUMPRODUCT(--ISNUMBER(SEARCH({" hoy ","horas","tiempo limitado","antes de que","se acab","se agot","finalic","última oportunidad","oportunidad única","relámpago","express","no esperes","no volver","no parpadees"," ya ","últimas horas","últimas unidades"," ahora "},AF142)))&gt;0,"Solo urgencia, sin cifra",IF(SUMPRODUCT(--ISNUMBER(SEARCH({"recompensa","sorpresa","regalo","lealtad","detalle","gracias","pensamos en ti","para ti"},E142)))&gt;0,"Recompensa o sorpresa","Otro: beneficio o novedad"))))</f>
        <v>Otro: beneficio o novedad</v>
      </c>
    </row>
    <row r="143" spans="1:46" x14ac:dyDescent="0.2">
      <c r="A143" s="96" t="s">
        <v>1014</v>
      </c>
      <c r="B143" s="96" t="s">
        <v>278</v>
      </c>
      <c r="C143" s="96" t="s">
        <v>891</v>
      </c>
      <c r="D143" s="96" t="s">
        <v>786</v>
      </c>
      <c r="E143" s="96" t="s">
        <v>735</v>
      </c>
      <c r="F143" s="96" t="s">
        <v>458</v>
      </c>
      <c r="G143" s="97">
        <v>82571</v>
      </c>
      <c r="H143" s="97">
        <v>9439</v>
      </c>
      <c r="I143" s="97">
        <v>8605</v>
      </c>
      <c r="J143" s="98">
        <v>5.12</v>
      </c>
      <c r="K143" s="98">
        <v>4.26</v>
      </c>
      <c r="L143" s="99">
        <v>75709.84</v>
      </c>
      <c r="M143" s="100">
        <f t="shared" si="48"/>
        <v>11.431374211284833</v>
      </c>
      <c r="N143" s="100">
        <f t="shared" si="49"/>
        <v>10.421334366787372</v>
      </c>
      <c r="O143" s="100">
        <f t="shared" si="50"/>
        <v>91.164318254052333</v>
      </c>
      <c r="P143" s="100">
        <f t="shared" si="51"/>
        <v>916.90593549793505</v>
      </c>
      <c r="Q143" s="100">
        <f t="shared" si="52"/>
        <v>35.394522582730353</v>
      </c>
      <c r="R143" s="100">
        <f t="shared" si="53"/>
        <v>29.458247936272421</v>
      </c>
      <c r="S143" s="101">
        <f t="shared" si="54"/>
        <v>45888</v>
      </c>
      <c r="T143" s="102" t="str">
        <f t="shared" si="55"/>
        <v>Agosto</v>
      </c>
      <c r="U143" s="102" t="str">
        <f t="shared" si="56"/>
        <v>Martes</v>
      </c>
      <c r="V143" s="102">
        <f t="shared" si="57"/>
        <v>15</v>
      </c>
      <c r="W143" s="102" t="str">
        <f t="shared" si="58"/>
        <v>Días después del pago</v>
      </c>
      <c r="X143" s="102">
        <f t="shared" si="59"/>
        <v>29</v>
      </c>
      <c r="Y143" s="102" t="str">
        <f t="shared" si="60"/>
        <v>Sí</v>
      </c>
      <c r="Z143" s="102" t="str">
        <f>CHOOSE(MATCH(B143,{"Customer Appreciation","Exclusive Offers","Flash Sale","Holiday Discounts","New Product Launch","Newsletter"},0),"Fidelizar","Vender","Vender","Vender","Lanzar","Educar")</f>
        <v>Lanzar</v>
      </c>
      <c r="AA143" s="102" t="str">
        <f t="shared" si="61"/>
        <v>Menos de 100 mil</v>
      </c>
      <c r="AB143" s="102">
        <f>COUNTIFS($E$5:$E$493,E143,$S$5:$S$493,"&lt;"&amp;S143)+COUNTIFS($E$5:E143,E143,$S$5:S143,S143)</f>
        <v>1</v>
      </c>
      <c r="AC143" s="102">
        <f t="shared" si="62"/>
        <v>3</v>
      </c>
      <c r="AD143" s="102" t="str">
        <f t="shared" si="63"/>
        <v/>
      </c>
      <c r="AE143" s="103">
        <f t="shared" si="64"/>
        <v>-23.96314837144552</v>
      </c>
      <c r="AF143" s="102" t="str">
        <f t="shared" si="65"/>
        <v xml:space="preserve">  el futuro de tu piel ha llegado  nuevo producto estrella </v>
      </c>
      <c r="AG143" s="102" t="str">
        <f t="shared" si="66"/>
        <v xml:space="preserve"> una fórmula revolucionaria para resultados visibles   compruébalo  </v>
      </c>
      <c r="AH143" s="102" t="str">
        <f>IF(SUMPRODUCT(--(LEFT(IF(LEFT(LOWER(E143),1)="¡",MID(LOWER(E143),2,300),LOWER(E143)),LEN({"actualizaci","el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143" s="102" t="str">
        <f>IF(OR(SUMPRODUCT(--ISNUMBER(SEARCH({"descuento","oferta","ahorr","precio"," sale ","flash","deals"},AF143)))&gt;0,SUMPRODUCT(--ISNUMBER(SEARCH({"descuento","oferta","ahorr","precio"," sale ","flash","deals"},AG143)))&gt;0),"Sí","No")</f>
        <v>No</v>
      </c>
      <c r="AJ143" s="102" t="str">
        <f>IF(SUMPRODUCT(--ISNUMBER(SEARCH({" hoy ","horas","tiempo limitado","antes de que","se acab","se agot","finalic","última oportunidad","oportunidad única","relámpago","express","no esperes","no volver","no parpadees"},AF143)))&gt;0,"Sí","No")</f>
        <v>No</v>
      </c>
      <c r="AK143" s="102" t="str">
        <f>IF(SUMPRODUCT(--ISNUMBER(SEARCH({" hoy ","horas","tiempo limitado","antes de que","se acab","se agot","finalic","última oportunidad","oportunidad única","relámpago","express","no esperes","no volver","no parpadees"},AG143)))&gt;0,"Sí","No")</f>
        <v>No</v>
      </c>
      <c r="AL143" s="102" t="str">
        <f t="shared" si="67"/>
        <v>Sin descuento</v>
      </c>
      <c r="AM143" s="102" t="str">
        <f>IF(SUMPRODUCT(--ISNUMBER(SEARCH({"0","1","2","3","4","5","6","7","8","9","favorit","maquillaje","piel","cabello","productos","belleza","regalo"},E143)))&gt;0,"Sí","No")</f>
        <v>Sí</v>
      </c>
      <c r="AN143" s="102" t="str">
        <f>IF(SUMPRODUCT(--ISNUMBER(SEARCH({"lo que tenemos","estas ofertas","algo especial","ofertas únicas","que preparamos","no te quedes","echa un vistazo"},F143)))&gt;0,"Sí","No")</f>
        <v>No</v>
      </c>
      <c r="AO143" s="102">
        <f t="shared" si="68"/>
        <v>57</v>
      </c>
      <c r="AP143" s="102">
        <f t="shared" si="69"/>
        <v>10</v>
      </c>
      <c r="AQ143" s="102">
        <f>SUMPRODUCT(LEN(E143)-LEN(SUBSTITUTE(E143,{"!","¡","?","¿",":",",",".","%","·","-",";"},"")))</f>
        <v>2</v>
      </c>
      <c r="AR143" s="102" t="str">
        <f t="shared" si="70"/>
        <v>No</v>
      </c>
      <c r="AS143" s="102" t="str">
        <f t="shared" si="71"/>
        <v>No</v>
      </c>
      <c r="AT143" s="102" t="str">
        <f>IF(SUMPRODUCT(--ISNUMBER(FIND({"0","1","2","3","4","5","6","7","8","9"},E143)))&gt;0,"Con cifra concreta",IF(OR(ISNUMBER(FIND("?",E143)),ISNUMBER(FIND("¿",E143))),"Pregunta abierta",IF(SUMPRODUCT(--ISNUMBER(SEARCH({" hoy ","horas","tiempo limitado","antes de que","se acab","se agot","finalic","última oportunidad","oportunidad única","relámpago","express","no esperes","no volver","no parpadees"," ya ","últimas horas","últimas unidades"," ahora "},AF143)))&gt;0,"Solo urgencia, sin cifra",IF(SUMPRODUCT(--ISNUMBER(SEARCH({"recompensa","sorpresa","regalo","lealtad","detalle","gracias","pensamos en ti","para ti"},E143)))&gt;0,"Recompensa o sorpresa","Otro: beneficio o novedad"))))</f>
        <v>Otro: beneficio o novedad</v>
      </c>
    </row>
    <row r="144" spans="1:46" x14ac:dyDescent="0.2">
      <c r="A144" s="104" t="s">
        <v>1015</v>
      </c>
      <c r="B144" s="104" t="s">
        <v>279</v>
      </c>
      <c r="C144" s="104" t="s">
        <v>915</v>
      </c>
      <c r="D144" s="104" t="s">
        <v>769</v>
      </c>
      <c r="E144" s="104" t="s">
        <v>910</v>
      </c>
      <c r="F144" s="104" t="s">
        <v>911</v>
      </c>
      <c r="G144" s="105">
        <v>393298</v>
      </c>
      <c r="H144" s="105">
        <v>35165</v>
      </c>
      <c r="I144" s="105">
        <v>28205</v>
      </c>
      <c r="J144" s="106">
        <v>1.06</v>
      </c>
      <c r="K144" s="106">
        <v>1.94</v>
      </c>
      <c r="L144" s="107">
        <v>97442.17</v>
      </c>
      <c r="M144" s="108">
        <f t="shared" si="48"/>
        <v>8.9410574170222059</v>
      </c>
      <c r="N144" s="108">
        <f t="shared" si="49"/>
        <v>7.1714069229947777</v>
      </c>
      <c r="O144" s="108">
        <f t="shared" si="50"/>
        <v>80.207592776908854</v>
      </c>
      <c r="P144" s="108">
        <f t="shared" si="51"/>
        <v>247.75658660862754</v>
      </c>
      <c r="Q144" s="108">
        <f t="shared" si="52"/>
        <v>15.145242573985856</v>
      </c>
      <c r="R144" s="108">
        <f t="shared" si="53"/>
        <v>27.75136451093497</v>
      </c>
      <c r="S144" s="101">
        <f t="shared" si="54"/>
        <v>45954</v>
      </c>
      <c r="T144" s="102" t="str">
        <f t="shared" si="55"/>
        <v>Octubre</v>
      </c>
      <c r="U144" s="102" t="str">
        <f t="shared" si="56"/>
        <v>Viernes</v>
      </c>
      <c r="V144" s="102">
        <f t="shared" si="57"/>
        <v>13</v>
      </c>
      <c r="W144" s="102" t="str">
        <f t="shared" si="58"/>
        <v>Resto del mes</v>
      </c>
      <c r="X144" s="102">
        <f t="shared" si="59"/>
        <v>29</v>
      </c>
      <c r="Y144" s="102" t="str">
        <f t="shared" si="60"/>
        <v>Sí</v>
      </c>
      <c r="Z144" s="102" t="str">
        <f>CHOOSE(MATCH(B144,{"Customer Appreciation","Exclusive Offers","Flash Sale","Holiday Discounts","New Product Launch","Newsletter"},0),"Fidelizar","Vender","Vender","Vender","Lanzar","Educar")</f>
        <v>Educar</v>
      </c>
      <c r="AA144" s="102" t="str">
        <f t="shared" si="61"/>
        <v>300 a 400 mil</v>
      </c>
      <c r="AB144" s="102">
        <f>COUNTIFS($E$5:$E$493,E144,$S$5:$S$493,"&lt;"&amp;S144)+COUNTIFS($E$5:E144,E144,$S$5:S144,S144)</f>
        <v>3</v>
      </c>
      <c r="AC144" s="102">
        <f t="shared" si="62"/>
        <v>3</v>
      </c>
      <c r="AD144" s="102" t="str">
        <f t="shared" si="63"/>
        <v/>
      </c>
      <c r="AE144" s="103">
        <f t="shared" si="64"/>
        <v>-6.2041851569636499</v>
      </c>
      <c r="AF144" s="102" t="str">
        <f t="shared" si="65"/>
        <v xml:space="preserve"> el resumen semanal de l'oréal  novedades beauty </v>
      </c>
      <c r="AG144" s="102" t="str">
        <f t="shared" si="66"/>
        <v xml:space="preserve"> no te pierdas las últimas noticias y tendencias   lee más  </v>
      </c>
      <c r="AH144" s="102" t="str">
        <f>IF(SUMPRODUCT(--(LEFT(IF(LEFT(LOWER(E144),1)="¡",MID(LOWER(E144),2,300),LOWER(E144)),LEN({"actualizaci","el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Sí</v>
      </c>
      <c r="AI144" s="102" t="str">
        <f>IF(OR(SUMPRODUCT(--ISNUMBER(SEARCH({"descuento","oferta","ahorr","precio"," sale ","flash","deals"},AF144)))&gt;0,SUMPRODUCT(--ISNUMBER(SEARCH({"descuento","oferta","ahorr","precio"," sale ","flash","deals"},AG144)))&gt;0),"Sí","No")</f>
        <v>No</v>
      </c>
      <c r="AJ144" s="102" t="str">
        <f>IF(SUMPRODUCT(--ISNUMBER(SEARCH({" hoy ","horas","tiempo limitado","antes de que","se acab","se agot","finalic","última oportunidad","oportunidad única","relámpago","express","no esperes","no volver","no parpadees"},AF144)))&gt;0,"Sí","No")</f>
        <v>No</v>
      </c>
      <c r="AK144" s="102" t="str">
        <f>IF(SUMPRODUCT(--ISNUMBER(SEARCH({" hoy ","horas","tiempo limitado","antes de que","se acab","se agot","finalic","última oportunidad","oportunidad única","relámpago","express","no esperes","no volver","no parpadees"},AG144)))&gt;0,"Sí","No")</f>
        <v>No</v>
      </c>
      <c r="AL144" s="102" t="str">
        <f t="shared" si="67"/>
        <v>Sin descuento</v>
      </c>
      <c r="AM144" s="102" t="str">
        <f>IF(SUMPRODUCT(--ISNUMBER(SEARCH({"0","1","2","3","4","5","6","7","8","9","favorit","maquillaje","piel","cabello","productos","belleza","regalo"},E144)))&gt;0,"Sí","No")</f>
        <v>No</v>
      </c>
      <c r="AN144" s="102" t="str">
        <f>IF(SUMPRODUCT(--ISNUMBER(SEARCH({"lo que tenemos","estas ofertas","algo especial","ofertas únicas","que preparamos","no te quedes","echa un vistazo"},F144)))&gt;0,"Sí","No")</f>
        <v>No</v>
      </c>
      <c r="AO144" s="102">
        <f t="shared" si="68"/>
        <v>47</v>
      </c>
      <c r="AP144" s="102">
        <f t="shared" si="69"/>
        <v>7</v>
      </c>
      <c r="AQ144" s="102">
        <f>SUMPRODUCT(LEN(E144)-LEN(SUBSTITUTE(E144,{"!","¡","?","¿",":",",",".","%","·","-",";"},"")))</f>
        <v>1</v>
      </c>
      <c r="AR144" s="102" t="str">
        <f t="shared" si="70"/>
        <v>Sí</v>
      </c>
      <c r="AS144" s="102" t="str">
        <f t="shared" si="71"/>
        <v>No</v>
      </c>
      <c r="AT144" s="102" t="str">
        <f>IF(SUMPRODUCT(--ISNUMBER(FIND({"0","1","2","3","4","5","6","7","8","9"},E144)))&gt;0,"Con cifra concreta",IF(OR(ISNUMBER(FIND("?",E144)),ISNUMBER(FIND("¿",E144))),"Pregunta abierta",IF(SUMPRODUCT(--ISNUMBER(SEARCH({" hoy ","horas","tiempo limitado","antes de que","se acab","se agot","finalic","última oportunidad","oportunidad única","relámpago","express","no esperes","no volver","no parpadees"," ya ","últimas horas","últimas unidades"," ahora "},AF144)))&gt;0,"Solo urgencia, sin cifra",IF(SUMPRODUCT(--ISNUMBER(SEARCH({"recompensa","sorpresa","regalo","lealtad","detalle","gracias","pensamos en ti","para ti"},E144)))&gt;0,"Recompensa o sorpresa","Otro: beneficio o novedad"))))</f>
        <v>Otro: beneficio o novedad</v>
      </c>
    </row>
    <row r="145" spans="1:46" x14ac:dyDescent="0.2">
      <c r="A145" s="96" t="s">
        <v>1016</v>
      </c>
      <c r="B145" s="96" t="s">
        <v>275</v>
      </c>
      <c r="C145" s="96" t="s">
        <v>917</v>
      </c>
      <c r="D145" s="96" t="s">
        <v>774</v>
      </c>
      <c r="E145" s="96" t="s">
        <v>862</v>
      </c>
      <c r="F145" s="96" t="s">
        <v>863</v>
      </c>
      <c r="G145" s="97">
        <v>64125</v>
      </c>
      <c r="H145" s="97">
        <v>3655</v>
      </c>
      <c r="I145" s="97">
        <v>2187</v>
      </c>
      <c r="J145" s="98">
        <v>3.14</v>
      </c>
      <c r="K145" s="98">
        <v>0.34</v>
      </c>
      <c r="L145" s="99">
        <v>63468.22</v>
      </c>
      <c r="M145" s="100">
        <f t="shared" si="48"/>
        <v>5.6998050682261203</v>
      </c>
      <c r="N145" s="100">
        <f t="shared" si="49"/>
        <v>3.4105263157894736</v>
      </c>
      <c r="O145" s="100">
        <f t="shared" si="50"/>
        <v>59.835841313269491</v>
      </c>
      <c r="P145" s="100">
        <f t="shared" si="51"/>
        <v>989.7578167641326</v>
      </c>
      <c r="Q145" s="100">
        <f t="shared" si="52"/>
        <v>16.495238452924411</v>
      </c>
      <c r="R145" s="100">
        <f t="shared" si="53"/>
        <v>27.021447627328243</v>
      </c>
      <c r="S145" s="101">
        <f t="shared" si="54"/>
        <v>45916</v>
      </c>
      <c r="T145" s="102" t="str">
        <f t="shared" si="55"/>
        <v>Septiembre</v>
      </c>
      <c r="U145" s="102" t="str">
        <f t="shared" si="56"/>
        <v>Martes</v>
      </c>
      <c r="V145" s="102">
        <f t="shared" si="57"/>
        <v>11</v>
      </c>
      <c r="W145" s="102" t="str">
        <f t="shared" si="58"/>
        <v>Quincena</v>
      </c>
      <c r="X145" s="102">
        <f t="shared" si="59"/>
        <v>27</v>
      </c>
      <c r="Y145" s="102" t="str">
        <f t="shared" si="60"/>
        <v>Sí</v>
      </c>
      <c r="Z145" s="102" t="str">
        <f>CHOOSE(MATCH(B145,{"Customer Appreciation","Exclusive Offers","Flash Sale","Holiday Discounts","New Product Launch","Newsletter"},0),"Fidelizar","Vender","Vender","Vender","Lanzar","Educar")</f>
        <v>Vender</v>
      </c>
      <c r="AA145" s="102" t="str">
        <f t="shared" si="61"/>
        <v>Menos de 100 mil</v>
      </c>
      <c r="AB145" s="102">
        <f>COUNTIFS($E$5:$E$493,E145,$S$5:$S$493,"&lt;"&amp;S145)+COUNTIFS($E$5:E145,E145,$S$5:S145,S145)</f>
        <v>3</v>
      </c>
      <c r="AC145" s="102">
        <f t="shared" si="62"/>
        <v>3</v>
      </c>
      <c r="AD145" s="102" t="str">
        <f t="shared" si="63"/>
        <v/>
      </c>
      <c r="AE145" s="103">
        <f t="shared" si="64"/>
        <v>-10.795433384698292</v>
      </c>
      <c r="AF145" s="102" t="str">
        <f t="shared" si="65"/>
        <v xml:space="preserve">  tu oportunidad de conseguirlo  ofertas vip  solo por hoy </v>
      </c>
      <c r="AG145" s="102" t="str">
        <f t="shared" si="66"/>
        <v xml:space="preserve"> descuentos únicos en productos seleccionados   acceso limitado  </v>
      </c>
      <c r="AH145" s="102" t="str">
        <f>IF(SUMPRODUCT(--(LEFT(IF(LEFT(LOWER(E145),1)="¡",MID(LOWER(E145),2,300),LOWER(E145)),LEN({"actualizaci","el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Sí</v>
      </c>
      <c r="AI145" s="102" t="str">
        <f>IF(OR(SUMPRODUCT(--ISNUMBER(SEARCH({"descuento","oferta","ahorr","precio"," sale ","flash","deals"},AF145)))&gt;0,SUMPRODUCT(--ISNUMBER(SEARCH({"descuento","oferta","ahorr","precio"," sale ","flash","deals"},AG145)))&gt;0),"Sí","No")</f>
        <v>Sí</v>
      </c>
      <c r="AJ145" s="102" t="str">
        <f>IF(SUMPRODUCT(--ISNUMBER(SEARCH({" hoy ","horas","tiempo limitado","antes de que","se acab","se agot","finalic","última oportunidad","oportunidad única","relámpago","express","no esperes","no volver","no parpadees"},AF145)))&gt;0,"Sí","No")</f>
        <v>Sí</v>
      </c>
      <c r="AK145" s="102" t="str">
        <f>IF(SUMPRODUCT(--ISNUMBER(SEARCH({" hoy ","horas","tiempo limitado","antes de que","se acab","se agot","finalic","última oportunidad","oportunidad única","relámpago","express","no esperes","no volver","no parpadees"},AG145)))&gt;0,"Sí","No")</f>
        <v>No</v>
      </c>
      <c r="AL145" s="102" t="str">
        <f t="shared" si="67"/>
        <v>Descuento con tiempo límite en el asunto</v>
      </c>
      <c r="AM145" s="102" t="str">
        <f>IF(SUMPRODUCT(--ISNUMBER(SEARCH({"0","1","2","3","4","5","6","7","8","9","favorit","maquillaje","piel","cabello","productos","belleza","regalo"},E145)))&gt;0,"Sí","No")</f>
        <v>No</v>
      </c>
      <c r="AN145" s="102" t="str">
        <f>IF(SUMPRODUCT(--ISNUMBER(SEARCH({"lo que tenemos","estas ofertas","algo especial","ofertas únicas","que preparamos","no te quedes","echa un vistazo"},F145)))&gt;0,"Sí","No")</f>
        <v>No</v>
      </c>
      <c r="AO145" s="102">
        <f t="shared" si="68"/>
        <v>57</v>
      </c>
      <c r="AP145" s="102">
        <f t="shared" si="69"/>
        <v>9</v>
      </c>
      <c r="AQ145" s="102">
        <f>SUMPRODUCT(LEN(E145)-LEN(SUBSTITUTE(E145,{"!","¡","?","¿",":",",",".","%","·","-",";"},"")))</f>
        <v>3</v>
      </c>
      <c r="AR145" s="102" t="str">
        <f t="shared" si="70"/>
        <v>Sí</v>
      </c>
      <c r="AS145" s="102" t="str">
        <f t="shared" si="71"/>
        <v>No</v>
      </c>
      <c r="AT145" s="102" t="str">
        <f>IF(SUMPRODUCT(--ISNUMBER(FIND({"0","1","2","3","4","5","6","7","8","9"},E145)))&gt;0,"Con cifra concreta",IF(OR(ISNUMBER(FIND("?",E145)),ISNUMBER(FIND("¿",E145))),"Pregunta abierta",IF(SUMPRODUCT(--ISNUMBER(SEARCH({" hoy ","horas","tiempo limitado","antes de que","se acab","se agot","finalic","última oportunidad","oportunidad única","relámpago","express","no esperes","no volver","no parpadees"," ya ","últimas horas","últimas unidades"," ahora "},AF145)))&gt;0,"Solo urgencia, sin cifra",IF(SUMPRODUCT(--ISNUMBER(SEARCH({"recompensa","sorpresa","regalo","lealtad","detalle","gracias","pensamos en ti","para ti"},E145)))&gt;0,"Recompensa o sorpresa","Otro: beneficio o novedad"))))</f>
        <v>Solo urgencia, sin cifra</v>
      </c>
    </row>
    <row r="146" spans="1:46" x14ac:dyDescent="0.2">
      <c r="A146" s="104" t="s">
        <v>1017</v>
      </c>
      <c r="B146" s="104" t="s">
        <v>277</v>
      </c>
      <c r="C146" s="104" t="s">
        <v>923</v>
      </c>
      <c r="D146" s="104" t="s">
        <v>729</v>
      </c>
      <c r="E146" s="104" t="s">
        <v>461</v>
      </c>
      <c r="F146" s="104" t="s">
        <v>462</v>
      </c>
      <c r="G146" s="105">
        <v>180967</v>
      </c>
      <c r="H146" s="105">
        <v>77908</v>
      </c>
      <c r="I146" s="105">
        <v>28394</v>
      </c>
      <c r="J146" s="106">
        <v>4.16</v>
      </c>
      <c r="K146" s="106">
        <v>1.42</v>
      </c>
      <c r="L146" s="107">
        <v>61533.91</v>
      </c>
      <c r="M146" s="108">
        <f t="shared" si="48"/>
        <v>43.050942989605836</v>
      </c>
      <c r="N146" s="108">
        <f t="shared" si="49"/>
        <v>15.690153453392055</v>
      </c>
      <c r="O146" s="108">
        <f t="shared" si="50"/>
        <v>36.4455511629101</v>
      </c>
      <c r="P146" s="108">
        <f t="shared" si="51"/>
        <v>340.02834770980343</v>
      </c>
      <c r="Q146" s="108">
        <f t="shared" si="52"/>
        <v>35.409886702202286</v>
      </c>
      <c r="R146" s="108">
        <f t="shared" si="53"/>
        <v>30.71114383300629</v>
      </c>
      <c r="S146" s="101">
        <f t="shared" si="54"/>
        <v>45873</v>
      </c>
      <c r="T146" s="102" t="str">
        <f t="shared" si="55"/>
        <v>Agosto</v>
      </c>
      <c r="U146" s="102" t="str">
        <f t="shared" si="56"/>
        <v>Lunes</v>
      </c>
      <c r="V146" s="102">
        <f t="shared" si="57"/>
        <v>10</v>
      </c>
      <c r="W146" s="102" t="str">
        <f t="shared" si="58"/>
        <v>Días después del pago</v>
      </c>
      <c r="X146" s="102">
        <f t="shared" si="59"/>
        <v>24</v>
      </c>
      <c r="Y146" s="102" t="str">
        <f t="shared" si="60"/>
        <v>Sí</v>
      </c>
      <c r="Z146" s="102" t="str">
        <f>CHOOSE(MATCH(B146,{"Customer Appreciation","Exclusive Offers","Flash Sale","Holiday Discounts","New Product Launch","Newsletter"},0),"Fidelizar","Vender","Vender","Vender","Lanzar","Educar")</f>
        <v>Vender</v>
      </c>
      <c r="AA146" s="102" t="str">
        <f t="shared" si="61"/>
        <v>100 a 200 mil</v>
      </c>
      <c r="AB146" s="102">
        <f>COUNTIFS($E$5:$E$493,E146,$S$5:$S$493,"&lt;"&amp;S146)+COUNTIFS($E$5:E146,E146,$S$5:S146,S146)</f>
        <v>2</v>
      </c>
      <c r="AC146" s="102">
        <f t="shared" si="62"/>
        <v>30</v>
      </c>
      <c r="AD146" s="102" t="str">
        <f t="shared" si="63"/>
        <v>Primer tercio</v>
      </c>
      <c r="AE146" s="103">
        <f t="shared" si="64"/>
        <v>7.6410562874035506</v>
      </c>
      <c r="AF146" s="102" t="str">
        <f t="shared" si="65"/>
        <v xml:space="preserve">  regalos perfectos te esperan  descuentos de lujo  l'oréal </v>
      </c>
      <c r="AG146" s="102" t="str">
        <f t="shared" si="66"/>
        <v xml:space="preserve"> encuentra ese detalle especial para ti o tus seres queridos   descubre  </v>
      </c>
      <c r="AH146" s="102" t="str">
        <f>IF(SUMPRODUCT(--(LEFT(IF(LEFT(LOWER(E146),1)="¡",MID(LOWER(E146),2,300),LOWER(E146)),LEN({"actualizaci","el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146" s="102" t="str">
        <f>IF(OR(SUMPRODUCT(--ISNUMBER(SEARCH({"descuento","oferta","ahorr","precio"," sale ","flash","deals"},AF146)))&gt;0,SUMPRODUCT(--ISNUMBER(SEARCH({"descuento","oferta","ahorr","precio"," sale ","flash","deals"},AG146)))&gt;0),"Sí","No")</f>
        <v>Sí</v>
      </c>
      <c r="AJ146" s="102" t="str">
        <f>IF(SUMPRODUCT(--ISNUMBER(SEARCH({" hoy ","horas","tiempo limitado","antes de que","se acab","se agot","finalic","última oportunidad","oportunidad única","relámpago","express","no esperes","no volver","no parpadees"},AF146)))&gt;0,"Sí","No")</f>
        <v>No</v>
      </c>
      <c r="AK146" s="102" t="str">
        <f>IF(SUMPRODUCT(--ISNUMBER(SEARCH({" hoy ","horas","tiempo limitado","antes de que","se acab","se agot","finalic","última oportunidad","oportunidad única","relámpago","express","no esperes","no volver","no parpadees"},AG146)))&gt;0,"Sí","No")</f>
        <v>No</v>
      </c>
      <c r="AL146" s="102" t="str">
        <f t="shared" si="67"/>
        <v>Descuento sin tiempo límite</v>
      </c>
      <c r="AM146" s="102" t="str">
        <f>IF(SUMPRODUCT(--ISNUMBER(SEARCH({"0","1","2","3","4","5","6","7","8","9","favorit","maquillaje","piel","cabello","productos","belleza","regalo"},E146)))&gt;0,"Sí","No")</f>
        <v>Sí</v>
      </c>
      <c r="AN146" s="102" t="str">
        <f>IF(SUMPRODUCT(--ISNUMBER(SEARCH({"lo que tenemos","estas ofertas","algo especial","ofertas únicas","que preparamos","no te quedes","echa un vistazo"},F146)))&gt;0,"Sí","No")</f>
        <v>No</v>
      </c>
      <c r="AO146" s="102">
        <f t="shared" si="68"/>
        <v>58</v>
      </c>
      <c r="AP146" s="102">
        <f t="shared" si="69"/>
        <v>8</v>
      </c>
      <c r="AQ146" s="102">
        <f>SUMPRODUCT(LEN(E146)-LEN(SUBSTITUTE(E146,{"!","¡","?","¿",":",",",".","%","·","-",";"},"")))</f>
        <v>3</v>
      </c>
      <c r="AR146" s="102" t="str">
        <f t="shared" si="70"/>
        <v>Sí</v>
      </c>
      <c r="AS146" s="102" t="str">
        <f t="shared" si="71"/>
        <v>No</v>
      </c>
      <c r="AT146" s="102" t="str">
        <f>IF(SUMPRODUCT(--ISNUMBER(FIND({"0","1","2","3","4","5","6","7","8","9"},E146)))&gt;0,"Con cifra concreta",IF(OR(ISNUMBER(FIND("?",E146)),ISNUMBER(FIND("¿",E146))),"Pregunta abierta",IF(SUMPRODUCT(--ISNUMBER(SEARCH({" hoy ","horas","tiempo limitado","antes de que","se acab","se agot","finalic","última oportunidad","oportunidad única","relámpago","express","no esperes","no volver","no parpadees"," ya ","últimas horas","últimas unidades"," ahora "},AF146)))&gt;0,"Solo urgencia, sin cifra",IF(SUMPRODUCT(--ISNUMBER(SEARCH({"recompensa","sorpresa","regalo","lealtad","detalle","gracias","pensamos en ti","para ti"},E146)))&gt;0,"Recompensa o sorpresa","Otro: beneficio o novedad"))))</f>
        <v>Recompensa o sorpresa</v>
      </c>
    </row>
    <row r="147" spans="1:46" x14ac:dyDescent="0.2">
      <c r="A147" s="96" t="s">
        <v>1018</v>
      </c>
      <c r="B147" s="96" t="s">
        <v>276</v>
      </c>
      <c r="C147" s="96" t="s">
        <v>793</v>
      </c>
      <c r="D147" s="96" t="s">
        <v>947</v>
      </c>
      <c r="E147" s="96" t="s">
        <v>906</v>
      </c>
      <c r="F147" s="96" t="s">
        <v>758</v>
      </c>
      <c r="G147" s="97">
        <v>334383</v>
      </c>
      <c r="H147" s="97">
        <v>143419</v>
      </c>
      <c r="I147" s="97">
        <v>11158</v>
      </c>
      <c r="J147" s="98">
        <v>2.82</v>
      </c>
      <c r="K147" s="98">
        <v>0.6</v>
      </c>
      <c r="L147" s="99">
        <v>54696.09</v>
      </c>
      <c r="M147" s="100">
        <f t="shared" si="48"/>
        <v>42.890637382881309</v>
      </c>
      <c r="N147" s="100">
        <f t="shared" si="49"/>
        <v>3.3368921266930438</v>
      </c>
      <c r="O147" s="100">
        <f t="shared" si="50"/>
        <v>7.7800012550638344</v>
      </c>
      <c r="P147" s="100">
        <f t="shared" si="51"/>
        <v>163.57317806228187</v>
      </c>
      <c r="Q147" s="100">
        <f t="shared" si="52"/>
        <v>43.243161255628017</v>
      </c>
      <c r="R147" s="100">
        <f t="shared" si="53"/>
        <v>29.440902453236173</v>
      </c>
      <c r="S147" s="101">
        <f t="shared" si="54"/>
        <v>45939</v>
      </c>
      <c r="T147" s="102" t="str">
        <f t="shared" si="55"/>
        <v>Octubre</v>
      </c>
      <c r="U147" s="102" t="str">
        <f t="shared" si="56"/>
        <v>Jueves</v>
      </c>
      <c r="V147" s="102">
        <f t="shared" si="57"/>
        <v>9</v>
      </c>
      <c r="W147" s="102" t="str">
        <f t="shared" si="58"/>
        <v>Resto del mes</v>
      </c>
      <c r="X147" s="102">
        <f t="shared" si="59"/>
        <v>27</v>
      </c>
      <c r="Y147" s="102" t="str">
        <f t="shared" si="60"/>
        <v>Sí</v>
      </c>
      <c r="Z147" s="102" t="str">
        <f>CHOOSE(MATCH(B147,{"Customer Appreciation","Exclusive Offers","Flash Sale","Holiday Discounts","New Product Launch","Newsletter"},0),"Fidelizar","Vender","Vender","Vender","Lanzar","Educar")</f>
        <v>Vender</v>
      </c>
      <c r="AA147" s="102" t="str">
        <f t="shared" si="61"/>
        <v>300 a 400 mil</v>
      </c>
      <c r="AB147" s="102">
        <f>COUNTIFS($E$5:$E$493,E147,$S$5:$S$493,"&lt;"&amp;S147)+COUNTIFS($E$5:E147,E147,$S$5:S147,S147)</f>
        <v>3</v>
      </c>
      <c r="AC147" s="102">
        <f t="shared" si="62"/>
        <v>3</v>
      </c>
      <c r="AD147" s="102" t="str">
        <f t="shared" si="63"/>
        <v/>
      </c>
      <c r="AE147" s="103">
        <f t="shared" si="64"/>
        <v>-0.35252387274670838</v>
      </c>
      <c r="AF147" s="102" t="str">
        <f t="shared" si="65"/>
        <v xml:space="preserve"> 🔥 hot sale anticipado   precios de locura en l'oréal paris  </v>
      </c>
      <c r="AG147" s="102" t="str">
        <f t="shared" si="66"/>
        <v xml:space="preserve"> consigue tus productos soñados con descuentos exclusivos   entra ya  </v>
      </c>
      <c r="AH147" s="102" t="str">
        <f>IF(SUMPRODUCT(--(LEFT(IF(LEFT(LOWER(E147),1)="¡",MID(LOWER(E147),2,300),LOWER(E147)),LEN({"actualizaci","el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147" s="102" t="str">
        <f>IF(OR(SUMPRODUCT(--ISNUMBER(SEARCH({"descuento","oferta","ahorr","precio"," sale ","flash","deals"},AF147)))&gt;0,SUMPRODUCT(--ISNUMBER(SEARCH({"descuento","oferta","ahorr","precio"," sale ","flash","deals"},AG147)))&gt;0),"Sí","No")</f>
        <v>Sí</v>
      </c>
      <c r="AJ147" s="102" t="str">
        <f>IF(SUMPRODUCT(--ISNUMBER(SEARCH({" hoy ","horas","tiempo limitado","antes de que","se acab","se agot","finalic","última oportunidad","oportunidad única","relámpago","express","no esperes","no volver","no parpadees"},AF147)))&gt;0,"Sí","No")</f>
        <v>No</v>
      </c>
      <c r="AK147" s="102" t="str">
        <f>IF(SUMPRODUCT(--ISNUMBER(SEARCH({" hoy ","horas","tiempo limitado","antes de que","se acab","se agot","finalic","última oportunidad","oportunidad única","relámpago","express","no esperes","no volver","no parpadees"},AG147)))&gt;0,"Sí","No")</f>
        <v>No</v>
      </c>
      <c r="AL147" s="102" t="str">
        <f t="shared" si="67"/>
        <v>Descuento sin tiempo límite</v>
      </c>
      <c r="AM147" s="102" t="str">
        <f>IF(SUMPRODUCT(--ISNUMBER(SEARCH({"0","1","2","3","4","5","6","7","8","9","favorit","maquillaje","piel","cabello","productos","belleza","regalo"},E147)))&gt;0,"Sí","No")</f>
        <v>No</v>
      </c>
      <c r="AN147" s="102" t="str">
        <f>IF(SUMPRODUCT(--ISNUMBER(SEARCH({"lo que tenemos","estas ofertas","algo especial","ofertas únicas","que preparamos","no te quedes","echa un vistazo"},F147)))&gt;0,"Sí","No")</f>
        <v>No</v>
      </c>
      <c r="AO147" s="102">
        <f t="shared" si="68"/>
        <v>59</v>
      </c>
      <c r="AP147" s="102">
        <f t="shared" si="69"/>
        <v>10</v>
      </c>
      <c r="AQ147" s="102">
        <f>SUMPRODUCT(LEN(E147)-LEN(SUBSTITUTE(E147,{"!","¡","?","¿",":",",",".","%","·","-",";"},"")))</f>
        <v>3</v>
      </c>
      <c r="AR147" s="102" t="str">
        <f t="shared" si="70"/>
        <v>No</v>
      </c>
      <c r="AS147" s="102" t="str">
        <f t="shared" si="71"/>
        <v>Sí</v>
      </c>
      <c r="AT147" s="102" t="str">
        <f>IF(SUMPRODUCT(--ISNUMBER(FIND({"0","1","2","3","4","5","6","7","8","9"},E147)))&gt;0,"Con cifra concreta",IF(OR(ISNUMBER(FIND("?",E147)),ISNUMBER(FIND("¿",E147))),"Pregunta abierta",IF(SUMPRODUCT(--ISNUMBER(SEARCH({" hoy ","horas","tiempo limitado","antes de que","se acab","se agot","finalic","última oportunidad","oportunidad única","relámpago","express","no esperes","no volver","no parpadees"," ya ","últimas horas","últimas unidades"," ahora "},AF147)))&gt;0,"Solo urgencia, sin cifra",IF(SUMPRODUCT(--ISNUMBER(SEARCH({"recompensa","sorpresa","regalo","lealtad","detalle","gracias","pensamos en ti","para ti"},E147)))&gt;0,"Recompensa o sorpresa","Otro: beneficio o novedad"))))</f>
        <v>Otro: beneficio o novedad</v>
      </c>
    </row>
    <row r="148" spans="1:46" x14ac:dyDescent="0.2">
      <c r="A148" s="104" t="s">
        <v>1019</v>
      </c>
      <c r="B148" s="104" t="s">
        <v>274</v>
      </c>
      <c r="C148" s="104" t="s">
        <v>830</v>
      </c>
      <c r="D148" s="104" t="s">
        <v>950</v>
      </c>
      <c r="E148" s="104" t="s">
        <v>371</v>
      </c>
      <c r="F148" s="104" t="s">
        <v>452</v>
      </c>
      <c r="G148" s="105">
        <v>455899</v>
      </c>
      <c r="H148" s="105">
        <v>206716</v>
      </c>
      <c r="I148" s="105">
        <v>11351</v>
      </c>
      <c r="J148" s="106">
        <v>2.36</v>
      </c>
      <c r="K148" s="106">
        <v>4.59</v>
      </c>
      <c r="L148" s="107">
        <v>71163.19</v>
      </c>
      <c r="M148" s="108">
        <f t="shared" si="48"/>
        <v>45.342499106161668</v>
      </c>
      <c r="N148" s="108">
        <f t="shared" si="49"/>
        <v>2.4898058561216412</v>
      </c>
      <c r="O148" s="108">
        <f t="shared" si="50"/>
        <v>5.4911085740823156</v>
      </c>
      <c r="P148" s="108">
        <f t="shared" si="51"/>
        <v>156.09420068918774</v>
      </c>
      <c r="Q148" s="108">
        <f t="shared" si="52"/>
        <v>40.72142758959253</v>
      </c>
      <c r="R148" s="108">
        <f t="shared" si="53"/>
        <v>31.113650744455075</v>
      </c>
      <c r="S148" s="101">
        <f t="shared" si="54"/>
        <v>45901</v>
      </c>
      <c r="T148" s="102" t="str">
        <f t="shared" si="55"/>
        <v>Septiembre</v>
      </c>
      <c r="U148" s="102" t="str">
        <f t="shared" si="56"/>
        <v>Lunes</v>
      </c>
      <c r="V148" s="102">
        <f t="shared" si="57"/>
        <v>14</v>
      </c>
      <c r="W148" s="102" t="str">
        <f t="shared" si="58"/>
        <v>Quincena</v>
      </c>
      <c r="X148" s="102">
        <f t="shared" si="59"/>
        <v>29</v>
      </c>
      <c r="Y148" s="102" t="str">
        <f t="shared" si="60"/>
        <v>Sí</v>
      </c>
      <c r="Z148" s="102" t="str">
        <f>CHOOSE(MATCH(B148,{"Customer Appreciation","Exclusive Offers","Flash Sale","Holiday Discounts","New Product Launch","Newsletter"},0),"Fidelizar","Vender","Vender","Vender","Lanzar","Educar")</f>
        <v>Fidelizar</v>
      </c>
      <c r="AA148" s="102" t="str">
        <f t="shared" si="61"/>
        <v>Más de 400 mil</v>
      </c>
      <c r="AB148" s="102">
        <f>COUNTIFS($E$5:$E$493,E148,$S$5:$S$493,"&lt;"&amp;S148)+COUNTIFS($E$5:E148,E148,$S$5:S148,S148)</f>
        <v>6</v>
      </c>
      <c r="AC148" s="102">
        <f t="shared" si="62"/>
        <v>16</v>
      </c>
      <c r="AD148" s="102" t="str">
        <f t="shared" si="63"/>
        <v>Medio</v>
      </c>
      <c r="AE148" s="103">
        <f t="shared" si="64"/>
        <v>4.6210715165691383</v>
      </c>
      <c r="AF148" s="102" t="str">
        <f t="shared" si="65"/>
        <v xml:space="preserve">  tu lealtad tiene recompensa  descúbrela  sorpresas para ti </v>
      </c>
      <c r="AG148" s="102" t="str">
        <f t="shared" si="66"/>
        <v xml:space="preserve"> ofertas exclusivas para nuestros clientes más especiales   no te las pierdas  </v>
      </c>
      <c r="AH148" s="102" t="str">
        <f>IF(SUMPRODUCT(--(LEFT(IF(LEFT(LOWER(E148),1)="¡",MID(LOWER(E148),2,300),LOWER(E148)),LEN({"actualizaci","el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148" s="102" t="str">
        <f>IF(OR(SUMPRODUCT(--ISNUMBER(SEARCH({"descuento","oferta","ahorr","precio"," sale ","flash","deals"},AF148)))&gt;0,SUMPRODUCT(--ISNUMBER(SEARCH({"descuento","oferta","ahorr","precio"," sale ","flash","deals"},AG148)))&gt;0),"Sí","No")</f>
        <v>Sí</v>
      </c>
      <c r="AJ148" s="102" t="str">
        <f>IF(SUMPRODUCT(--ISNUMBER(SEARCH({" hoy ","horas","tiempo limitado","antes de que","se acab","se agot","finalic","última oportunidad","oportunidad única","relámpago","express","no esperes","no volver","no parpadees"},AF148)))&gt;0,"Sí","No")</f>
        <v>No</v>
      </c>
      <c r="AK148" s="102" t="str">
        <f>IF(SUMPRODUCT(--ISNUMBER(SEARCH({" hoy ","horas","tiempo limitado","antes de que","se acab","se agot","finalic","última oportunidad","oportunidad única","relámpago","express","no esperes","no volver","no parpadees"},AG148)))&gt;0,"Sí","No")</f>
        <v>No</v>
      </c>
      <c r="AL148" s="102" t="str">
        <f t="shared" si="67"/>
        <v>Descuento sin tiempo límite</v>
      </c>
      <c r="AM148" s="102" t="str">
        <f>IF(SUMPRODUCT(--ISNUMBER(SEARCH({"0","1","2","3","4","5","6","7","8","9","favorit","maquillaje","piel","cabello","productos","belleza","regalo"},E148)))&gt;0,"Sí","No")</f>
        <v>No</v>
      </c>
      <c r="AN148" s="102" t="str">
        <f>IF(SUMPRODUCT(--ISNUMBER(SEARCH({"lo que tenemos","estas ofertas","algo especial","ofertas únicas","que preparamos","no te quedes","echa un vistazo"},F148)))&gt;0,"Sí","No")</f>
        <v>No</v>
      </c>
      <c r="AO148" s="102">
        <f t="shared" si="68"/>
        <v>59</v>
      </c>
      <c r="AP148" s="102">
        <f t="shared" si="69"/>
        <v>8</v>
      </c>
      <c r="AQ148" s="102">
        <f>SUMPRODUCT(LEN(E148)-LEN(SUBSTITUTE(E148,{"!","¡","?","¿",":",",",".","%","·","-",";"},"")))</f>
        <v>3</v>
      </c>
      <c r="AR148" s="102" t="str">
        <f t="shared" si="70"/>
        <v>Sí</v>
      </c>
      <c r="AS148" s="102" t="str">
        <f t="shared" si="71"/>
        <v>No</v>
      </c>
      <c r="AT148" s="102" t="str">
        <f>IF(SUMPRODUCT(--ISNUMBER(FIND({"0","1","2","3","4","5","6","7","8","9"},E148)))&gt;0,"Con cifra concreta",IF(OR(ISNUMBER(FIND("?",E148)),ISNUMBER(FIND("¿",E148))),"Pregunta abierta",IF(SUMPRODUCT(--ISNUMBER(SEARCH({" hoy ","horas","tiempo limitado","antes de que","se acab","se agot","finalic","última oportunidad","oportunidad única","relámpago","express","no esperes","no volver","no parpadees"," ya ","últimas horas","últimas unidades"," ahora "},AF148)))&gt;0,"Solo urgencia, sin cifra",IF(SUMPRODUCT(--ISNUMBER(SEARCH({"recompensa","sorpresa","regalo","lealtad","detalle","gracias","pensamos en ti","para ti"},E148)))&gt;0,"Recompensa o sorpresa","Otro: beneficio o novedad"))))</f>
        <v>Recompensa o sorpresa</v>
      </c>
    </row>
    <row r="149" spans="1:46" x14ac:dyDescent="0.2">
      <c r="A149" s="96" t="s">
        <v>1020</v>
      </c>
      <c r="B149" s="96" t="s">
        <v>278</v>
      </c>
      <c r="C149" s="96" t="s">
        <v>742</v>
      </c>
      <c r="D149" s="96" t="s">
        <v>702</v>
      </c>
      <c r="E149" s="96" t="s">
        <v>368</v>
      </c>
      <c r="F149" s="96" t="s">
        <v>471</v>
      </c>
      <c r="G149" s="97">
        <v>406758</v>
      </c>
      <c r="H149" s="97">
        <v>158978</v>
      </c>
      <c r="I149" s="97">
        <v>44837</v>
      </c>
      <c r="J149" s="98">
        <v>1.63</v>
      </c>
      <c r="K149" s="98">
        <v>0.17</v>
      </c>
      <c r="L149" s="99">
        <v>48380.14</v>
      </c>
      <c r="M149" s="100">
        <f t="shared" si="48"/>
        <v>39.084172898873533</v>
      </c>
      <c r="N149" s="100">
        <f t="shared" si="49"/>
        <v>11.023016142276242</v>
      </c>
      <c r="O149" s="100">
        <f t="shared" si="50"/>
        <v>28.203273408899342</v>
      </c>
      <c r="P149" s="100">
        <f t="shared" si="51"/>
        <v>118.9408444332994</v>
      </c>
      <c r="Q149" s="100">
        <f t="shared" si="52"/>
        <v>23.315840784070005</v>
      </c>
      <c r="R149" s="100">
        <f t="shared" si="53"/>
        <v>29.458247936272421</v>
      </c>
      <c r="S149" s="101">
        <f t="shared" si="54"/>
        <v>45948</v>
      </c>
      <c r="T149" s="102" t="str">
        <f t="shared" si="55"/>
        <v>Octubre</v>
      </c>
      <c r="U149" s="102" t="str">
        <f t="shared" si="56"/>
        <v>Sábado</v>
      </c>
      <c r="V149" s="102">
        <f t="shared" si="57"/>
        <v>16</v>
      </c>
      <c r="W149" s="102" t="str">
        <f t="shared" si="58"/>
        <v>Días después del pago</v>
      </c>
      <c r="X149" s="102">
        <f t="shared" si="59"/>
        <v>27</v>
      </c>
      <c r="Y149" s="102" t="str">
        <f t="shared" si="60"/>
        <v>Sí</v>
      </c>
      <c r="Z149" s="102" t="str">
        <f>CHOOSE(MATCH(B149,{"Customer Appreciation","Exclusive Offers","Flash Sale","Holiday Discounts","New Product Launch","Newsletter"},0),"Fidelizar","Vender","Vender","Vender","Lanzar","Educar")</f>
        <v>Lanzar</v>
      </c>
      <c r="AA149" s="102" t="str">
        <f t="shared" si="61"/>
        <v>Más de 400 mil</v>
      </c>
      <c r="AB149" s="102">
        <f>COUNTIFS($E$5:$E$493,E149,$S$5:$S$493,"&lt;"&amp;S149)+COUNTIFS($E$5:E149,E149,$S$5:S149,S149)</f>
        <v>26</v>
      </c>
      <c r="AC149" s="102">
        <f t="shared" si="62"/>
        <v>33</v>
      </c>
      <c r="AD149" s="102" t="str">
        <f t="shared" si="63"/>
        <v>Último tercio</v>
      </c>
      <c r="AE149" s="103">
        <f t="shared" si="64"/>
        <v>15.768332114803528</v>
      </c>
      <c r="AF149" s="102" t="str">
        <f t="shared" si="65"/>
        <v xml:space="preserve"> presentamos  nuestro último lanzamiento de belleza  imperdible  </v>
      </c>
      <c r="AG149" s="102" t="str">
        <f t="shared" si="66"/>
        <v xml:space="preserve"> una innovación que cambiará tu rutina   sé de los primeros  </v>
      </c>
      <c r="AH149" s="102" t="str">
        <f>IF(SUMPRODUCT(--(LEFT(IF(LEFT(LOWER(E149),1)="¡",MID(LOWER(E149),2,300),LOWER(E149)),LEN({"actualizaci","el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Sí</v>
      </c>
      <c r="AI149" s="102" t="str">
        <f>IF(OR(SUMPRODUCT(--ISNUMBER(SEARCH({"descuento","oferta","ahorr","precio"," sale ","flash","deals"},AF149)))&gt;0,SUMPRODUCT(--ISNUMBER(SEARCH({"descuento","oferta","ahorr","precio"," sale ","flash","deals"},AG149)))&gt;0),"Sí","No")</f>
        <v>No</v>
      </c>
      <c r="AJ149" s="102" t="str">
        <f>IF(SUMPRODUCT(--ISNUMBER(SEARCH({" hoy ","horas","tiempo limitado","antes de que","se acab","se agot","finalic","última oportunidad","oportunidad única","relámpago","express","no esperes","no volver","no parpadees"},AF149)))&gt;0,"Sí","No")</f>
        <v>No</v>
      </c>
      <c r="AK149" s="102" t="str">
        <f>IF(SUMPRODUCT(--ISNUMBER(SEARCH({" hoy ","horas","tiempo limitado","antes de que","se acab","se agot","finalic","última oportunidad","oportunidad única","relámpago","express","no esperes","no volver","no parpadees"},AG149)))&gt;0,"Sí","No")</f>
        <v>No</v>
      </c>
      <c r="AL149" s="102" t="str">
        <f t="shared" si="67"/>
        <v>Sin descuento</v>
      </c>
      <c r="AM149" s="102" t="str">
        <f>IF(SUMPRODUCT(--ISNUMBER(SEARCH({"0","1","2","3","4","5","6","7","8","9","favorit","maquillaje","piel","cabello","productos","belleza","regalo"},E149)))&gt;0,"Sí","No")</f>
        <v>Sí</v>
      </c>
      <c r="AN149" s="102" t="str">
        <f>IF(SUMPRODUCT(--ISNUMBER(SEARCH({"lo que tenemos","estas ofertas","algo especial","ofertas únicas","que preparamos","no te quedes","echa un vistazo"},F149)))&gt;0,"Sí","No")</f>
        <v>No</v>
      </c>
      <c r="AO149" s="102">
        <f t="shared" si="68"/>
        <v>63</v>
      </c>
      <c r="AP149" s="102">
        <f t="shared" si="69"/>
        <v>7</v>
      </c>
      <c r="AQ149" s="102">
        <f>SUMPRODUCT(LEN(E149)-LEN(SUBSTITUTE(E149,{"!","¡","?","¿",":",",",".","%","·","-",";"},"")))</f>
        <v>3</v>
      </c>
      <c r="AR149" s="102" t="str">
        <f t="shared" si="70"/>
        <v>No</v>
      </c>
      <c r="AS149" s="102" t="str">
        <f t="shared" si="71"/>
        <v>No</v>
      </c>
      <c r="AT149" s="102" t="str">
        <f>IF(SUMPRODUCT(--ISNUMBER(FIND({"0","1","2","3","4","5","6","7","8","9"},E149)))&gt;0,"Con cifra concreta",IF(OR(ISNUMBER(FIND("?",E149)),ISNUMBER(FIND("¿",E149))),"Pregunta abierta",IF(SUMPRODUCT(--ISNUMBER(SEARCH({" hoy ","horas","tiempo limitado","antes de que","se acab","se agot","finalic","última oportunidad","oportunidad única","relámpago","express","no esperes","no volver","no parpadees"," ya ","últimas horas","últimas unidades"," ahora "},AF149)))&gt;0,"Solo urgencia, sin cifra",IF(SUMPRODUCT(--ISNUMBER(SEARCH({"recompensa","sorpresa","regalo","lealtad","detalle","gracias","pensamos en ti","para ti"},E149)))&gt;0,"Recompensa o sorpresa","Otro: beneficio o novedad"))))</f>
        <v>Otro: beneficio o novedad</v>
      </c>
    </row>
    <row r="150" spans="1:46" x14ac:dyDescent="0.2">
      <c r="A150" s="104" t="s">
        <v>1021</v>
      </c>
      <c r="B150" s="104" t="s">
        <v>278</v>
      </c>
      <c r="C150" s="104" t="s">
        <v>773</v>
      </c>
      <c r="D150" s="104" t="s">
        <v>707</v>
      </c>
      <c r="E150" s="104" t="s">
        <v>467</v>
      </c>
      <c r="F150" s="104" t="s">
        <v>468</v>
      </c>
      <c r="G150" s="105">
        <v>269525</v>
      </c>
      <c r="H150" s="105">
        <v>79201</v>
      </c>
      <c r="I150" s="105">
        <v>36386</v>
      </c>
      <c r="J150" s="106">
        <v>0.75</v>
      </c>
      <c r="K150" s="106">
        <v>0.88</v>
      </c>
      <c r="L150" s="107">
        <v>72537.73</v>
      </c>
      <c r="M150" s="108">
        <f t="shared" si="48"/>
        <v>29.385400241165012</v>
      </c>
      <c r="N150" s="108">
        <f t="shared" si="49"/>
        <v>13.500046377887024</v>
      </c>
      <c r="O150" s="108">
        <f t="shared" si="50"/>
        <v>45.941339124506001</v>
      </c>
      <c r="P150" s="108">
        <f t="shared" si="51"/>
        <v>269.13173175030141</v>
      </c>
      <c r="Q150" s="108">
        <f t="shared" si="52"/>
        <v>30.93688234168668</v>
      </c>
      <c r="R150" s="108">
        <f t="shared" si="53"/>
        <v>29.458247936272421</v>
      </c>
      <c r="S150" s="101">
        <f t="shared" si="54"/>
        <v>45909</v>
      </c>
      <c r="T150" s="102" t="str">
        <f t="shared" si="55"/>
        <v>Septiembre</v>
      </c>
      <c r="U150" s="102" t="str">
        <f t="shared" si="56"/>
        <v>Martes</v>
      </c>
      <c r="V150" s="102">
        <f t="shared" si="57"/>
        <v>13</v>
      </c>
      <c r="W150" s="102" t="str">
        <f t="shared" si="58"/>
        <v>Resto del mes</v>
      </c>
      <c r="X150" s="102">
        <f t="shared" si="59"/>
        <v>28</v>
      </c>
      <c r="Y150" s="102" t="str">
        <f t="shared" si="60"/>
        <v>Sí</v>
      </c>
      <c r="Z150" s="102" t="str">
        <f>CHOOSE(MATCH(B150,{"Customer Appreciation","Exclusive Offers","Flash Sale","Holiday Discounts","New Product Launch","Newsletter"},0),"Fidelizar","Vender","Vender","Vender","Lanzar","Educar")</f>
        <v>Lanzar</v>
      </c>
      <c r="AA150" s="102" t="str">
        <f t="shared" si="61"/>
        <v>200 a 300 mil</v>
      </c>
      <c r="AB150" s="102">
        <f>COUNTIFS($E$5:$E$493,E150,$S$5:$S$493,"&lt;"&amp;S150)+COUNTIFS($E$5:E150,E150,$S$5:S150,S150)</f>
        <v>14</v>
      </c>
      <c r="AC150" s="102">
        <f t="shared" si="62"/>
        <v>22</v>
      </c>
      <c r="AD150" s="102" t="str">
        <f t="shared" si="63"/>
        <v>Medio</v>
      </c>
      <c r="AE150" s="103">
        <f t="shared" si="64"/>
        <v>-1.5514821005216675</v>
      </c>
      <c r="AF150" s="102" t="str">
        <f t="shared" si="65"/>
        <v xml:space="preserve">  lo nuevo de l'oréal  te va a encantar  innovación en belleza </v>
      </c>
      <c r="AG150" s="102" t="str">
        <f t="shared" si="66"/>
        <v xml:space="preserve"> prepárate para experimentar la innovación en tu belleza   descúbrela  </v>
      </c>
      <c r="AH150" s="102" t="str">
        <f>IF(SUMPRODUCT(--(LEFT(IF(LEFT(LOWER(E150),1)="¡",MID(LOWER(E150),2,300),LOWER(E150)),LEN({"actualizaci","el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150" s="102" t="str">
        <f>IF(OR(SUMPRODUCT(--ISNUMBER(SEARCH({"descuento","oferta","ahorr","precio"," sale ","flash","deals"},AF150)))&gt;0,SUMPRODUCT(--ISNUMBER(SEARCH({"descuento","oferta","ahorr","precio"," sale ","flash","deals"},AG150)))&gt;0),"Sí","No")</f>
        <v>No</v>
      </c>
      <c r="AJ150" s="102" t="str">
        <f>IF(SUMPRODUCT(--ISNUMBER(SEARCH({" hoy ","horas","tiempo limitado","antes de que","se acab","se agot","finalic","última oportunidad","oportunidad única","relámpago","express","no esperes","no volver","no parpadees"},AF150)))&gt;0,"Sí","No")</f>
        <v>No</v>
      </c>
      <c r="AK150" s="102" t="str">
        <f>IF(SUMPRODUCT(--ISNUMBER(SEARCH({" hoy ","horas","tiempo limitado","antes de que","se acab","se agot","finalic","última oportunidad","oportunidad única","relámpago","express","no esperes","no volver","no parpadees"},AG150)))&gt;0,"Sí","No")</f>
        <v>No</v>
      </c>
      <c r="AL150" s="102" t="str">
        <f t="shared" si="67"/>
        <v>Sin descuento</v>
      </c>
      <c r="AM150" s="102" t="str">
        <f>IF(SUMPRODUCT(--ISNUMBER(SEARCH({"0","1","2","3","4","5","6","7","8","9","favorit","maquillaje","piel","cabello","productos","belleza","regalo"},E150)))&gt;0,"Sí","No")</f>
        <v>Sí</v>
      </c>
      <c r="AN150" s="102" t="str">
        <f>IF(SUMPRODUCT(--ISNUMBER(SEARCH({"lo que tenemos","estas ofertas","algo especial","ofertas únicas","que preparamos","no te quedes","echa un vistazo"},F150)))&gt;0,"Sí","No")</f>
        <v>No</v>
      </c>
      <c r="AO150" s="102">
        <f t="shared" si="68"/>
        <v>61</v>
      </c>
      <c r="AP150" s="102">
        <f t="shared" si="69"/>
        <v>11</v>
      </c>
      <c r="AQ150" s="102">
        <f>SUMPRODUCT(LEN(E150)-LEN(SUBSTITUTE(E150,{"!","¡","?","¿",":",",",".","%","·","-",";"},"")))</f>
        <v>3</v>
      </c>
      <c r="AR150" s="102" t="str">
        <f t="shared" si="70"/>
        <v>No</v>
      </c>
      <c r="AS150" s="102" t="str">
        <f t="shared" si="71"/>
        <v>No</v>
      </c>
      <c r="AT150" s="102" t="str">
        <f>IF(SUMPRODUCT(--ISNUMBER(FIND({"0","1","2","3","4","5","6","7","8","9"},E150)))&gt;0,"Con cifra concreta",IF(OR(ISNUMBER(FIND("?",E150)),ISNUMBER(FIND("¿",E150))),"Pregunta abierta",IF(SUMPRODUCT(--ISNUMBER(SEARCH({" hoy ","horas","tiempo limitado","antes de que","se acab","se agot","finalic","última oportunidad","oportunidad única","relámpago","express","no esperes","no volver","no parpadees"," ya ","últimas horas","últimas unidades"," ahora "},AF150)))&gt;0,"Solo urgencia, sin cifra",IF(SUMPRODUCT(--ISNUMBER(SEARCH({"recompensa","sorpresa","regalo","lealtad","detalle","gracias","pensamos en ti","para ti"},E150)))&gt;0,"Recompensa o sorpresa","Otro: beneficio o novedad"))))</f>
        <v>Otro: beneficio o novedad</v>
      </c>
    </row>
    <row r="151" spans="1:46" x14ac:dyDescent="0.2">
      <c r="A151" s="96" t="s">
        <v>1022</v>
      </c>
      <c r="B151" s="96" t="s">
        <v>275</v>
      </c>
      <c r="C151" s="96" t="s">
        <v>980</v>
      </c>
      <c r="D151" s="96" t="s">
        <v>824</v>
      </c>
      <c r="E151" s="96" t="s">
        <v>465</v>
      </c>
      <c r="F151" s="96" t="s">
        <v>466</v>
      </c>
      <c r="G151" s="97">
        <v>236936</v>
      </c>
      <c r="H151" s="97">
        <v>111617</v>
      </c>
      <c r="I151" s="97">
        <v>46654</v>
      </c>
      <c r="J151" s="98">
        <v>0.55000000000000004</v>
      </c>
      <c r="K151" s="98">
        <v>2.02</v>
      </c>
      <c r="L151" s="99">
        <v>64530.47</v>
      </c>
      <c r="M151" s="100">
        <f t="shared" si="48"/>
        <v>47.108501873923757</v>
      </c>
      <c r="N151" s="100">
        <f t="shared" si="49"/>
        <v>19.690549346659015</v>
      </c>
      <c r="O151" s="100">
        <f t="shared" si="50"/>
        <v>41.798292374817457</v>
      </c>
      <c r="P151" s="100">
        <f t="shared" si="51"/>
        <v>272.35401120977815</v>
      </c>
      <c r="Q151" s="100">
        <f t="shared" si="52"/>
        <v>33.047230763392911</v>
      </c>
      <c r="R151" s="100">
        <f t="shared" si="53"/>
        <v>27.021447627328243</v>
      </c>
      <c r="S151" s="101">
        <f t="shared" si="54"/>
        <v>45875</v>
      </c>
      <c r="T151" s="102" t="str">
        <f t="shared" si="55"/>
        <v>Agosto</v>
      </c>
      <c r="U151" s="102" t="str">
        <f t="shared" si="56"/>
        <v>Miércoles</v>
      </c>
      <c r="V151" s="102">
        <f t="shared" si="57"/>
        <v>10</v>
      </c>
      <c r="W151" s="102" t="str">
        <f t="shared" si="58"/>
        <v>Resto del mes</v>
      </c>
      <c r="X151" s="102">
        <f t="shared" si="59"/>
        <v>28</v>
      </c>
      <c r="Y151" s="102" t="str">
        <f t="shared" si="60"/>
        <v>Sí</v>
      </c>
      <c r="Z151" s="102" t="str">
        <f>CHOOSE(MATCH(B151,{"Customer Appreciation","Exclusive Offers","Flash Sale","Holiday Discounts","New Product Launch","Newsletter"},0),"Fidelizar","Vender","Vender","Vender","Lanzar","Educar")</f>
        <v>Vender</v>
      </c>
      <c r="AA151" s="102" t="str">
        <f t="shared" si="61"/>
        <v>200 a 300 mil</v>
      </c>
      <c r="AB151" s="102">
        <f>COUNTIFS($E$5:$E$493,E151,$S$5:$S$493,"&lt;"&amp;S151)+COUNTIFS($E$5:E151,E151,$S$5:S151,S151)</f>
        <v>1</v>
      </c>
      <c r="AC151" s="102">
        <f t="shared" si="62"/>
        <v>22</v>
      </c>
      <c r="AD151" s="102" t="str">
        <f t="shared" si="63"/>
        <v>Primer tercio</v>
      </c>
      <c r="AE151" s="103">
        <f t="shared" si="64"/>
        <v>14.061271110530846</v>
      </c>
      <c r="AF151" s="102" t="str">
        <f t="shared" si="65"/>
        <v xml:space="preserve">  ofertas exclusivas  solo para nuestra comunidad vip </v>
      </c>
      <c r="AG151" s="102" t="str">
        <f t="shared" si="66"/>
        <v xml:space="preserve"> productos premium con descuentos únicos   acceso limitado  </v>
      </c>
      <c r="AH151" s="102" t="str">
        <f>IF(SUMPRODUCT(--(LEFT(IF(LEFT(LOWER(E151),1)="¡",MID(LOWER(E151),2,300),LOWER(E151)),LEN({"actualizaci","el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151" s="102" t="str">
        <f>IF(OR(SUMPRODUCT(--ISNUMBER(SEARCH({"descuento","oferta","ahorr","precio"," sale ","flash","deals"},AF151)))&gt;0,SUMPRODUCT(--ISNUMBER(SEARCH({"descuento","oferta","ahorr","precio"," sale ","flash","deals"},AG151)))&gt;0),"Sí","No")</f>
        <v>Sí</v>
      </c>
      <c r="AJ151" s="102" t="str">
        <f>IF(SUMPRODUCT(--ISNUMBER(SEARCH({" hoy ","horas","tiempo limitado","antes de que","se acab","se agot","finalic","última oportunidad","oportunidad única","relámpago","express","no esperes","no volver","no parpadees"},AF151)))&gt;0,"Sí","No")</f>
        <v>No</v>
      </c>
      <c r="AK151" s="102" t="str">
        <f>IF(SUMPRODUCT(--ISNUMBER(SEARCH({" hoy ","horas","tiempo limitado","antes de que","se acab","se agot","finalic","última oportunidad","oportunidad única","relámpago","express","no esperes","no volver","no parpadees"},AG151)))&gt;0,"Sí","No")</f>
        <v>No</v>
      </c>
      <c r="AL151" s="102" t="str">
        <f t="shared" si="67"/>
        <v>Descuento sin tiempo límite</v>
      </c>
      <c r="AM151" s="102" t="str">
        <f>IF(SUMPRODUCT(--ISNUMBER(SEARCH({"0","1","2","3","4","5","6","7","8","9","favorit","maquillaje","piel","cabello","productos","belleza","regalo"},E151)))&gt;0,"Sí","No")</f>
        <v>No</v>
      </c>
      <c r="AN151" s="102" t="str">
        <f>IF(SUMPRODUCT(--ISNUMBER(SEARCH({"lo que tenemos","estas ofertas","algo especial","ofertas únicas","que preparamos","no te quedes","echa un vistazo"},F151)))&gt;0,"Sí","No")</f>
        <v>No</v>
      </c>
      <c r="AO151" s="102">
        <f t="shared" si="68"/>
        <v>52</v>
      </c>
      <c r="AP151" s="102">
        <f t="shared" si="69"/>
        <v>7</v>
      </c>
      <c r="AQ151" s="102">
        <f>SUMPRODUCT(LEN(E151)-LEN(SUBSTITUTE(E151,{"!","¡","?","¿",":",",",".","%","·","-",";"},"")))</f>
        <v>2</v>
      </c>
      <c r="AR151" s="102" t="str">
        <f t="shared" si="70"/>
        <v>Sí</v>
      </c>
      <c r="AS151" s="102" t="str">
        <f t="shared" si="71"/>
        <v>No</v>
      </c>
      <c r="AT151" s="102" t="str">
        <f>IF(SUMPRODUCT(--ISNUMBER(FIND({"0","1","2","3","4","5","6","7","8","9"},E151)))&gt;0,"Con cifra concreta",IF(OR(ISNUMBER(FIND("?",E151)),ISNUMBER(FIND("¿",E151))),"Pregunta abierta",IF(SUMPRODUCT(--ISNUMBER(SEARCH({" hoy ","horas","tiempo limitado","antes de que","se acab","se agot","finalic","última oportunidad","oportunidad única","relámpago","express","no esperes","no volver","no parpadees"," ya ","últimas horas","últimas unidades"," ahora "},AF151)))&gt;0,"Solo urgencia, sin cifra",IF(SUMPRODUCT(--ISNUMBER(SEARCH({"recompensa","sorpresa","regalo","lealtad","detalle","gracias","pensamos en ti","para ti"},E151)))&gt;0,"Recompensa o sorpresa","Otro: beneficio o novedad"))))</f>
        <v>Otro: beneficio o novedad</v>
      </c>
    </row>
    <row r="152" spans="1:46" x14ac:dyDescent="0.2">
      <c r="A152" s="104" t="s">
        <v>1023</v>
      </c>
      <c r="B152" s="104" t="s">
        <v>277</v>
      </c>
      <c r="C152" s="104" t="s">
        <v>815</v>
      </c>
      <c r="D152" s="104" t="s">
        <v>764</v>
      </c>
      <c r="E152" s="104" t="s">
        <v>469</v>
      </c>
      <c r="F152" s="104" t="s">
        <v>470</v>
      </c>
      <c r="G152" s="105">
        <v>302605</v>
      </c>
      <c r="H152" s="105">
        <v>111818</v>
      </c>
      <c r="I152" s="105">
        <v>25116</v>
      </c>
      <c r="J152" s="106">
        <v>8.4600000000000009</v>
      </c>
      <c r="K152" s="106">
        <v>1.91</v>
      </c>
      <c r="L152" s="107">
        <v>46648.27</v>
      </c>
      <c r="M152" s="108">
        <f t="shared" si="48"/>
        <v>36.951801853901948</v>
      </c>
      <c r="N152" s="108">
        <f t="shared" si="49"/>
        <v>8.2999289502817213</v>
      </c>
      <c r="O152" s="108">
        <f t="shared" si="50"/>
        <v>22.461499937398273</v>
      </c>
      <c r="P152" s="108">
        <f t="shared" si="51"/>
        <v>154.1556484526032</v>
      </c>
      <c r="Q152" s="108">
        <f t="shared" si="52"/>
        <v>29.233022524783024</v>
      </c>
      <c r="R152" s="108">
        <f t="shared" si="53"/>
        <v>30.71114383300629</v>
      </c>
      <c r="S152" s="101">
        <f t="shared" si="54"/>
        <v>45959</v>
      </c>
      <c r="T152" s="102" t="str">
        <f t="shared" si="55"/>
        <v>Octubre</v>
      </c>
      <c r="U152" s="102" t="str">
        <f t="shared" si="56"/>
        <v>Miércoles</v>
      </c>
      <c r="V152" s="102">
        <f t="shared" si="57"/>
        <v>15</v>
      </c>
      <c r="W152" s="102" t="str">
        <f t="shared" si="58"/>
        <v>Resto del mes</v>
      </c>
      <c r="X152" s="102">
        <f t="shared" si="59"/>
        <v>27</v>
      </c>
      <c r="Y152" s="102" t="str">
        <f t="shared" si="60"/>
        <v>Sí</v>
      </c>
      <c r="Z152" s="102" t="str">
        <f>CHOOSE(MATCH(B152,{"Customer Appreciation","Exclusive Offers","Flash Sale","Holiday Discounts","New Product Launch","Newsletter"},0),"Fidelizar","Vender","Vender","Vender","Lanzar","Educar")</f>
        <v>Vender</v>
      </c>
      <c r="AA152" s="102" t="str">
        <f t="shared" si="61"/>
        <v>300 a 400 mil</v>
      </c>
      <c r="AB152" s="102">
        <f>COUNTIFS($E$5:$E$493,E152,$S$5:$S$493,"&lt;"&amp;S152)+COUNTIFS($E$5:E152,E152,$S$5:S152,S152)</f>
        <v>16</v>
      </c>
      <c r="AC152" s="102">
        <f t="shared" si="62"/>
        <v>20</v>
      </c>
      <c r="AD152" s="102" t="str">
        <f t="shared" si="63"/>
        <v>Último tercio</v>
      </c>
      <c r="AE152" s="103">
        <f t="shared" si="64"/>
        <v>7.7187793291189237</v>
      </c>
      <c r="AF152" s="102" t="str">
        <f t="shared" si="65"/>
        <v xml:space="preserve">  celebra con nosotros  descuentos festivos para regalar </v>
      </c>
      <c r="AG152" s="102" t="str">
        <f t="shared" si="66"/>
        <v xml:space="preserve"> regalos perfectos y ofertas que te encantarán   descubre más  </v>
      </c>
      <c r="AH152" s="102" t="str">
        <f>IF(SUMPRODUCT(--(LEFT(IF(LEFT(LOWER(E152),1)="¡",MID(LOWER(E152),2,300),LOWER(E152)),LEN({"actualizaci","el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152" s="102" t="str">
        <f>IF(OR(SUMPRODUCT(--ISNUMBER(SEARCH({"descuento","oferta","ahorr","precio"," sale ","flash","deals"},AF152)))&gt;0,SUMPRODUCT(--ISNUMBER(SEARCH({"descuento","oferta","ahorr","precio"," sale ","flash","deals"},AG152)))&gt;0),"Sí","No")</f>
        <v>Sí</v>
      </c>
      <c r="AJ152" s="102" t="str">
        <f>IF(SUMPRODUCT(--ISNUMBER(SEARCH({" hoy ","horas","tiempo limitado","antes de que","se acab","se agot","finalic","última oportunidad","oportunidad única","relámpago","express","no esperes","no volver","no parpadees"},AF152)))&gt;0,"Sí","No")</f>
        <v>No</v>
      </c>
      <c r="AK152" s="102" t="str">
        <f>IF(SUMPRODUCT(--ISNUMBER(SEARCH({" hoy ","horas","tiempo limitado","antes de que","se acab","se agot","finalic","última oportunidad","oportunidad única","relámpago","express","no esperes","no volver","no parpadees"},AG152)))&gt;0,"Sí","No")</f>
        <v>No</v>
      </c>
      <c r="AL152" s="102" t="str">
        <f t="shared" si="67"/>
        <v>Descuento sin tiempo límite</v>
      </c>
      <c r="AM152" s="102" t="str">
        <f>IF(SUMPRODUCT(--ISNUMBER(SEARCH({"0","1","2","3","4","5","6","7","8","9","favorit","maquillaje","piel","cabello","productos","belleza","regalo"},E152)))&gt;0,"Sí","No")</f>
        <v>No</v>
      </c>
      <c r="AN152" s="102" t="str">
        <f>IF(SUMPRODUCT(--ISNUMBER(SEARCH({"lo que tenemos","estas ofertas","algo especial","ofertas únicas","que preparamos","no te quedes","echa un vistazo"},F152)))&gt;0,"Sí","No")</f>
        <v>No</v>
      </c>
      <c r="AO152" s="102">
        <f t="shared" si="68"/>
        <v>55</v>
      </c>
      <c r="AP152" s="102">
        <f t="shared" si="69"/>
        <v>7</v>
      </c>
      <c r="AQ152" s="102">
        <f>SUMPRODUCT(LEN(E152)-LEN(SUBSTITUTE(E152,{"!","¡","?","¿",":",",",".","%","·","-",";"},"")))</f>
        <v>2</v>
      </c>
      <c r="AR152" s="102" t="str">
        <f t="shared" si="70"/>
        <v>Sí</v>
      </c>
      <c r="AS152" s="102" t="str">
        <f t="shared" si="71"/>
        <v>No</v>
      </c>
      <c r="AT152" s="102" t="str">
        <f>IF(SUMPRODUCT(--ISNUMBER(FIND({"0","1","2","3","4","5","6","7","8","9"},E152)))&gt;0,"Con cifra concreta",IF(OR(ISNUMBER(FIND("?",E152)),ISNUMBER(FIND("¿",E152))),"Pregunta abierta",IF(SUMPRODUCT(--ISNUMBER(SEARCH({" hoy ","horas","tiempo limitado","antes de que","se acab","se agot","finalic","última oportunidad","oportunidad única","relámpago","express","no esperes","no volver","no parpadees"," ya ","últimas horas","últimas unidades"," ahora "},AF152)))&gt;0,"Solo urgencia, sin cifra",IF(SUMPRODUCT(--ISNUMBER(SEARCH({"recompensa","sorpresa","regalo","lealtad","detalle","gracias","pensamos en ti","para ti"},E152)))&gt;0,"Recompensa o sorpresa","Otro: beneficio o novedad"))))</f>
        <v>Otro: beneficio o novedad</v>
      </c>
    </row>
    <row r="153" spans="1:46" x14ac:dyDescent="0.2">
      <c r="A153" s="96" t="s">
        <v>1024</v>
      </c>
      <c r="B153" s="96" t="s">
        <v>276</v>
      </c>
      <c r="C153" s="96" t="s">
        <v>869</v>
      </c>
      <c r="D153" s="96" t="s">
        <v>821</v>
      </c>
      <c r="E153" s="96" t="s">
        <v>866</v>
      </c>
      <c r="F153" s="96" t="s">
        <v>867</v>
      </c>
      <c r="G153" s="97">
        <v>214048</v>
      </c>
      <c r="H153" s="97">
        <v>31124</v>
      </c>
      <c r="I153" s="97">
        <v>13271</v>
      </c>
      <c r="J153" s="98">
        <v>7.37</v>
      </c>
      <c r="K153" s="98">
        <v>1.07</v>
      </c>
      <c r="L153" s="99">
        <v>59527.83</v>
      </c>
      <c r="M153" s="100">
        <f t="shared" si="48"/>
        <v>14.540663776349231</v>
      </c>
      <c r="N153" s="100">
        <f t="shared" si="49"/>
        <v>6.2000112124383318</v>
      </c>
      <c r="O153" s="100">
        <f t="shared" si="50"/>
        <v>42.639120935612389</v>
      </c>
      <c r="P153" s="100">
        <f t="shared" si="51"/>
        <v>278.10505120346841</v>
      </c>
      <c r="Q153" s="100">
        <f t="shared" si="52"/>
        <v>20.679461560319073</v>
      </c>
      <c r="R153" s="100">
        <f t="shared" si="53"/>
        <v>29.440902453236173</v>
      </c>
      <c r="S153" s="101">
        <f t="shared" si="54"/>
        <v>45917</v>
      </c>
      <c r="T153" s="102" t="str">
        <f t="shared" si="55"/>
        <v>Septiembre</v>
      </c>
      <c r="U153" s="102" t="str">
        <f t="shared" si="56"/>
        <v>Miércoles</v>
      </c>
      <c r="V153" s="102">
        <f t="shared" si="57"/>
        <v>8</v>
      </c>
      <c r="W153" s="102" t="str">
        <f t="shared" si="58"/>
        <v>Días después del pago</v>
      </c>
      <c r="X153" s="102">
        <f t="shared" si="59"/>
        <v>26</v>
      </c>
      <c r="Y153" s="102" t="str">
        <f t="shared" si="60"/>
        <v>Sí</v>
      </c>
      <c r="Z153" s="102" t="str">
        <f>CHOOSE(MATCH(B153,{"Customer Appreciation","Exclusive Offers","Flash Sale","Holiday Discounts","New Product Launch","Newsletter"},0),"Fidelizar","Vender","Vender","Vender","Lanzar","Educar")</f>
        <v>Vender</v>
      </c>
      <c r="AA153" s="102" t="str">
        <f t="shared" si="61"/>
        <v>200 a 300 mil</v>
      </c>
      <c r="AB153" s="102">
        <f>COUNTIFS($E$5:$E$493,E153,$S$5:$S$493,"&lt;"&amp;S153)+COUNTIFS($E$5:E153,E153,$S$5:S153,S153)</f>
        <v>6</v>
      </c>
      <c r="AC153" s="102">
        <f t="shared" si="62"/>
        <v>7</v>
      </c>
      <c r="AD153" s="102" t="str">
        <f t="shared" si="63"/>
        <v/>
      </c>
      <c r="AE153" s="103">
        <f t="shared" si="64"/>
        <v>-6.1387977839698422</v>
      </c>
      <c r="AF153" s="102" t="str">
        <f t="shared" si="65"/>
        <v xml:space="preserve">  ahorra en grande  oferta relámpago  últimas unidades </v>
      </c>
      <c r="AG153" s="102" t="str">
        <f t="shared" si="66"/>
        <v xml:space="preserve"> precios irresistibles en tus productos favoritos   compra ahora  </v>
      </c>
      <c r="AH153" s="102" t="str">
        <f>IF(SUMPRODUCT(--(LEFT(IF(LEFT(LOWER(E153),1)="¡",MID(LOWER(E153),2,300),LOWER(E153)),LEN({"actualizaci","el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153" s="102" t="str">
        <f>IF(OR(SUMPRODUCT(--ISNUMBER(SEARCH({"descuento","oferta","ahorr","precio"," sale ","flash","deals"},AF153)))&gt;0,SUMPRODUCT(--ISNUMBER(SEARCH({"descuento","oferta","ahorr","precio"," sale ","flash","deals"},AG153)))&gt;0),"Sí","No")</f>
        <v>Sí</v>
      </c>
      <c r="AJ153" s="102" t="str">
        <f>IF(SUMPRODUCT(--ISNUMBER(SEARCH({" hoy ","horas","tiempo limitado","antes de que","se acab","se agot","finalic","última oportunidad","oportunidad única","relámpago","express","no esperes","no volver","no parpadees"},AF153)))&gt;0,"Sí","No")</f>
        <v>Sí</v>
      </c>
      <c r="AK153" s="102" t="str">
        <f>IF(SUMPRODUCT(--ISNUMBER(SEARCH({" hoy ","horas","tiempo limitado","antes de que","se acab","se agot","finalic","última oportunidad","oportunidad única","relámpago","express","no esperes","no volver","no parpadees"},AG153)))&gt;0,"Sí","No")</f>
        <v>No</v>
      </c>
      <c r="AL153" s="102" t="str">
        <f t="shared" si="67"/>
        <v>Descuento con tiempo límite en el asunto</v>
      </c>
      <c r="AM153" s="102" t="str">
        <f>IF(SUMPRODUCT(--ISNUMBER(SEARCH({"0","1","2","3","4","5","6","7","8","9","favorit","maquillaje","piel","cabello","productos","belleza","regalo"},E153)))&gt;0,"Sí","No")</f>
        <v>No</v>
      </c>
      <c r="AN153" s="102" t="str">
        <f>IF(SUMPRODUCT(--ISNUMBER(SEARCH({"lo que tenemos","estas ofertas","algo especial","ofertas únicas","que preparamos","no te quedes","echa un vistazo"},F153)))&gt;0,"Sí","No")</f>
        <v>No</v>
      </c>
      <c r="AO153" s="102">
        <f t="shared" si="68"/>
        <v>53</v>
      </c>
      <c r="AP153" s="102">
        <f t="shared" si="69"/>
        <v>7</v>
      </c>
      <c r="AQ153" s="102">
        <f>SUMPRODUCT(LEN(E153)-LEN(SUBSTITUTE(E153,{"!","¡","?","¿",":",",",".","%","·","-",";"},"")))</f>
        <v>3</v>
      </c>
      <c r="AR153" s="102" t="str">
        <f t="shared" si="70"/>
        <v>Sí</v>
      </c>
      <c r="AS153" s="102" t="str">
        <f t="shared" si="71"/>
        <v>No</v>
      </c>
      <c r="AT153" s="102" t="str">
        <f>IF(SUMPRODUCT(--ISNUMBER(FIND({"0","1","2","3","4","5","6","7","8","9"},E153)))&gt;0,"Con cifra concreta",IF(OR(ISNUMBER(FIND("?",E153)),ISNUMBER(FIND("¿",E153))),"Pregunta abierta",IF(SUMPRODUCT(--ISNUMBER(SEARCH({" hoy ","horas","tiempo limitado","antes de que","se acab","se agot","finalic","última oportunidad","oportunidad única","relámpago","express","no esperes","no volver","no parpadees"," ya ","últimas horas","últimas unidades"," ahora "},AF153)))&gt;0,"Solo urgencia, sin cifra",IF(SUMPRODUCT(--ISNUMBER(SEARCH({"recompensa","sorpresa","regalo","lealtad","detalle","gracias","pensamos en ti","para ti"},E153)))&gt;0,"Recompensa o sorpresa","Otro: beneficio o novedad"))))</f>
        <v>Solo urgencia, sin cifra</v>
      </c>
    </row>
    <row r="154" spans="1:46" x14ac:dyDescent="0.2">
      <c r="A154" s="104" t="s">
        <v>1025</v>
      </c>
      <c r="B154" s="104" t="s">
        <v>276</v>
      </c>
      <c r="C154" s="104" t="s">
        <v>928</v>
      </c>
      <c r="D154" s="104" t="s">
        <v>715</v>
      </c>
      <c r="E154" s="104" t="s">
        <v>483</v>
      </c>
      <c r="F154" s="104" t="s">
        <v>484</v>
      </c>
      <c r="G154" s="105">
        <v>156583</v>
      </c>
      <c r="H154" s="105">
        <v>24075</v>
      </c>
      <c r="I154" s="105">
        <v>1769</v>
      </c>
      <c r="J154" s="106">
        <v>6.92</v>
      </c>
      <c r="K154" s="106">
        <v>0.87</v>
      </c>
      <c r="L154" s="107">
        <v>54153.13</v>
      </c>
      <c r="M154" s="108">
        <f t="shared" si="48"/>
        <v>15.375232304911773</v>
      </c>
      <c r="N154" s="108">
        <f t="shared" si="49"/>
        <v>1.1297522719580031</v>
      </c>
      <c r="O154" s="108">
        <f t="shared" si="50"/>
        <v>7.3478712357217031</v>
      </c>
      <c r="P154" s="108">
        <f t="shared" si="51"/>
        <v>345.84297145922608</v>
      </c>
      <c r="Q154" s="108">
        <f t="shared" si="52"/>
        <v>17.395911943759799</v>
      </c>
      <c r="R154" s="108">
        <f t="shared" si="53"/>
        <v>29.440902453236173</v>
      </c>
      <c r="S154" s="101">
        <f t="shared" si="54"/>
        <v>45883</v>
      </c>
      <c r="T154" s="102" t="str">
        <f t="shared" si="55"/>
        <v>Agosto</v>
      </c>
      <c r="U154" s="102" t="str">
        <f t="shared" si="56"/>
        <v>Jueves</v>
      </c>
      <c r="V154" s="102">
        <f t="shared" si="57"/>
        <v>11</v>
      </c>
      <c r="W154" s="102" t="str">
        <f t="shared" si="58"/>
        <v>Quincena</v>
      </c>
      <c r="X154" s="102">
        <f t="shared" si="59"/>
        <v>23</v>
      </c>
      <c r="Y154" s="102" t="str">
        <f t="shared" si="60"/>
        <v>Sí</v>
      </c>
      <c r="Z154" s="102" t="str">
        <f>CHOOSE(MATCH(B154,{"Customer Appreciation","Exclusive Offers","Flash Sale","Holiday Discounts","New Product Launch","Newsletter"},0),"Fidelizar","Vender","Vender","Vender","Lanzar","Educar")</f>
        <v>Vender</v>
      </c>
      <c r="AA154" s="102" t="str">
        <f t="shared" si="61"/>
        <v>100 a 200 mil</v>
      </c>
      <c r="AB154" s="102">
        <f>COUNTIFS($E$5:$E$493,E154,$S$5:$S$493,"&lt;"&amp;S154)+COUNTIFS($E$5:E154,E154,$S$5:S154,S154)</f>
        <v>2</v>
      </c>
      <c r="AC154" s="102">
        <f t="shared" si="62"/>
        <v>9</v>
      </c>
      <c r="AD154" s="102" t="str">
        <f t="shared" si="63"/>
        <v>Primer tercio</v>
      </c>
      <c r="AE154" s="103">
        <f t="shared" si="64"/>
        <v>-2.0206796388480264</v>
      </c>
      <c r="AF154" s="102" t="str">
        <f t="shared" si="65"/>
        <v xml:space="preserve">  gran oferta  por tiempo limitado  no te lo pierdas </v>
      </c>
      <c r="AG154" s="102" t="str">
        <f t="shared" si="66"/>
        <v xml:space="preserve"> aprovecha los descuentos en tus productos esenciales   compra ahora  </v>
      </c>
      <c r="AH154" s="102" t="str">
        <f>IF(SUMPRODUCT(--(LEFT(IF(LEFT(LOWER(E154),1)="¡",MID(LOWER(E154),2,300),LOWER(E154)),LEN({"actualizaci","el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Sí</v>
      </c>
      <c r="AI154" s="102" t="str">
        <f>IF(OR(SUMPRODUCT(--ISNUMBER(SEARCH({"descuento","oferta","ahorr","precio"," sale ","flash","deals"},AF154)))&gt;0,SUMPRODUCT(--ISNUMBER(SEARCH({"descuento","oferta","ahorr","precio"," sale ","flash","deals"},AG154)))&gt;0),"Sí","No")</f>
        <v>Sí</v>
      </c>
      <c r="AJ154" s="102" t="str">
        <f>IF(SUMPRODUCT(--ISNUMBER(SEARCH({" hoy ","horas","tiempo limitado","antes de que","se acab","se agot","finalic","última oportunidad","oportunidad única","relámpago","express","no esperes","no volver","no parpadees"},AF154)))&gt;0,"Sí","No")</f>
        <v>Sí</v>
      </c>
      <c r="AK154" s="102" t="str">
        <f>IF(SUMPRODUCT(--ISNUMBER(SEARCH({" hoy ","horas","tiempo limitado","antes de que","se acab","se agot","finalic","última oportunidad","oportunidad única","relámpago","express","no esperes","no volver","no parpadees"},AG154)))&gt;0,"Sí","No")</f>
        <v>No</v>
      </c>
      <c r="AL154" s="102" t="str">
        <f t="shared" si="67"/>
        <v>Descuento con tiempo límite en el asunto</v>
      </c>
      <c r="AM154" s="102" t="str">
        <f>IF(SUMPRODUCT(--ISNUMBER(SEARCH({"0","1","2","3","4","5","6","7","8","9","favorit","maquillaje","piel","cabello","productos","belleza","regalo"},E154)))&gt;0,"Sí","No")</f>
        <v>No</v>
      </c>
      <c r="AN154" s="102" t="str">
        <f>IF(SUMPRODUCT(--ISNUMBER(SEARCH({"lo que tenemos","estas ofertas","algo especial","ofertas únicas","que preparamos","no te quedes","echa un vistazo"},F154)))&gt;0,"Sí","No")</f>
        <v>No</v>
      </c>
      <c r="AO154" s="102">
        <f t="shared" si="68"/>
        <v>51</v>
      </c>
      <c r="AP154" s="102">
        <f t="shared" si="69"/>
        <v>9</v>
      </c>
      <c r="AQ154" s="102">
        <f>SUMPRODUCT(LEN(E154)-LEN(SUBSTITUTE(E154,{"!","¡","?","¿",":",",",".","%","·","-",";"},"")))</f>
        <v>3</v>
      </c>
      <c r="AR154" s="102" t="str">
        <f t="shared" si="70"/>
        <v>Sí</v>
      </c>
      <c r="AS154" s="102" t="str">
        <f t="shared" si="71"/>
        <v>No</v>
      </c>
      <c r="AT154" s="102" t="str">
        <f>IF(SUMPRODUCT(--ISNUMBER(FIND({"0","1","2","3","4","5","6","7","8","9"},E154)))&gt;0,"Con cifra concreta",IF(OR(ISNUMBER(FIND("?",E154)),ISNUMBER(FIND("¿",E154))),"Pregunta abierta",IF(SUMPRODUCT(--ISNUMBER(SEARCH({" hoy ","horas","tiempo limitado","antes de que","se acab","se agot","finalic","última oportunidad","oportunidad única","relámpago","express","no esperes","no volver","no parpadees"," ya ","últimas horas","últimas unidades"," ahora "},AF154)))&gt;0,"Solo urgencia, sin cifra",IF(SUMPRODUCT(--ISNUMBER(SEARCH({"recompensa","sorpresa","regalo","lealtad","detalle","gracias","pensamos en ti","para ti"},E154)))&gt;0,"Recompensa o sorpresa","Otro: beneficio o novedad"))))</f>
        <v>Solo urgencia, sin cifra</v>
      </c>
    </row>
    <row r="155" spans="1:46" x14ac:dyDescent="0.2">
      <c r="A155" s="96" t="s">
        <v>1026</v>
      </c>
      <c r="B155" s="96" t="s">
        <v>276</v>
      </c>
      <c r="C155" s="96" t="s">
        <v>944</v>
      </c>
      <c r="D155" s="96" t="s">
        <v>794</v>
      </c>
      <c r="E155" s="96" t="s">
        <v>850</v>
      </c>
      <c r="F155" s="96" t="s">
        <v>851</v>
      </c>
      <c r="G155" s="97">
        <v>480214</v>
      </c>
      <c r="H155" s="97">
        <v>187375</v>
      </c>
      <c r="I155" s="97">
        <v>14934</v>
      </c>
      <c r="J155" s="98">
        <v>2.73</v>
      </c>
      <c r="K155" s="98">
        <v>0.3</v>
      </c>
      <c r="L155" s="99">
        <v>22076</v>
      </c>
      <c r="M155" s="100">
        <f t="shared" si="48"/>
        <v>39.019062334709112</v>
      </c>
      <c r="N155" s="100">
        <f t="shared" si="49"/>
        <v>3.1098635191810318</v>
      </c>
      <c r="O155" s="100">
        <f t="shared" si="50"/>
        <v>7.9701134089392927</v>
      </c>
      <c r="P155" s="100">
        <f t="shared" si="51"/>
        <v>45.971171186179497</v>
      </c>
      <c r="Q155" s="100">
        <f t="shared" si="52"/>
        <v>31.964920766647268</v>
      </c>
      <c r="R155" s="100">
        <f t="shared" si="53"/>
        <v>29.440902453236173</v>
      </c>
      <c r="S155" s="101">
        <f t="shared" si="54"/>
        <v>45943</v>
      </c>
      <c r="T155" s="102" t="str">
        <f t="shared" si="55"/>
        <v>Octubre</v>
      </c>
      <c r="U155" s="102" t="str">
        <f t="shared" si="56"/>
        <v>Lunes</v>
      </c>
      <c r="V155" s="102">
        <f t="shared" si="57"/>
        <v>12</v>
      </c>
      <c r="W155" s="102" t="str">
        <f t="shared" si="58"/>
        <v>Resto del mes</v>
      </c>
      <c r="X155" s="102">
        <f t="shared" si="59"/>
        <v>23</v>
      </c>
      <c r="Y155" s="102" t="str">
        <f t="shared" si="60"/>
        <v>Sí</v>
      </c>
      <c r="Z155" s="102" t="str">
        <f>CHOOSE(MATCH(B155,{"Customer Appreciation","Exclusive Offers","Flash Sale","Holiday Discounts","New Product Launch","Newsletter"},0),"Fidelizar","Vender","Vender","Vender","Lanzar","Educar")</f>
        <v>Vender</v>
      </c>
      <c r="AA155" s="102" t="str">
        <f t="shared" si="61"/>
        <v>Más de 400 mil</v>
      </c>
      <c r="AB155" s="102">
        <f>COUNTIFS($E$5:$E$493,E155,$S$5:$S$493,"&lt;"&amp;S155)+COUNTIFS($E$5:E155,E155,$S$5:S155,S155)</f>
        <v>2</v>
      </c>
      <c r="AC155" s="102">
        <f t="shared" si="62"/>
        <v>4</v>
      </c>
      <c r="AD155" s="102" t="str">
        <f t="shared" si="63"/>
        <v/>
      </c>
      <c r="AE155" s="103">
        <f t="shared" si="64"/>
        <v>7.0541415680618442</v>
      </c>
      <c r="AF155" s="102" t="str">
        <f t="shared" si="65"/>
        <v xml:space="preserve">  ofertas que te harán sonreír  flash sale en tus favoritos </v>
      </c>
      <c r="AG155" s="102" t="str">
        <f t="shared" si="66"/>
        <v xml:space="preserve"> descuentos exclusivos en tus favoritos   aprovecha antes de que acabe  </v>
      </c>
      <c r="AH155" s="102" t="str">
        <f>IF(SUMPRODUCT(--(LEFT(IF(LEFT(LOWER(E155),1)="¡",MID(LOWER(E155),2,300),LOWER(E155)),LEN({"actualizaci","el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155" s="102" t="str">
        <f>IF(OR(SUMPRODUCT(--ISNUMBER(SEARCH({"descuento","oferta","ahorr","precio"," sale ","flash","deals"},AF155)))&gt;0,SUMPRODUCT(--ISNUMBER(SEARCH({"descuento","oferta","ahorr","precio"," sale ","flash","deals"},AG155)))&gt;0),"Sí","No")</f>
        <v>Sí</v>
      </c>
      <c r="AJ155" s="102" t="str">
        <f>IF(SUMPRODUCT(--ISNUMBER(SEARCH({" hoy ","horas","tiempo limitado","antes de que","se acab","se agot","finalic","última oportunidad","oportunidad única","relámpago","express","no esperes","no volver","no parpadees"},AF155)))&gt;0,"Sí","No")</f>
        <v>No</v>
      </c>
      <c r="AK155" s="102" t="str">
        <f>IF(SUMPRODUCT(--ISNUMBER(SEARCH({" hoy ","horas","tiempo limitado","antes de que","se acab","se agot","finalic","última oportunidad","oportunidad única","relámpago","express","no esperes","no volver","no parpadees"},AG155)))&gt;0,"Sí","No")</f>
        <v>Sí</v>
      </c>
      <c r="AL155" s="102" t="str">
        <f t="shared" si="67"/>
        <v>Descuento con tiempo límite solo en el preheader</v>
      </c>
      <c r="AM155" s="102" t="str">
        <f>IF(SUMPRODUCT(--ISNUMBER(SEARCH({"0","1","2","3","4","5","6","7","8","9","favorit","maquillaje","piel","cabello","productos","belleza","regalo"},E155)))&gt;0,"Sí","No")</f>
        <v>Sí</v>
      </c>
      <c r="AN155" s="102" t="str">
        <f>IF(SUMPRODUCT(--ISNUMBER(SEARCH({"lo que tenemos","estas ofertas","algo especial","ofertas únicas","que preparamos","no te quedes","echa un vistazo"},F155)))&gt;0,"Sí","No")</f>
        <v>No</v>
      </c>
      <c r="AO155" s="102">
        <f t="shared" si="68"/>
        <v>58</v>
      </c>
      <c r="AP155" s="102">
        <f t="shared" si="69"/>
        <v>10</v>
      </c>
      <c r="AQ155" s="102">
        <f>SUMPRODUCT(LEN(E155)-LEN(SUBSTITUTE(E155,{"!","¡","?","¿",":",",",".","%","·","-",";"},"")))</f>
        <v>2</v>
      </c>
      <c r="AR155" s="102" t="str">
        <f t="shared" si="70"/>
        <v>No</v>
      </c>
      <c r="AS155" s="102" t="str">
        <f t="shared" si="71"/>
        <v>No</v>
      </c>
      <c r="AT155" s="102" t="str">
        <f>IF(SUMPRODUCT(--ISNUMBER(FIND({"0","1","2","3","4","5","6","7","8","9"},E155)))&gt;0,"Con cifra concreta",IF(OR(ISNUMBER(FIND("?",E155)),ISNUMBER(FIND("¿",E155))),"Pregunta abierta",IF(SUMPRODUCT(--ISNUMBER(SEARCH({" hoy ","horas","tiempo limitado","antes de que","se acab","se agot","finalic","última oportunidad","oportunidad única","relámpago","express","no esperes","no volver","no parpadees"," ya ","últimas horas","últimas unidades"," ahora "},AF155)))&gt;0,"Solo urgencia, sin cifra",IF(SUMPRODUCT(--ISNUMBER(SEARCH({"recompensa","sorpresa","regalo","lealtad","detalle","gracias","pensamos en ti","para ti"},E155)))&gt;0,"Recompensa o sorpresa","Otro: beneficio o novedad"))))</f>
        <v>Otro: beneficio o novedad</v>
      </c>
    </row>
    <row r="156" spans="1:46" x14ac:dyDescent="0.2">
      <c r="A156" s="104" t="s">
        <v>1027</v>
      </c>
      <c r="B156" s="104" t="s">
        <v>276</v>
      </c>
      <c r="C156" s="104" t="s">
        <v>889</v>
      </c>
      <c r="D156" s="104" t="s">
        <v>761</v>
      </c>
      <c r="E156" s="104" t="s">
        <v>474</v>
      </c>
      <c r="F156" s="104" t="s">
        <v>475</v>
      </c>
      <c r="G156" s="105">
        <v>140804</v>
      </c>
      <c r="H156" s="105">
        <v>32606</v>
      </c>
      <c r="I156" s="105">
        <v>3888</v>
      </c>
      <c r="J156" s="106">
        <v>1.99</v>
      </c>
      <c r="K156" s="106">
        <v>3.56</v>
      </c>
      <c r="L156" s="107">
        <v>81046.17</v>
      </c>
      <c r="M156" s="108">
        <f t="shared" si="48"/>
        <v>23.157012584869747</v>
      </c>
      <c r="N156" s="108">
        <f t="shared" si="49"/>
        <v>2.761285190761626</v>
      </c>
      <c r="O156" s="108">
        <f t="shared" si="50"/>
        <v>11.924185732687235</v>
      </c>
      <c r="P156" s="108">
        <f t="shared" si="51"/>
        <v>575.59565069174164</v>
      </c>
      <c r="Q156" s="108">
        <f t="shared" si="52"/>
        <v>22.775066640377752</v>
      </c>
      <c r="R156" s="108">
        <f t="shared" si="53"/>
        <v>29.440902453236173</v>
      </c>
      <c r="S156" s="101">
        <f t="shared" si="54"/>
        <v>45908</v>
      </c>
      <c r="T156" s="102" t="str">
        <f t="shared" si="55"/>
        <v>Septiembre</v>
      </c>
      <c r="U156" s="102" t="str">
        <f t="shared" si="56"/>
        <v>Lunes</v>
      </c>
      <c r="V156" s="102">
        <f t="shared" si="57"/>
        <v>10</v>
      </c>
      <c r="W156" s="102" t="str">
        <f t="shared" si="58"/>
        <v>Resto del mes</v>
      </c>
      <c r="X156" s="102">
        <f t="shared" si="59"/>
        <v>28</v>
      </c>
      <c r="Y156" s="102" t="str">
        <f t="shared" si="60"/>
        <v>Sí</v>
      </c>
      <c r="Z156" s="102" t="str">
        <f>CHOOSE(MATCH(B156,{"Customer Appreciation","Exclusive Offers","Flash Sale","Holiday Discounts","New Product Launch","Newsletter"},0),"Fidelizar","Vender","Vender","Vender","Lanzar","Educar")</f>
        <v>Vender</v>
      </c>
      <c r="AA156" s="102" t="str">
        <f t="shared" si="61"/>
        <v>100 a 200 mil</v>
      </c>
      <c r="AB156" s="102">
        <f>COUNTIFS($E$5:$E$493,E156,$S$5:$S$493,"&lt;"&amp;S156)+COUNTIFS($E$5:E156,E156,$S$5:S156,S156)</f>
        <v>9</v>
      </c>
      <c r="AC156" s="102">
        <f t="shared" si="62"/>
        <v>20</v>
      </c>
      <c r="AD156" s="102" t="str">
        <f t="shared" si="63"/>
        <v>Medio</v>
      </c>
      <c r="AE156" s="103">
        <f t="shared" si="64"/>
        <v>0.3819459444919957</v>
      </c>
      <c r="AF156" s="102" t="str">
        <f t="shared" si="65"/>
        <v xml:space="preserve">  aprovecha antes de que se acabe  oferta flash  productos top </v>
      </c>
      <c r="AG156" s="102" t="str">
        <f t="shared" si="66"/>
        <v xml:space="preserve"> grandes descuentos por tiempo limitado   no te lo pierdas  </v>
      </c>
      <c r="AH156" s="102" t="str">
        <f>IF(SUMPRODUCT(--(LEFT(IF(LEFT(LOWER(E156),1)="¡",MID(LOWER(E156),2,300),LOWER(E156)),LEN({"actualizaci","el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156" s="102" t="str">
        <f>IF(OR(SUMPRODUCT(--ISNUMBER(SEARCH({"descuento","oferta","ahorr","precio"," sale ","flash","deals"},AF156)))&gt;0,SUMPRODUCT(--ISNUMBER(SEARCH({"descuento","oferta","ahorr","precio"," sale ","flash","deals"},AG156)))&gt;0),"Sí","No")</f>
        <v>Sí</v>
      </c>
      <c r="AJ156" s="102" t="str">
        <f>IF(SUMPRODUCT(--ISNUMBER(SEARCH({" hoy ","horas","tiempo limitado","antes de que","se acab","se agot","finalic","última oportunidad","oportunidad única","relámpago","express","no esperes","no volver","no parpadees"},AF156)))&gt;0,"Sí","No")</f>
        <v>Sí</v>
      </c>
      <c r="AK156" s="102" t="str">
        <f>IF(SUMPRODUCT(--ISNUMBER(SEARCH({" hoy ","horas","tiempo limitado","antes de que","se acab","se agot","finalic","última oportunidad","oportunidad única","relámpago","express","no esperes","no volver","no parpadees"},AG156)))&gt;0,"Sí","No")</f>
        <v>Sí</v>
      </c>
      <c r="AL156" s="102" t="str">
        <f t="shared" si="67"/>
        <v>Descuento con tiempo límite en el asunto</v>
      </c>
      <c r="AM156" s="102" t="str">
        <f>IF(SUMPRODUCT(--ISNUMBER(SEARCH({"0","1","2","3","4","5","6","7","8","9","favorit","maquillaje","piel","cabello","productos","belleza","regalo"},E156)))&gt;0,"Sí","No")</f>
        <v>Sí</v>
      </c>
      <c r="AN156" s="102" t="str">
        <f>IF(SUMPRODUCT(--ISNUMBER(SEARCH({"lo que tenemos","estas ofertas","algo especial","ofertas únicas","que preparamos","no te quedes","echa un vistazo"},F156)))&gt;0,"Sí","No")</f>
        <v>No</v>
      </c>
      <c r="AO156" s="102">
        <f t="shared" si="68"/>
        <v>61</v>
      </c>
      <c r="AP156" s="102">
        <f t="shared" si="69"/>
        <v>10</v>
      </c>
      <c r="AQ156" s="102">
        <f>SUMPRODUCT(LEN(E156)-LEN(SUBSTITUTE(E156,{"!","¡","?","¿",":",",",".","%","·","-",";"},"")))</f>
        <v>3</v>
      </c>
      <c r="AR156" s="102" t="str">
        <f t="shared" si="70"/>
        <v>No</v>
      </c>
      <c r="AS156" s="102" t="str">
        <f t="shared" si="71"/>
        <v>No</v>
      </c>
      <c r="AT156" s="102" t="str">
        <f>IF(SUMPRODUCT(--ISNUMBER(FIND({"0","1","2","3","4","5","6","7","8","9"},E156)))&gt;0,"Con cifra concreta",IF(OR(ISNUMBER(FIND("?",E156)),ISNUMBER(FIND("¿",E156))),"Pregunta abierta",IF(SUMPRODUCT(--ISNUMBER(SEARCH({" hoy ","horas","tiempo limitado","antes de que","se acab","se agot","finalic","última oportunidad","oportunidad única","relámpago","express","no esperes","no volver","no parpadees"," ya ","últimas horas","últimas unidades"," ahora "},AF156)))&gt;0,"Solo urgencia, sin cifra",IF(SUMPRODUCT(--ISNUMBER(SEARCH({"recompensa","sorpresa","regalo","lealtad","detalle","gracias","pensamos en ti","para ti"},E156)))&gt;0,"Recompensa o sorpresa","Otro: beneficio o novedad"))))</f>
        <v>Solo urgencia, sin cifra</v>
      </c>
    </row>
    <row r="157" spans="1:46" x14ac:dyDescent="0.2">
      <c r="A157" s="96" t="s">
        <v>1028</v>
      </c>
      <c r="B157" s="96" t="s">
        <v>276</v>
      </c>
      <c r="C157" s="96" t="s">
        <v>891</v>
      </c>
      <c r="D157" s="96" t="s">
        <v>786</v>
      </c>
      <c r="E157" s="96" t="s">
        <v>450</v>
      </c>
      <c r="F157" s="96" t="s">
        <v>451</v>
      </c>
      <c r="G157" s="97">
        <v>41996</v>
      </c>
      <c r="H157" s="97">
        <v>16430</v>
      </c>
      <c r="I157" s="97">
        <v>7643</v>
      </c>
      <c r="J157" s="98">
        <v>9.3699999999999992</v>
      </c>
      <c r="K157" s="98">
        <v>0.1</v>
      </c>
      <c r="L157" s="99">
        <v>81888.679999999993</v>
      </c>
      <c r="M157" s="100">
        <f t="shared" si="48"/>
        <v>39.122773597485477</v>
      </c>
      <c r="N157" s="100">
        <f t="shared" si="49"/>
        <v>18.199352319268502</v>
      </c>
      <c r="O157" s="100">
        <f t="shared" si="50"/>
        <v>46.518563603164942</v>
      </c>
      <c r="P157" s="100">
        <f t="shared" si="51"/>
        <v>1949.9161824935707</v>
      </c>
      <c r="Q157" s="100">
        <f t="shared" si="52"/>
        <v>41.593592985418489</v>
      </c>
      <c r="R157" s="100">
        <f t="shared" si="53"/>
        <v>29.440902453236173</v>
      </c>
      <c r="S157" s="101">
        <f t="shared" si="54"/>
        <v>45888</v>
      </c>
      <c r="T157" s="102" t="str">
        <f t="shared" si="55"/>
        <v>Agosto</v>
      </c>
      <c r="U157" s="102" t="str">
        <f t="shared" si="56"/>
        <v>Martes</v>
      </c>
      <c r="V157" s="102">
        <f t="shared" si="57"/>
        <v>15</v>
      </c>
      <c r="W157" s="102" t="str">
        <f t="shared" si="58"/>
        <v>Días después del pago</v>
      </c>
      <c r="X157" s="102">
        <f t="shared" si="59"/>
        <v>29</v>
      </c>
      <c r="Y157" s="102" t="str">
        <f t="shared" si="60"/>
        <v>Sí</v>
      </c>
      <c r="Z157" s="102" t="str">
        <f>CHOOSE(MATCH(B157,{"Customer Appreciation","Exclusive Offers","Flash Sale","Holiday Discounts","New Product Launch","Newsletter"},0),"Fidelizar","Vender","Vender","Vender","Lanzar","Educar")</f>
        <v>Vender</v>
      </c>
      <c r="AA157" s="102" t="str">
        <f t="shared" si="61"/>
        <v>Menos de 100 mil</v>
      </c>
      <c r="AB157" s="102">
        <f>COUNTIFS($E$5:$E$493,E157,$S$5:$S$493,"&lt;"&amp;S157)+COUNTIFS($E$5:E157,E157,$S$5:S157,S157)</f>
        <v>3</v>
      </c>
      <c r="AC157" s="102">
        <f t="shared" si="62"/>
        <v>21</v>
      </c>
      <c r="AD157" s="102" t="str">
        <f t="shared" si="63"/>
        <v>Primer tercio</v>
      </c>
      <c r="AE157" s="103">
        <f t="shared" si="64"/>
        <v>-2.4708193879330125</v>
      </c>
      <c r="AF157" s="102" t="str">
        <f t="shared" si="65"/>
        <v xml:space="preserve">  ahorra ya  flash sale  hasta 50% en tus favoritos </v>
      </c>
      <c r="AG157" s="102" t="str">
        <f t="shared" si="66"/>
        <v xml:space="preserve"> edición limitada  maquillaje  cuidado de piel y más   corre  </v>
      </c>
      <c r="AH157" s="102" t="str">
        <f>IF(SUMPRODUCT(--(LEFT(IF(LEFT(LOWER(E157),1)="¡",MID(LOWER(E157),2,300),LOWER(E157)),LEN({"actualizaci","el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157" s="102" t="str">
        <f>IF(OR(SUMPRODUCT(--ISNUMBER(SEARCH({"descuento","oferta","ahorr","precio"," sale ","flash","deals"},AF157)))&gt;0,SUMPRODUCT(--ISNUMBER(SEARCH({"descuento","oferta","ahorr","precio"," sale ","flash","deals"},AG157)))&gt;0),"Sí","No")</f>
        <v>Sí</v>
      </c>
      <c r="AJ157" s="102" t="str">
        <f>IF(SUMPRODUCT(--ISNUMBER(SEARCH({" hoy ","horas","tiempo limitado","antes de que","se acab","se agot","finalic","última oportunidad","oportunidad única","relámpago","express","no esperes","no volver","no parpadees"},AF157)))&gt;0,"Sí","No")</f>
        <v>No</v>
      </c>
      <c r="AK157" s="102" t="str">
        <f>IF(SUMPRODUCT(--ISNUMBER(SEARCH({" hoy ","horas","tiempo limitado","antes de que","se acab","se agot","finalic","última oportunidad","oportunidad única","relámpago","express","no esperes","no volver","no parpadees"},AG157)))&gt;0,"Sí","No")</f>
        <v>No</v>
      </c>
      <c r="AL157" s="102" t="str">
        <f t="shared" si="67"/>
        <v>Descuento sin tiempo límite</v>
      </c>
      <c r="AM157" s="102" t="str">
        <f>IF(SUMPRODUCT(--ISNUMBER(SEARCH({"0","1","2","3","4","5","6","7","8","9","favorit","maquillaje","piel","cabello","productos","belleza","regalo"},E157)))&gt;0,"Sí","No")</f>
        <v>Sí</v>
      </c>
      <c r="AN157" s="102" t="str">
        <f>IF(SUMPRODUCT(--ISNUMBER(SEARCH({"lo que tenemos","estas ofertas","algo especial","ofertas únicas","que preparamos","no te quedes","echa un vistazo"},F157)))&gt;0,"Sí","No")</f>
        <v>No</v>
      </c>
      <c r="AO157" s="102">
        <f t="shared" si="68"/>
        <v>50</v>
      </c>
      <c r="AP157" s="102">
        <f t="shared" si="69"/>
        <v>9</v>
      </c>
      <c r="AQ157" s="102">
        <f>SUMPRODUCT(LEN(E157)-LEN(SUBSTITUTE(E157,{"!","¡","?","¿",":",",",".","%","·","-",";"},"")))</f>
        <v>4</v>
      </c>
      <c r="AR157" s="102" t="str">
        <f t="shared" si="70"/>
        <v>No</v>
      </c>
      <c r="AS157" s="102" t="str">
        <f t="shared" si="71"/>
        <v>No</v>
      </c>
      <c r="AT157" s="102" t="str">
        <f>IF(SUMPRODUCT(--ISNUMBER(FIND({"0","1","2","3","4","5","6","7","8","9"},E157)))&gt;0,"Con cifra concreta",IF(OR(ISNUMBER(FIND("?",E157)),ISNUMBER(FIND("¿",E157))),"Pregunta abierta",IF(SUMPRODUCT(--ISNUMBER(SEARCH({" hoy ","horas","tiempo limitado","antes de que","se acab","se agot","finalic","última oportunidad","oportunidad única","relámpago","express","no esperes","no volver","no parpadees"," ya ","últimas horas","últimas unidades"," ahora "},AF157)))&gt;0,"Solo urgencia, sin cifra",IF(SUMPRODUCT(--ISNUMBER(SEARCH({"recompensa","sorpresa","regalo","lealtad","detalle","gracias","pensamos en ti","para ti"},E157)))&gt;0,"Recompensa o sorpresa","Otro: beneficio o novedad"))))</f>
        <v>Con cifra concreta</v>
      </c>
    </row>
    <row r="158" spans="1:46" x14ac:dyDescent="0.2">
      <c r="A158" s="104" t="s">
        <v>1029</v>
      </c>
      <c r="B158" s="104" t="s">
        <v>277</v>
      </c>
      <c r="C158" s="104" t="s">
        <v>915</v>
      </c>
      <c r="D158" s="104" t="s">
        <v>769</v>
      </c>
      <c r="E158" s="104" t="s">
        <v>476</v>
      </c>
      <c r="F158" s="104" t="s">
        <v>477</v>
      </c>
      <c r="G158" s="105">
        <v>191954</v>
      </c>
      <c r="H158" s="105">
        <v>22019</v>
      </c>
      <c r="I158" s="105">
        <v>5127</v>
      </c>
      <c r="J158" s="106">
        <v>9.2100000000000009</v>
      </c>
      <c r="K158" s="106">
        <v>1.43</v>
      </c>
      <c r="L158" s="107">
        <v>75397.91</v>
      </c>
      <c r="M158" s="108">
        <f t="shared" si="48"/>
        <v>11.470977421673943</v>
      </c>
      <c r="N158" s="108">
        <f t="shared" si="49"/>
        <v>2.6709524156829239</v>
      </c>
      <c r="O158" s="108">
        <f t="shared" si="50"/>
        <v>23.284436168763339</v>
      </c>
      <c r="P158" s="108">
        <f t="shared" si="51"/>
        <v>392.79155422653344</v>
      </c>
      <c r="Q158" s="108">
        <f t="shared" si="52"/>
        <v>21.434915192427972</v>
      </c>
      <c r="R158" s="108">
        <f t="shared" si="53"/>
        <v>30.71114383300629</v>
      </c>
      <c r="S158" s="101">
        <f t="shared" si="54"/>
        <v>45954</v>
      </c>
      <c r="T158" s="102" t="str">
        <f t="shared" si="55"/>
        <v>Octubre</v>
      </c>
      <c r="U158" s="102" t="str">
        <f t="shared" si="56"/>
        <v>Viernes</v>
      </c>
      <c r="V158" s="102">
        <f t="shared" si="57"/>
        <v>13</v>
      </c>
      <c r="W158" s="102" t="str">
        <f t="shared" si="58"/>
        <v>Resto del mes</v>
      </c>
      <c r="X158" s="102">
        <f t="shared" si="59"/>
        <v>29</v>
      </c>
      <c r="Y158" s="102" t="str">
        <f t="shared" si="60"/>
        <v>Sí</v>
      </c>
      <c r="Z158" s="102" t="str">
        <f>CHOOSE(MATCH(B158,{"Customer Appreciation","Exclusive Offers","Flash Sale","Holiday Discounts","New Product Launch","Newsletter"},0),"Fidelizar","Vender","Vender","Vender","Lanzar","Educar")</f>
        <v>Vender</v>
      </c>
      <c r="AA158" s="102" t="str">
        <f t="shared" si="61"/>
        <v>100 a 200 mil</v>
      </c>
      <c r="AB158" s="102">
        <f>COUNTIFS($E$5:$E$493,E158,$S$5:$S$493,"&lt;"&amp;S158)+COUNTIFS($E$5:E158,E158,$S$5:S158,S158)</f>
        <v>10</v>
      </c>
      <c r="AC158" s="102">
        <f t="shared" si="62"/>
        <v>10</v>
      </c>
      <c r="AD158" s="102" t="str">
        <f t="shared" si="63"/>
        <v>Último tercio</v>
      </c>
      <c r="AE158" s="103">
        <f t="shared" si="64"/>
        <v>-9.9639377707540291</v>
      </c>
      <c r="AF158" s="102" t="str">
        <f t="shared" si="65"/>
        <v xml:space="preserve">  ofertas de temporada  listas para ti  regalos perfectos </v>
      </c>
      <c r="AG158" s="102" t="str">
        <f t="shared" si="66"/>
        <v xml:space="preserve"> los mejores productos para tus celebraciones te esperan   descubre  </v>
      </c>
      <c r="AH158" s="102" t="str">
        <f>IF(SUMPRODUCT(--(LEFT(IF(LEFT(LOWER(E158),1)="¡",MID(LOWER(E158),2,300),LOWER(E158)),LEN({"actualizaci","el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Sí</v>
      </c>
      <c r="AI158" s="102" t="str">
        <f>IF(OR(SUMPRODUCT(--ISNUMBER(SEARCH({"descuento","oferta","ahorr","precio"," sale ","flash","deals"},AF158)))&gt;0,SUMPRODUCT(--ISNUMBER(SEARCH({"descuento","oferta","ahorr","precio"," sale ","flash","deals"},AG158)))&gt;0),"Sí","No")</f>
        <v>Sí</v>
      </c>
      <c r="AJ158" s="102" t="str">
        <f>IF(SUMPRODUCT(--ISNUMBER(SEARCH({" hoy ","horas","tiempo limitado","antes de que","se acab","se agot","finalic","última oportunidad","oportunidad única","relámpago","express","no esperes","no volver","no parpadees"},AF158)))&gt;0,"Sí","No")</f>
        <v>No</v>
      </c>
      <c r="AK158" s="102" t="str">
        <f>IF(SUMPRODUCT(--ISNUMBER(SEARCH({" hoy ","horas","tiempo limitado","antes de que","se acab","se agot","finalic","última oportunidad","oportunidad única","relámpago","express","no esperes","no volver","no parpadees"},AG158)))&gt;0,"Sí","No")</f>
        <v>No</v>
      </c>
      <c r="AL158" s="102" t="str">
        <f t="shared" si="67"/>
        <v>Descuento sin tiempo límite</v>
      </c>
      <c r="AM158" s="102" t="str">
        <f>IF(SUMPRODUCT(--ISNUMBER(SEARCH({"0","1","2","3","4","5","6","7","8","9","favorit","maquillaje","piel","cabello","productos","belleza","regalo"},E158)))&gt;0,"Sí","No")</f>
        <v>Sí</v>
      </c>
      <c r="AN158" s="102" t="str">
        <f>IF(SUMPRODUCT(--ISNUMBER(SEARCH({"lo que tenemos","estas ofertas","algo especial","ofertas únicas","que preparamos","no te quedes","echa un vistazo"},F158)))&gt;0,"Sí","No")</f>
        <v>No</v>
      </c>
      <c r="AO158" s="102">
        <f t="shared" si="68"/>
        <v>56</v>
      </c>
      <c r="AP158" s="102">
        <f t="shared" si="69"/>
        <v>8</v>
      </c>
      <c r="AQ158" s="102">
        <f>SUMPRODUCT(LEN(E158)-LEN(SUBSTITUTE(E158,{"!","¡","?","¿",":",",",".","%","·","-",";"},"")))</f>
        <v>3</v>
      </c>
      <c r="AR158" s="102" t="str">
        <f t="shared" si="70"/>
        <v>Sí</v>
      </c>
      <c r="AS158" s="102" t="str">
        <f t="shared" si="71"/>
        <v>No</v>
      </c>
      <c r="AT158" s="102" t="str">
        <f>IF(SUMPRODUCT(--ISNUMBER(FIND({"0","1","2","3","4","5","6","7","8","9"},E158)))&gt;0,"Con cifra concreta",IF(OR(ISNUMBER(FIND("?",E158)),ISNUMBER(FIND("¿",E158))),"Pregunta abierta",IF(SUMPRODUCT(--ISNUMBER(SEARCH({" hoy ","horas","tiempo limitado","antes de que","se acab","se agot","finalic","última oportunidad","oportunidad única","relámpago","express","no esperes","no volver","no parpadees"," ya ","últimas horas","últimas unidades"," ahora "},AF158)))&gt;0,"Solo urgencia, sin cifra",IF(SUMPRODUCT(--ISNUMBER(SEARCH({"recompensa","sorpresa","regalo","lealtad","detalle","gracias","pensamos en ti","para ti"},E158)))&gt;0,"Recompensa o sorpresa","Otro: beneficio o novedad"))))</f>
        <v>Recompensa o sorpresa</v>
      </c>
    </row>
    <row r="159" spans="1:46" x14ac:dyDescent="0.2">
      <c r="A159" s="96" t="s">
        <v>1030</v>
      </c>
      <c r="B159" s="96" t="s">
        <v>276</v>
      </c>
      <c r="C159" s="96" t="s">
        <v>917</v>
      </c>
      <c r="D159" s="96" t="s">
        <v>774</v>
      </c>
      <c r="E159" s="96" t="s">
        <v>483</v>
      </c>
      <c r="F159" s="96" t="s">
        <v>484</v>
      </c>
      <c r="G159" s="97">
        <v>240807</v>
      </c>
      <c r="H159" s="97">
        <v>59042</v>
      </c>
      <c r="I159" s="97">
        <v>42859</v>
      </c>
      <c r="J159" s="98">
        <v>5.5</v>
      </c>
      <c r="K159" s="98">
        <v>3.01</v>
      </c>
      <c r="L159" s="99">
        <v>15130.32</v>
      </c>
      <c r="M159" s="100">
        <f t="shared" si="48"/>
        <v>24.518390246130721</v>
      </c>
      <c r="N159" s="100">
        <f t="shared" si="49"/>
        <v>17.798070654092282</v>
      </c>
      <c r="O159" s="100">
        <f t="shared" si="50"/>
        <v>72.590698147081739</v>
      </c>
      <c r="P159" s="100">
        <f t="shared" si="51"/>
        <v>62.831728313545703</v>
      </c>
      <c r="Q159" s="100">
        <f t="shared" si="52"/>
        <v>17.395911943759799</v>
      </c>
      <c r="R159" s="100">
        <f t="shared" si="53"/>
        <v>29.440902453236173</v>
      </c>
      <c r="S159" s="101">
        <f t="shared" si="54"/>
        <v>45916</v>
      </c>
      <c r="T159" s="102" t="str">
        <f t="shared" si="55"/>
        <v>Septiembre</v>
      </c>
      <c r="U159" s="102" t="str">
        <f t="shared" si="56"/>
        <v>Martes</v>
      </c>
      <c r="V159" s="102">
        <f t="shared" si="57"/>
        <v>11</v>
      </c>
      <c r="W159" s="102" t="str">
        <f t="shared" si="58"/>
        <v>Quincena</v>
      </c>
      <c r="X159" s="102">
        <f t="shared" si="59"/>
        <v>27</v>
      </c>
      <c r="Y159" s="102" t="str">
        <f t="shared" si="60"/>
        <v>Sí</v>
      </c>
      <c r="Z159" s="102" t="str">
        <f>CHOOSE(MATCH(B159,{"Customer Appreciation","Exclusive Offers","Flash Sale","Holiday Discounts","New Product Launch","Newsletter"},0),"Fidelizar","Vender","Vender","Vender","Lanzar","Educar")</f>
        <v>Vender</v>
      </c>
      <c r="AA159" s="102" t="str">
        <f t="shared" si="61"/>
        <v>200 a 300 mil</v>
      </c>
      <c r="AB159" s="102">
        <f>COUNTIFS($E$5:$E$493,E159,$S$5:$S$493,"&lt;"&amp;S159)+COUNTIFS($E$5:E159,E159,$S$5:S159,S159)</f>
        <v>6</v>
      </c>
      <c r="AC159" s="102">
        <f t="shared" si="62"/>
        <v>9</v>
      </c>
      <c r="AD159" s="102" t="str">
        <f t="shared" si="63"/>
        <v>Medio</v>
      </c>
      <c r="AE159" s="103">
        <f t="shared" si="64"/>
        <v>7.1224783023709222</v>
      </c>
      <c r="AF159" s="102" t="str">
        <f t="shared" si="65"/>
        <v xml:space="preserve">  gran oferta  por tiempo limitado  no te lo pierdas </v>
      </c>
      <c r="AG159" s="102" t="str">
        <f t="shared" si="66"/>
        <v xml:space="preserve"> aprovecha los descuentos en tus productos esenciales   compra ahora  </v>
      </c>
      <c r="AH159" s="102" t="str">
        <f>IF(SUMPRODUCT(--(LEFT(IF(LEFT(LOWER(E159),1)="¡",MID(LOWER(E159),2,300),LOWER(E159)),LEN({"actualizaci","el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Sí</v>
      </c>
      <c r="AI159" s="102" t="str">
        <f>IF(OR(SUMPRODUCT(--ISNUMBER(SEARCH({"descuento","oferta","ahorr","precio"," sale ","flash","deals"},AF159)))&gt;0,SUMPRODUCT(--ISNUMBER(SEARCH({"descuento","oferta","ahorr","precio"," sale ","flash","deals"},AG159)))&gt;0),"Sí","No")</f>
        <v>Sí</v>
      </c>
      <c r="AJ159" s="102" t="str">
        <f>IF(SUMPRODUCT(--ISNUMBER(SEARCH({" hoy ","horas","tiempo limitado","antes de que","se acab","se agot","finalic","última oportunidad","oportunidad única","relámpago","express","no esperes","no volver","no parpadees"},AF159)))&gt;0,"Sí","No")</f>
        <v>Sí</v>
      </c>
      <c r="AK159" s="102" t="str">
        <f>IF(SUMPRODUCT(--ISNUMBER(SEARCH({" hoy ","horas","tiempo limitado","antes de que","se acab","se agot","finalic","última oportunidad","oportunidad única","relámpago","express","no esperes","no volver","no parpadees"},AG159)))&gt;0,"Sí","No")</f>
        <v>No</v>
      </c>
      <c r="AL159" s="102" t="str">
        <f t="shared" si="67"/>
        <v>Descuento con tiempo límite en el asunto</v>
      </c>
      <c r="AM159" s="102" t="str">
        <f>IF(SUMPRODUCT(--ISNUMBER(SEARCH({"0","1","2","3","4","5","6","7","8","9","favorit","maquillaje","piel","cabello","productos","belleza","regalo"},E159)))&gt;0,"Sí","No")</f>
        <v>No</v>
      </c>
      <c r="AN159" s="102" t="str">
        <f>IF(SUMPRODUCT(--ISNUMBER(SEARCH({"lo que tenemos","estas ofertas","algo especial","ofertas únicas","que preparamos","no te quedes","echa un vistazo"},F159)))&gt;0,"Sí","No")</f>
        <v>No</v>
      </c>
      <c r="AO159" s="102">
        <f t="shared" si="68"/>
        <v>51</v>
      </c>
      <c r="AP159" s="102">
        <f t="shared" si="69"/>
        <v>9</v>
      </c>
      <c r="AQ159" s="102">
        <f>SUMPRODUCT(LEN(E159)-LEN(SUBSTITUTE(E159,{"!","¡","?","¿",":",",",".","%","·","-",";"},"")))</f>
        <v>3</v>
      </c>
      <c r="AR159" s="102" t="str">
        <f t="shared" si="70"/>
        <v>Sí</v>
      </c>
      <c r="AS159" s="102" t="str">
        <f t="shared" si="71"/>
        <v>No</v>
      </c>
      <c r="AT159" s="102" t="str">
        <f>IF(SUMPRODUCT(--ISNUMBER(FIND({"0","1","2","3","4","5","6","7","8","9"},E159)))&gt;0,"Con cifra concreta",IF(OR(ISNUMBER(FIND("?",E159)),ISNUMBER(FIND("¿",E159))),"Pregunta abierta",IF(SUMPRODUCT(--ISNUMBER(SEARCH({" hoy ","horas","tiempo limitado","antes de que","se acab","se agot","finalic","última oportunidad","oportunidad única","relámpago","express","no esperes","no volver","no parpadees"," ya ","últimas horas","últimas unidades"," ahora "},AF159)))&gt;0,"Solo urgencia, sin cifra",IF(SUMPRODUCT(--ISNUMBER(SEARCH({"recompensa","sorpresa","regalo","lealtad","detalle","gracias","pensamos en ti","para ti"},E159)))&gt;0,"Recompensa o sorpresa","Otro: beneficio o novedad"))))</f>
        <v>Solo urgencia, sin cifra</v>
      </c>
    </row>
    <row r="160" spans="1:46" x14ac:dyDescent="0.2">
      <c r="A160" s="104" t="s">
        <v>1031</v>
      </c>
      <c r="B160" s="104" t="s">
        <v>279</v>
      </c>
      <c r="C160" s="104" t="s">
        <v>923</v>
      </c>
      <c r="D160" s="104" t="s">
        <v>729</v>
      </c>
      <c r="E160" s="104" t="s">
        <v>463</v>
      </c>
      <c r="F160" s="104" t="s">
        <v>464</v>
      </c>
      <c r="G160" s="105">
        <v>363478</v>
      </c>
      <c r="H160" s="105">
        <v>100806</v>
      </c>
      <c r="I160" s="105">
        <v>57467</v>
      </c>
      <c r="J160" s="106">
        <v>4.6500000000000004</v>
      </c>
      <c r="K160" s="106">
        <v>4.24</v>
      </c>
      <c r="L160" s="107">
        <v>2721.69</v>
      </c>
      <c r="M160" s="108">
        <f t="shared" si="48"/>
        <v>27.733728038560795</v>
      </c>
      <c r="N160" s="108">
        <f t="shared" si="49"/>
        <v>15.810310390174919</v>
      </c>
      <c r="O160" s="108">
        <f t="shared" si="50"/>
        <v>57.007519393686877</v>
      </c>
      <c r="P160" s="108">
        <f t="shared" si="51"/>
        <v>7.4879084841448451</v>
      </c>
      <c r="Q160" s="108">
        <f t="shared" si="52"/>
        <v>33.412775116147934</v>
      </c>
      <c r="R160" s="108">
        <f t="shared" si="53"/>
        <v>27.75136451093497</v>
      </c>
      <c r="S160" s="101">
        <f t="shared" si="54"/>
        <v>45873</v>
      </c>
      <c r="T160" s="102" t="str">
        <f t="shared" si="55"/>
        <v>Agosto</v>
      </c>
      <c r="U160" s="102" t="str">
        <f t="shared" si="56"/>
        <v>Lunes</v>
      </c>
      <c r="V160" s="102">
        <f t="shared" si="57"/>
        <v>10</v>
      </c>
      <c r="W160" s="102" t="str">
        <f t="shared" si="58"/>
        <v>Días después del pago</v>
      </c>
      <c r="X160" s="102">
        <f t="shared" si="59"/>
        <v>24</v>
      </c>
      <c r="Y160" s="102" t="str">
        <f t="shared" si="60"/>
        <v>Sí</v>
      </c>
      <c r="Z160" s="102" t="str">
        <f>CHOOSE(MATCH(B160,{"Customer Appreciation","Exclusive Offers","Flash Sale","Holiday Discounts","New Product Launch","Newsletter"},0),"Fidelizar","Vender","Vender","Vender","Lanzar","Educar")</f>
        <v>Educar</v>
      </c>
      <c r="AA160" s="102" t="str">
        <f t="shared" si="61"/>
        <v>300 a 400 mil</v>
      </c>
      <c r="AB160" s="102">
        <f>COUNTIFS($E$5:$E$493,E160,$S$5:$S$493,"&lt;"&amp;S160)+COUNTIFS($E$5:E160,E160,$S$5:S160,S160)</f>
        <v>2</v>
      </c>
      <c r="AC160" s="102">
        <f t="shared" si="62"/>
        <v>25</v>
      </c>
      <c r="AD160" s="102" t="str">
        <f t="shared" si="63"/>
        <v>Primer tercio</v>
      </c>
      <c r="AE160" s="103">
        <f t="shared" si="64"/>
        <v>-5.6790470775871391</v>
      </c>
      <c r="AF160" s="102" t="str">
        <f t="shared" si="65"/>
        <v xml:space="preserve"> tu dosis de belleza   no te lo pierdas  tips y trucos </v>
      </c>
      <c r="AG160" s="102" t="str">
        <f t="shared" si="66"/>
        <v xml:space="preserve"> consejos expertos  tendencias y más en tu bandeja de entrada   descúbrelo  </v>
      </c>
      <c r="AH160" s="102" t="str">
        <f>IF(SUMPRODUCT(--(LEFT(IF(LEFT(LOWER(E160),1)="¡",MID(LOWER(E160),2,300),LOWER(E160)),LEN({"actualizaci","el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160" s="102" t="str">
        <f>IF(OR(SUMPRODUCT(--ISNUMBER(SEARCH({"descuento","oferta","ahorr","precio"," sale ","flash","deals"},AF160)))&gt;0,SUMPRODUCT(--ISNUMBER(SEARCH({"descuento","oferta","ahorr","precio"," sale ","flash","deals"},AG160)))&gt;0),"Sí","No")</f>
        <v>No</v>
      </c>
      <c r="AJ160" s="102" t="str">
        <f>IF(SUMPRODUCT(--ISNUMBER(SEARCH({" hoy ","horas","tiempo limitado","antes de que","se acab","se agot","finalic","última oportunidad","oportunidad única","relámpago","express","no esperes","no volver","no parpadees"},AF160)))&gt;0,"Sí","No")</f>
        <v>No</v>
      </c>
      <c r="AK160" s="102" t="str">
        <f>IF(SUMPRODUCT(--ISNUMBER(SEARCH({" hoy ","horas","tiempo limitado","antes de que","se acab","se agot","finalic","última oportunidad","oportunidad única","relámpago","express","no esperes","no volver","no parpadees"},AG160)))&gt;0,"Sí","No")</f>
        <v>No</v>
      </c>
      <c r="AL160" s="102" t="str">
        <f t="shared" si="67"/>
        <v>Sin descuento</v>
      </c>
      <c r="AM160" s="102" t="str">
        <f>IF(SUMPRODUCT(--ISNUMBER(SEARCH({"0","1","2","3","4","5","6","7","8","9","favorit","maquillaje","piel","cabello","productos","belleza","regalo"},E160)))&gt;0,"Sí","No")</f>
        <v>Sí</v>
      </c>
      <c r="AN160" s="102" t="str">
        <f>IF(SUMPRODUCT(--ISNUMBER(SEARCH({"lo que tenemos","estas ofertas","algo especial","ofertas únicas","que preparamos","no te quedes","echa un vistazo"},F160)))&gt;0,"Sí","No")</f>
        <v>No</v>
      </c>
      <c r="AO160" s="102">
        <f t="shared" si="68"/>
        <v>53</v>
      </c>
      <c r="AP160" s="102">
        <f t="shared" si="69"/>
        <v>11</v>
      </c>
      <c r="AQ160" s="102">
        <f>SUMPRODUCT(LEN(E160)-LEN(SUBSTITUTE(E160,{"!","¡","?","¿",":",",",".","%","·","-",";"},"")))</f>
        <v>3</v>
      </c>
      <c r="AR160" s="102" t="str">
        <f t="shared" si="70"/>
        <v>No</v>
      </c>
      <c r="AS160" s="102" t="str">
        <f t="shared" si="71"/>
        <v>No</v>
      </c>
      <c r="AT160" s="102" t="str">
        <f>IF(SUMPRODUCT(--ISNUMBER(FIND({"0","1","2","3","4","5","6","7","8","9"},E160)))&gt;0,"Con cifra concreta",IF(OR(ISNUMBER(FIND("?",E160)),ISNUMBER(FIND("¿",E160))),"Pregunta abierta",IF(SUMPRODUCT(--ISNUMBER(SEARCH({" hoy ","horas","tiempo limitado","antes de que","se acab","se agot","finalic","última oportunidad","oportunidad única","relámpago","express","no esperes","no volver","no parpadees"," ya ","últimas horas","últimas unidades"," ahora "},AF160)))&gt;0,"Solo urgencia, sin cifra",IF(SUMPRODUCT(--ISNUMBER(SEARCH({"recompensa","sorpresa","regalo","lealtad","detalle","gracias","pensamos en ti","para ti"},E160)))&gt;0,"Recompensa o sorpresa","Otro: beneficio o novedad"))))</f>
        <v>Otro: beneficio o novedad</v>
      </c>
    </row>
    <row r="161" spans="1:46" x14ac:dyDescent="0.2">
      <c r="A161" s="96" t="s">
        <v>1032</v>
      </c>
      <c r="B161" s="96" t="s">
        <v>277</v>
      </c>
      <c r="C161" s="96" t="s">
        <v>793</v>
      </c>
      <c r="D161" s="96" t="s">
        <v>947</v>
      </c>
      <c r="E161" s="96" t="s">
        <v>459</v>
      </c>
      <c r="F161" s="96" t="s">
        <v>460</v>
      </c>
      <c r="G161" s="97">
        <v>114084</v>
      </c>
      <c r="H161" s="97">
        <v>22235</v>
      </c>
      <c r="I161" s="97">
        <v>3194</v>
      </c>
      <c r="J161" s="98">
        <v>4.71</v>
      </c>
      <c r="K161" s="98">
        <v>2.96</v>
      </c>
      <c r="L161" s="99">
        <v>77045.81</v>
      </c>
      <c r="M161" s="100">
        <f t="shared" si="48"/>
        <v>19.4900248939378</v>
      </c>
      <c r="N161" s="100">
        <f t="shared" si="49"/>
        <v>2.7996914554188139</v>
      </c>
      <c r="O161" s="100">
        <f t="shared" si="50"/>
        <v>14.364740274342253</v>
      </c>
      <c r="P161" s="100">
        <f t="shared" si="51"/>
        <v>675.34281757301642</v>
      </c>
      <c r="Q161" s="100">
        <f t="shared" si="52"/>
        <v>35.565837226891659</v>
      </c>
      <c r="R161" s="100">
        <f t="shared" si="53"/>
        <v>30.71114383300629</v>
      </c>
      <c r="S161" s="101">
        <f t="shared" si="54"/>
        <v>45939</v>
      </c>
      <c r="T161" s="102" t="str">
        <f t="shared" si="55"/>
        <v>Octubre</v>
      </c>
      <c r="U161" s="102" t="str">
        <f t="shared" si="56"/>
        <v>Jueves</v>
      </c>
      <c r="V161" s="102">
        <f t="shared" si="57"/>
        <v>9</v>
      </c>
      <c r="W161" s="102" t="str">
        <f t="shared" si="58"/>
        <v>Resto del mes</v>
      </c>
      <c r="X161" s="102">
        <f t="shared" si="59"/>
        <v>27</v>
      </c>
      <c r="Y161" s="102" t="str">
        <f t="shared" si="60"/>
        <v>Sí</v>
      </c>
      <c r="Z161" s="102" t="str">
        <f>CHOOSE(MATCH(B161,{"Customer Appreciation","Exclusive Offers","Flash Sale","Holiday Discounts","New Product Launch","Newsletter"},0),"Fidelizar","Vender","Vender","Vender","Lanzar","Educar")</f>
        <v>Vender</v>
      </c>
      <c r="AA161" s="102" t="str">
        <f t="shared" si="61"/>
        <v>100 a 200 mil</v>
      </c>
      <c r="AB161" s="102">
        <f>COUNTIFS($E$5:$E$493,E161,$S$5:$S$493,"&lt;"&amp;S161)+COUNTIFS($E$5:E161,E161,$S$5:S161,S161)</f>
        <v>6</v>
      </c>
      <c r="AC161" s="102">
        <f t="shared" si="62"/>
        <v>9</v>
      </c>
      <c r="AD161" s="102" t="str">
        <f t="shared" si="63"/>
        <v>Medio</v>
      </c>
      <c r="AE161" s="103">
        <f t="shared" si="64"/>
        <v>-16.075812332953859</v>
      </c>
      <c r="AF161" s="102" t="str">
        <f t="shared" si="65"/>
        <v xml:space="preserve">  aprovecha los descuentos  temporada de fiestas  beauty deals </v>
      </c>
      <c r="AG161" s="102" t="str">
        <f t="shared" si="66"/>
        <v xml:space="preserve"> tus productos favoritos con precios festivos   no te los pierdas  </v>
      </c>
      <c r="AH161" s="102" t="str">
        <f>IF(SUMPRODUCT(--(LEFT(IF(LEFT(LOWER(E161),1)="¡",MID(LOWER(E161),2,300),LOWER(E161)),LEN({"actualizaci","el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161" s="102" t="str">
        <f>IF(OR(SUMPRODUCT(--ISNUMBER(SEARCH({"descuento","oferta","ahorr","precio"," sale ","flash","deals"},AF161)))&gt;0,SUMPRODUCT(--ISNUMBER(SEARCH({"descuento","oferta","ahorr","precio"," sale ","flash","deals"},AG161)))&gt;0),"Sí","No")</f>
        <v>Sí</v>
      </c>
      <c r="AJ161" s="102" t="str">
        <f>IF(SUMPRODUCT(--ISNUMBER(SEARCH({" hoy ","horas","tiempo limitado","antes de que","se acab","se agot","finalic","última oportunidad","oportunidad única","relámpago","express","no esperes","no volver","no parpadees"},AF161)))&gt;0,"Sí","No")</f>
        <v>No</v>
      </c>
      <c r="AK161" s="102" t="str">
        <f>IF(SUMPRODUCT(--ISNUMBER(SEARCH({" hoy ","horas","tiempo limitado","antes de que","se acab","se agot","finalic","última oportunidad","oportunidad única","relámpago","express","no esperes","no volver","no parpadees"},AG161)))&gt;0,"Sí","No")</f>
        <v>No</v>
      </c>
      <c r="AL161" s="102" t="str">
        <f t="shared" si="67"/>
        <v>Descuento sin tiempo límite</v>
      </c>
      <c r="AM161" s="102" t="str">
        <f>IF(SUMPRODUCT(--ISNUMBER(SEARCH({"0","1","2","3","4","5","6","7","8","9","favorit","maquillaje","piel","cabello","productos","belleza","regalo"},E161)))&gt;0,"Sí","No")</f>
        <v>No</v>
      </c>
      <c r="AN161" s="102" t="str">
        <f>IF(SUMPRODUCT(--ISNUMBER(SEARCH({"lo que tenemos","estas ofertas","algo especial","ofertas únicas","que preparamos","no te quedes","echa un vistazo"},F161)))&gt;0,"Sí","No")</f>
        <v>No</v>
      </c>
      <c r="AO161" s="102">
        <f t="shared" si="68"/>
        <v>61</v>
      </c>
      <c r="AP161" s="102">
        <f t="shared" si="69"/>
        <v>8</v>
      </c>
      <c r="AQ161" s="102">
        <f>SUMPRODUCT(LEN(E161)-LEN(SUBSTITUTE(E161,{"!","¡","?","¿",":",",",".","%","·","-",";"},"")))</f>
        <v>3</v>
      </c>
      <c r="AR161" s="102" t="str">
        <f t="shared" si="70"/>
        <v>No</v>
      </c>
      <c r="AS161" s="102" t="str">
        <f t="shared" si="71"/>
        <v>No</v>
      </c>
      <c r="AT161" s="102" t="str">
        <f>IF(SUMPRODUCT(--ISNUMBER(FIND({"0","1","2","3","4","5","6","7","8","9"},E161)))&gt;0,"Con cifra concreta",IF(OR(ISNUMBER(FIND("?",E161)),ISNUMBER(FIND("¿",E161))),"Pregunta abierta",IF(SUMPRODUCT(--ISNUMBER(SEARCH({" hoy ","horas","tiempo limitado","antes de que","se acab","se agot","finalic","última oportunidad","oportunidad única","relámpago","express","no esperes","no volver","no parpadees"," ya ","últimas horas","últimas unidades"," ahora "},AF161)))&gt;0,"Solo urgencia, sin cifra",IF(SUMPRODUCT(--ISNUMBER(SEARCH({"recompensa","sorpresa","regalo","lealtad","detalle","gracias","pensamos en ti","para ti"},E161)))&gt;0,"Recompensa o sorpresa","Otro: beneficio o novedad"))))</f>
        <v>Otro: beneficio o novedad</v>
      </c>
    </row>
    <row r="162" spans="1:46" x14ac:dyDescent="0.2">
      <c r="A162" s="104" t="s">
        <v>1033</v>
      </c>
      <c r="B162" s="104" t="s">
        <v>274</v>
      </c>
      <c r="C162" s="104" t="s">
        <v>830</v>
      </c>
      <c r="D162" s="104" t="s">
        <v>950</v>
      </c>
      <c r="E162" s="104" t="s">
        <v>372</v>
      </c>
      <c r="F162" s="104" t="s">
        <v>480</v>
      </c>
      <c r="G162" s="105">
        <v>374109</v>
      </c>
      <c r="H162" s="105">
        <v>98007</v>
      </c>
      <c r="I162" s="105">
        <v>4714</v>
      </c>
      <c r="J162" s="106">
        <v>9.5500000000000007</v>
      </c>
      <c r="K162" s="106">
        <v>3.88</v>
      </c>
      <c r="L162" s="107">
        <v>98477.29</v>
      </c>
      <c r="M162" s="108">
        <f t="shared" si="48"/>
        <v>26.197445129627994</v>
      </c>
      <c r="N162" s="108">
        <f t="shared" si="49"/>
        <v>1.2600605705823704</v>
      </c>
      <c r="O162" s="108">
        <f t="shared" si="50"/>
        <v>4.8098605201669269</v>
      </c>
      <c r="P162" s="108">
        <f t="shared" si="51"/>
        <v>263.23154481715221</v>
      </c>
      <c r="Q162" s="108">
        <f t="shared" si="52"/>
        <v>20.724631699294946</v>
      </c>
      <c r="R162" s="108">
        <f t="shared" si="53"/>
        <v>31.113650744455075</v>
      </c>
      <c r="S162" s="101">
        <f t="shared" si="54"/>
        <v>45901</v>
      </c>
      <c r="T162" s="102" t="str">
        <f t="shared" si="55"/>
        <v>Septiembre</v>
      </c>
      <c r="U162" s="102" t="str">
        <f t="shared" si="56"/>
        <v>Lunes</v>
      </c>
      <c r="V162" s="102">
        <f t="shared" si="57"/>
        <v>14</v>
      </c>
      <c r="W162" s="102" t="str">
        <f t="shared" si="58"/>
        <v>Quincena</v>
      </c>
      <c r="X162" s="102">
        <f t="shared" si="59"/>
        <v>29</v>
      </c>
      <c r="Y162" s="102" t="str">
        <f t="shared" si="60"/>
        <v>Sí</v>
      </c>
      <c r="Z162" s="102" t="str">
        <f>CHOOSE(MATCH(B162,{"Customer Appreciation","Exclusive Offers","Flash Sale","Holiday Discounts","New Product Launch","Newsletter"},0),"Fidelizar","Vender","Vender","Vender","Lanzar","Educar")</f>
        <v>Fidelizar</v>
      </c>
      <c r="AA162" s="102" t="str">
        <f t="shared" si="61"/>
        <v>300 a 400 mil</v>
      </c>
      <c r="AB162" s="102">
        <f>COUNTIFS($E$5:$E$493,E162,$S$5:$S$493,"&lt;"&amp;S162)+COUNTIFS($E$5:E162,E162,$S$5:S162,S162)</f>
        <v>9</v>
      </c>
      <c r="AC162" s="102">
        <f t="shared" si="62"/>
        <v>14</v>
      </c>
      <c r="AD162" s="102" t="str">
        <f t="shared" si="63"/>
        <v>Medio</v>
      </c>
      <c r="AE162" s="103">
        <f t="shared" si="64"/>
        <v>5.4728134303330478</v>
      </c>
      <c r="AF162" s="102" t="str">
        <f t="shared" si="65"/>
        <v xml:space="preserve">  un pequeño detalle para agradecerte tu lealtad  l'oréal </v>
      </c>
      <c r="AG162" s="102" t="str">
        <f t="shared" si="66"/>
        <v xml:space="preserve"> echa un vistazo a lo que tenemos para ti   te va a encantar  </v>
      </c>
      <c r="AH162" s="102" t="str">
        <f>IF(SUMPRODUCT(--(LEFT(IF(LEFT(LOWER(E162),1)="¡",MID(LOWER(E162),2,300),LOWER(E162)),LEN({"actualizaci","el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Sí</v>
      </c>
      <c r="AI162" s="102" t="str">
        <f>IF(OR(SUMPRODUCT(--ISNUMBER(SEARCH({"descuento","oferta","ahorr","precio"," sale ","flash","deals"},AF162)))&gt;0,SUMPRODUCT(--ISNUMBER(SEARCH({"descuento","oferta","ahorr","precio"," sale ","flash","deals"},AG162)))&gt;0),"Sí","No")</f>
        <v>No</v>
      </c>
      <c r="AJ162" s="102" t="str">
        <f>IF(SUMPRODUCT(--ISNUMBER(SEARCH({" hoy ","horas","tiempo limitado","antes de que","se acab","se agot","finalic","última oportunidad","oportunidad única","relámpago","express","no esperes","no volver","no parpadees"},AF162)))&gt;0,"Sí","No")</f>
        <v>No</v>
      </c>
      <c r="AK162" s="102" t="str">
        <f>IF(SUMPRODUCT(--ISNUMBER(SEARCH({" hoy ","horas","tiempo limitado","antes de que","se acab","se agot","finalic","última oportunidad","oportunidad única","relámpago","express","no esperes","no volver","no parpadees"},AG162)))&gt;0,"Sí","No")</f>
        <v>No</v>
      </c>
      <c r="AL162" s="102" t="str">
        <f t="shared" si="67"/>
        <v>Sin descuento</v>
      </c>
      <c r="AM162" s="102" t="str">
        <f>IF(SUMPRODUCT(--ISNUMBER(SEARCH({"0","1","2","3","4","5","6","7","8","9","favorit","maquillaje","piel","cabello","productos","belleza","regalo"},E162)))&gt;0,"Sí","No")</f>
        <v>No</v>
      </c>
      <c r="AN162" s="102" t="str">
        <f>IF(SUMPRODUCT(--ISNUMBER(SEARCH({"lo que tenemos","estas ofertas","algo especial","ofertas únicas","que preparamos","no te quedes","echa un vistazo"},F162)))&gt;0,"Sí","No")</f>
        <v>Sí</v>
      </c>
      <c r="AO162" s="102">
        <f t="shared" si="68"/>
        <v>56</v>
      </c>
      <c r="AP162" s="102">
        <f t="shared" si="69"/>
        <v>8</v>
      </c>
      <c r="AQ162" s="102">
        <f>SUMPRODUCT(LEN(E162)-LEN(SUBSTITUTE(E162,{"!","¡","?","¿",":",",",".","%","·","-",";"},"")))</f>
        <v>2</v>
      </c>
      <c r="AR162" s="102" t="str">
        <f t="shared" si="70"/>
        <v>Sí</v>
      </c>
      <c r="AS162" s="102" t="str">
        <f t="shared" si="71"/>
        <v>No</v>
      </c>
      <c r="AT162" s="102" t="str">
        <f>IF(SUMPRODUCT(--ISNUMBER(FIND({"0","1","2","3","4","5","6","7","8","9"},E162)))&gt;0,"Con cifra concreta",IF(OR(ISNUMBER(FIND("?",E162)),ISNUMBER(FIND("¿",E162))),"Pregunta abierta",IF(SUMPRODUCT(--ISNUMBER(SEARCH({" hoy ","horas","tiempo limitado","antes de que","se acab","se agot","finalic","última oportunidad","oportunidad única","relámpago","express","no esperes","no volver","no parpadees"," ya ","últimas horas","últimas unidades"," ahora "},AF162)))&gt;0,"Solo urgencia, sin cifra",IF(SUMPRODUCT(--ISNUMBER(SEARCH({"recompensa","sorpresa","regalo","lealtad","detalle","gracias","pensamos en ti","para ti"},E162)))&gt;0,"Recompensa o sorpresa","Otro: beneficio o novedad"))))</f>
        <v>Recompensa o sorpresa</v>
      </c>
    </row>
    <row r="163" spans="1:46" x14ac:dyDescent="0.2">
      <c r="A163" s="96" t="s">
        <v>1034</v>
      </c>
      <c r="B163" s="96" t="s">
        <v>277</v>
      </c>
      <c r="C163" s="96" t="s">
        <v>976</v>
      </c>
      <c r="D163" s="96" t="s">
        <v>751</v>
      </c>
      <c r="E163" s="96" t="s">
        <v>461</v>
      </c>
      <c r="F163" s="96" t="s">
        <v>462</v>
      </c>
      <c r="G163" s="97">
        <v>110343</v>
      </c>
      <c r="H163" s="97">
        <v>38071</v>
      </c>
      <c r="I163" s="97">
        <v>2538</v>
      </c>
      <c r="J163" s="98">
        <v>9.26</v>
      </c>
      <c r="K163" s="98">
        <v>3.08</v>
      </c>
      <c r="L163" s="99">
        <v>57913.49</v>
      </c>
      <c r="M163" s="100">
        <f t="shared" si="48"/>
        <v>34.50241519625169</v>
      </c>
      <c r="N163" s="100">
        <f t="shared" si="49"/>
        <v>2.3001005954161116</v>
      </c>
      <c r="O163" s="100">
        <f t="shared" si="50"/>
        <v>6.6664915552520281</v>
      </c>
      <c r="P163" s="100">
        <f t="shared" si="51"/>
        <v>524.84969594808922</v>
      </c>
      <c r="Q163" s="100">
        <f t="shared" si="52"/>
        <v>35.409886702202286</v>
      </c>
      <c r="R163" s="100">
        <f t="shared" si="53"/>
        <v>30.71114383300629</v>
      </c>
      <c r="S163" s="101">
        <f t="shared" si="54"/>
        <v>45892</v>
      </c>
      <c r="T163" s="102" t="str">
        <f t="shared" si="55"/>
        <v>Agosto</v>
      </c>
      <c r="U163" s="102" t="str">
        <f t="shared" si="56"/>
        <v>Sábado</v>
      </c>
      <c r="V163" s="102">
        <f t="shared" si="57"/>
        <v>11</v>
      </c>
      <c r="W163" s="102" t="str">
        <f t="shared" si="58"/>
        <v>Resto del mes</v>
      </c>
      <c r="X163" s="102">
        <f t="shared" si="59"/>
        <v>25</v>
      </c>
      <c r="Y163" s="102" t="str">
        <f t="shared" si="60"/>
        <v>Sí</v>
      </c>
      <c r="Z163" s="102" t="str">
        <f>CHOOSE(MATCH(B163,{"Customer Appreciation","Exclusive Offers","Flash Sale","Holiday Discounts","New Product Launch","Newsletter"},0),"Fidelizar","Vender","Vender","Vender","Lanzar","Educar")</f>
        <v>Vender</v>
      </c>
      <c r="AA163" s="102" t="str">
        <f t="shared" si="61"/>
        <v>100 a 200 mil</v>
      </c>
      <c r="AB163" s="102">
        <f>COUNTIFS($E$5:$E$493,E163,$S$5:$S$493,"&lt;"&amp;S163)+COUNTIFS($E$5:E163,E163,$S$5:S163,S163)</f>
        <v>10</v>
      </c>
      <c r="AC163" s="102">
        <f t="shared" si="62"/>
        <v>30</v>
      </c>
      <c r="AD163" s="102" t="str">
        <f t="shared" si="63"/>
        <v>Primer tercio</v>
      </c>
      <c r="AE163" s="103">
        <f t="shared" si="64"/>
        <v>-0.90747150595059622</v>
      </c>
      <c r="AF163" s="102" t="str">
        <f t="shared" si="65"/>
        <v xml:space="preserve">  regalos perfectos te esperan  descuentos de lujo  l'oréal </v>
      </c>
      <c r="AG163" s="102" t="str">
        <f t="shared" si="66"/>
        <v xml:space="preserve"> encuentra ese detalle especial para ti o tus seres queridos   descubre  </v>
      </c>
      <c r="AH163" s="102" t="str">
        <f>IF(SUMPRODUCT(--(LEFT(IF(LEFT(LOWER(E163),1)="¡",MID(LOWER(E163),2,300),LOWER(E163)),LEN({"actualizaci","el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163" s="102" t="str">
        <f>IF(OR(SUMPRODUCT(--ISNUMBER(SEARCH({"descuento","oferta","ahorr","precio"," sale ","flash","deals"},AF163)))&gt;0,SUMPRODUCT(--ISNUMBER(SEARCH({"descuento","oferta","ahorr","precio"," sale ","flash","deals"},AG163)))&gt;0),"Sí","No")</f>
        <v>Sí</v>
      </c>
      <c r="AJ163" s="102" t="str">
        <f>IF(SUMPRODUCT(--ISNUMBER(SEARCH({" hoy ","horas","tiempo limitado","antes de que","se acab","se agot","finalic","última oportunidad","oportunidad única","relámpago","express","no esperes","no volver","no parpadees"},AF163)))&gt;0,"Sí","No")</f>
        <v>No</v>
      </c>
      <c r="AK163" s="102" t="str">
        <f>IF(SUMPRODUCT(--ISNUMBER(SEARCH({" hoy ","horas","tiempo limitado","antes de que","se acab","se agot","finalic","última oportunidad","oportunidad única","relámpago","express","no esperes","no volver","no parpadees"},AG163)))&gt;0,"Sí","No")</f>
        <v>No</v>
      </c>
      <c r="AL163" s="102" t="str">
        <f t="shared" si="67"/>
        <v>Descuento sin tiempo límite</v>
      </c>
      <c r="AM163" s="102" t="str">
        <f>IF(SUMPRODUCT(--ISNUMBER(SEARCH({"0","1","2","3","4","5","6","7","8","9","favorit","maquillaje","piel","cabello","productos","belleza","regalo"},E163)))&gt;0,"Sí","No")</f>
        <v>Sí</v>
      </c>
      <c r="AN163" s="102" t="str">
        <f>IF(SUMPRODUCT(--ISNUMBER(SEARCH({"lo que tenemos","estas ofertas","algo especial","ofertas únicas","que preparamos","no te quedes","echa un vistazo"},F163)))&gt;0,"Sí","No")</f>
        <v>No</v>
      </c>
      <c r="AO163" s="102">
        <f t="shared" si="68"/>
        <v>58</v>
      </c>
      <c r="AP163" s="102">
        <f t="shared" si="69"/>
        <v>8</v>
      </c>
      <c r="AQ163" s="102">
        <f>SUMPRODUCT(LEN(E163)-LEN(SUBSTITUTE(E163,{"!","¡","?","¿",":",",",".","%","·","-",";"},"")))</f>
        <v>3</v>
      </c>
      <c r="AR163" s="102" t="str">
        <f t="shared" si="70"/>
        <v>Sí</v>
      </c>
      <c r="AS163" s="102" t="str">
        <f t="shared" si="71"/>
        <v>No</v>
      </c>
      <c r="AT163" s="102" t="str">
        <f>IF(SUMPRODUCT(--ISNUMBER(FIND({"0","1","2","3","4","5","6","7","8","9"},E163)))&gt;0,"Con cifra concreta",IF(OR(ISNUMBER(FIND("?",E163)),ISNUMBER(FIND("¿",E163))),"Pregunta abierta",IF(SUMPRODUCT(--ISNUMBER(SEARCH({" hoy ","horas","tiempo limitado","antes de que","se acab","se agot","finalic","última oportunidad","oportunidad única","relámpago","express","no esperes","no volver","no parpadees"," ya ","últimas horas","últimas unidades"," ahora "},AF163)))&gt;0,"Solo urgencia, sin cifra",IF(SUMPRODUCT(--ISNUMBER(SEARCH({"recompensa","sorpresa","regalo","lealtad","detalle","gracias","pensamos en ti","para ti"},E163)))&gt;0,"Recompensa o sorpresa","Otro: beneficio o novedad"))))</f>
        <v>Recompensa o sorpresa</v>
      </c>
    </row>
    <row r="164" spans="1:46" x14ac:dyDescent="0.2">
      <c r="A164" s="104" t="s">
        <v>1035</v>
      </c>
      <c r="B164" s="104" t="s">
        <v>276</v>
      </c>
      <c r="C164" s="104" t="s">
        <v>742</v>
      </c>
      <c r="D164" s="104" t="s">
        <v>702</v>
      </c>
      <c r="E164" s="104" t="s">
        <v>873</v>
      </c>
      <c r="F164" s="104" t="s">
        <v>874</v>
      </c>
      <c r="G164" s="105">
        <v>58203</v>
      </c>
      <c r="H164" s="105">
        <v>21209</v>
      </c>
      <c r="I164" s="105">
        <v>5401</v>
      </c>
      <c r="J164" s="106">
        <v>1.54</v>
      </c>
      <c r="K164" s="106">
        <v>3.09</v>
      </c>
      <c r="L164" s="107">
        <v>27492.37</v>
      </c>
      <c r="M164" s="108">
        <f t="shared" si="48"/>
        <v>36.439702420837413</v>
      </c>
      <c r="N164" s="108">
        <f t="shared" si="49"/>
        <v>9.2795903991203197</v>
      </c>
      <c r="O164" s="108">
        <f t="shared" si="50"/>
        <v>25.465604224621625</v>
      </c>
      <c r="P164" s="108">
        <f t="shared" si="51"/>
        <v>472.35314330876417</v>
      </c>
      <c r="Q164" s="108">
        <f t="shared" si="52"/>
        <v>39.278310607790992</v>
      </c>
      <c r="R164" s="108">
        <f t="shared" si="53"/>
        <v>29.440902453236173</v>
      </c>
      <c r="S164" s="101">
        <f t="shared" si="54"/>
        <v>45948</v>
      </c>
      <c r="T164" s="102" t="str">
        <f t="shared" si="55"/>
        <v>Octubre</v>
      </c>
      <c r="U164" s="102" t="str">
        <f t="shared" si="56"/>
        <v>Sábado</v>
      </c>
      <c r="V164" s="102">
        <f t="shared" si="57"/>
        <v>16</v>
      </c>
      <c r="W164" s="102" t="str">
        <f t="shared" si="58"/>
        <v>Días después del pago</v>
      </c>
      <c r="X164" s="102">
        <f t="shared" si="59"/>
        <v>27</v>
      </c>
      <c r="Y164" s="102" t="str">
        <f t="shared" si="60"/>
        <v>Sí</v>
      </c>
      <c r="Z164" s="102" t="str">
        <f>CHOOSE(MATCH(B164,{"Customer Appreciation","Exclusive Offers","Flash Sale","Holiday Discounts","New Product Launch","Newsletter"},0),"Fidelizar","Vender","Vender","Vender","Lanzar","Educar")</f>
        <v>Vender</v>
      </c>
      <c r="AA164" s="102" t="str">
        <f t="shared" si="61"/>
        <v>Menos de 100 mil</v>
      </c>
      <c r="AB164" s="102">
        <f>COUNTIFS($E$5:$E$493,E164,$S$5:$S$493,"&lt;"&amp;S164)+COUNTIFS($E$5:E164,E164,$S$5:S164,S164)</f>
        <v>3</v>
      </c>
      <c r="AC164" s="102">
        <f t="shared" si="62"/>
        <v>3</v>
      </c>
      <c r="AD164" s="102" t="str">
        <f t="shared" si="63"/>
        <v/>
      </c>
      <c r="AE164" s="103">
        <f t="shared" si="64"/>
        <v>-2.8386081869535786</v>
      </c>
      <c r="AF164" s="102" t="str">
        <f t="shared" si="65"/>
        <v xml:space="preserve"> 🔥 hot sale anticipado   precios increíbles en belleza  </v>
      </c>
      <c r="AG164" s="102" t="str">
        <f t="shared" si="66"/>
        <v xml:space="preserve"> consigue tus productos soñados con descuentos exclusivos   no te lo pierdas  </v>
      </c>
      <c r="AH164" s="102" t="str">
        <f>IF(SUMPRODUCT(--(LEFT(IF(LEFT(LOWER(E164),1)="¡",MID(LOWER(E164),2,300),LOWER(E164)),LEN({"actualizaci","el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164" s="102" t="str">
        <f>IF(OR(SUMPRODUCT(--ISNUMBER(SEARCH({"descuento","oferta","ahorr","precio"," sale ","flash","deals"},AF164)))&gt;0,SUMPRODUCT(--ISNUMBER(SEARCH({"descuento","oferta","ahorr","precio"," sale ","flash","deals"},AG164)))&gt;0),"Sí","No")</f>
        <v>Sí</v>
      </c>
      <c r="AJ164" s="102" t="str">
        <f>IF(SUMPRODUCT(--ISNUMBER(SEARCH({" hoy ","horas","tiempo limitado","antes de que","se acab","se agot","finalic","última oportunidad","oportunidad única","relámpago","express","no esperes","no volver","no parpadees"},AF164)))&gt;0,"Sí","No")</f>
        <v>No</v>
      </c>
      <c r="AK164" s="102" t="str">
        <f>IF(SUMPRODUCT(--ISNUMBER(SEARCH({" hoy ","horas","tiempo limitado","antes de que","se acab","se agot","finalic","última oportunidad","oportunidad única","relámpago","express","no esperes","no volver","no parpadees"},AG164)))&gt;0,"Sí","No")</f>
        <v>No</v>
      </c>
      <c r="AL164" s="102" t="str">
        <f t="shared" si="67"/>
        <v>Descuento sin tiempo límite</v>
      </c>
      <c r="AM164" s="102" t="str">
        <f>IF(SUMPRODUCT(--ISNUMBER(SEARCH({"0","1","2","3","4","5","6","7","8","9","favorit","maquillaje","piel","cabello","productos","belleza","regalo"},E164)))&gt;0,"Sí","No")</f>
        <v>Sí</v>
      </c>
      <c r="AN164" s="102" t="str">
        <f>IF(SUMPRODUCT(--ISNUMBER(SEARCH({"lo que tenemos","estas ofertas","algo especial","ofertas únicas","que preparamos","no te quedes","echa un vistazo"},F164)))&gt;0,"Sí","No")</f>
        <v>No</v>
      </c>
      <c r="AO164" s="102">
        <f t="shared" si="68"/>
        <v>54</v>
      </c>
      <c r="AP164" s="102">
        <f t="shared" si="69"/>
        <v>8</v>
      </c>
      <c r="AQ164" s="102">
        <f>SUMPRODUCT(LEN(E164)-LEN(SUBSTITUTE(E164,{"!","¡","?","¿",":",",",".","%","·","-",";"},"")))</f>
        <v>3</v>
      </c>
      <c r="AR164" s="102" t="str">
        <f t="shared" si="70"/>
        <v>Sí</v>
      </c>
      <c r="AS164" s="102" t="str">
        <f t="shared" si="71"/>
        <v>Sí</v>
      </c>
      <c r="AT164" s="102" t="str">
        <f>IF(SUMPRODUCT(--ISNUMBER(FIND({"0","1","2","3","4","5","6","7","8","9"},E164)))&gt;0,"Con cifra concreta",IF(OR(ISNUMBER(FIND("?",E164)),ISNUMBER(FIND("¿",E164))),"Pregunta abierta",IF(SUMPRODUCT(--ISNUMBER(SEARCH({" hoy ","horas","tiempo limitado","antes de que","se acab","se agot","finalic","última oportunidad","oportunidad única","relámpago","express","no esperes","no volver","no parpadees"," ya ","últimas horas","últimas unidades"," ahora "},AF164)))&gt;0,"Solo urgencia, sin cifra",IF(SUMPRODUCT(--ISNUMBER(SEARCH({"recompensa","sorpresa","regalo","lealtad","detalle","gracias","pensamos en ti","para ti"},E164)))&gt;0,"Recompensa o sorpresa","Otro: beneficio o novedad"))))</f>
        <v>Otro: beneficio o novedad</v>
      </c>
    </row>
    <row r="165" spans="1:46" x14ac:dyDescent="0.2">
      <c r="A165" s="96" t="s">
        <v>1036</v>
      </c>
      <c r="B165" s="96" t="s">
        <v>278</v>
      </c>
      <c r="C165" s="96" t="s">
        <v>773</v>
      </c>
      <c r="D165" s="96" t="s">
        <v>707</v>
      </c>
      <c r="E165" s="96" t="s">
        <v>368</v>
      </c>
      <c r="F165" s="96" t="s">
        <v>471</v>
      </c>
      <c r="G165" s="97">
        <v>146868</v>
      </c>
      <c r="H165" s="97">
        <v>17719</v>
      </c>
      <c r="I165" s="97">
        <v>10562</v>
      </c>
      <c r="J165" s="98">
        <v>9.94</v>
      </c>
      <c r="K165" s="98">
        <v>4.13</v>
      </c>
      <c r="L165" s="99">
        <v>88778.77</v>
      </c>
      <c r="M165" s="100">
        <f t="shared" si="48"/>
        <v>12.064574992510281</v>
      </c>
      <c r="N165" s="100">
        <f t="shared" si="49"/>
        <v>7.1914916796034536</v>
      </c>
      <c r="O165" s="100">
        <f t="shared" si="50"/>
        <v>59.608330041198712</v>
      </c>
      <c r="P165" s="100">
        <f t="shared" si="51"/>
        <v>604.48000926001578</v>
      </c>
      <c r="Q165" s="100">
        <f t="shared" si="52"/>
        <v>23.315840784070005</v>
      </c>
      <c r="R165" s="100">
        <f t="shared" si="53"/>
        <v>29.458247936272421</v>
      </c>
      <c r="S165" s="101">
        <f t="shared" si="54"/>
        <v>45909</v>
      </c>
      <c r="T165" s="102" t="str">
        <f t="shared" si="55"/>
        <v>Septiembre</v>
      </c>
      <c r="U165" s="102" t="str">
        <f t="shared" si="56"/>
        <v>Martes</v>
      </c>
      <c r="V165" s="102">
        <f t="shared" si="57"/>
        <v>13</v>
      </c>
      <c r="W165" s="102" t="str">
        <f t="shared" si="58"/>
        <v>Resto del mes</v>
      </c>
      <c r="X165" s="102">
        <f t="shared" si="59"/>
        <v>28</v>
      </c>
      <c r="Y165" s="102" t="str">
        <f t="shared" si="60"/>
        <v>Sí</v>
      </c>
      <c r="Z165" s="102" t="str">
        <f>CHOOSE(MATCH(B165,{"Customer Appreciation","Exclusive Offers","Flash Sale","Holiday Discounts","New Product Launch","Newsletter"},0),"Fidelizar","Vender","Vender","Vender","Lanzar","Educar")</f>
        <v>Lanzar</v>
      </c>
      <c r="AA165" s="102" t="str">
        <f t="shared" si="61"/>
        <v>100 a 200 mil</v>
      </c>
      <c r="AB165" s="102">
        <f>COUNTIFS($E$5:$E$493,E165,$S$5:$S$493,"&lt;"&amp;S165)+COUNTIFS($E$5:E165,E165,$S$5:S165,S165)</f>
        <v>15</v>
      </c>
      <c r="AC165" s="102">
        <f t="shared" si="62"/>
        <v>33</v>
      </c>
      <c r="AD165" s="102" t="str">
        <f t="shared" si="63"/>
        <v>Medio</v>
      </c>
      <c r="AE165" s="103">
        <f t="shared" si="64"/>
        <v>-11.251265791559725</v>
      </c>
      <c r="AF165" s="102" t="str">
        <f t="shared" si="65"/>
        <v xml:space="preserve"> presentamos  nuestro último lanzamiento de belleza  imperdible  </v>
      </c>
      <c r="AG165" s="102" t="str">
        <f t="shared" si="66"/>
        <v xml:space="preserve"> una innovación que cambiará tu rutina   sé de los primeros  </v>
      </c>
      <c r="AH165" s="102" t="str">
        <f>IF(SUMPRODUCT(--(LEFT(IF(LEFT(LOWER(E165),1)="¡",MID(LOWER(E165),2,300),LOWER(E165)),LEN({"actualizaci","el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Sí</v>
      </c>
      <c r="AI165" s="102" t="str">
        <f>IF(OR(SUMPRODUCT(--ISNUMBER(SEARCH({"descuento","oferta","ahorr","precio"," sale ","flash","deals"},AF165)))&gt;0,SUMPRODUCT(--ISNUMBER(SEARCH({"descuento","oferta","ahorr","precio"," sale ","flash","deals"},AG165)))&gt;0),"Sí","No")</f>
        <v>No</v>
      </c>
      <c r="AJ165" s="102" t="str">
        <f>IF(SUMPRODUCT(--ISNUMBER(SEARCH({" hoy ","horas","tiempo limitado","antes de que","se acab","se agot","finalic","última oportunidad","oportunidad única","relámpago","express","no esperes","no volver","no parpadees"},AF165)))&gt;0,"Sí","No")</f>
        <v>No</v>
      </c>
      <c r="AK165" s="102" t="str">
        <f>IF(SUMPRODUCT(--ISNUMBER(SEARCH({" hoy ","horas","tiempo limitado","antes de que","se acab","se agot","finalic","última oportunidad","oportunidad única","relámpago","express","no esperes","no volver","no parpadees"},AG165)))&gt;0,"Sí","No")</f>
        <v>No</v>
      </c>
      <c r="AL165" s="102" t="str">
        <f t="shared" si="67"/>
        <v>Sin descuento</v>
      </c>
      <c r="AM165" s="102" t="str">
        <f>IF(SUMPRODUCT(--ISNUMBER(SEARCH({"0","1","2","3","4","5","6","7","8","9","favorit","maquillaje","piel","cabello","productos","belleza","regalo"},E165)))&gt;0,"Sí","No")</f>
        <v>Sí</v>
      </c>
      <c r="AN165" s="102" t="str">
        <f>IF(SUMPRODUCT(--ISNUMBER(SEARCH({"lo que tenemos","estas ofertas","algo especial","ofertas únicas","que preparamos","no te quedes","echa un vistazo"},F165)))&gt;0,"Sí","No")</f>
        <v>No</v>
      </c>
      <c r="AO165" s="102">
        <f t="shared" si="68"/>
        <v>63</v>
      </c>
      <c r="AP165" s="102">
        <f t="shared" si="69"/>
        <v>7</v>
      </c>
      <c r="AQ165" s="102">
        <f>SUMPRODUCT(LEN(E165)-LEN(SUBSTITUTE(E165,{"!","¡","?","¿",":",",",".","%","·","-",";"},"")))</f>
        <v>3</v>
      </c>
      <c r="AR165" s="102" t="str">
        <f t="shared" si="70"/>
        <v>No</v>
      </c>
      <c r="AS165" s="102" t="str">
        <f t="shared" si="71"/>
        <v>No</v>
      </c>
      <c r="AT165" s="102" t="str">
        <f>IF(SUMPRODUCT(--ISNUMBER(FIND({"0","1","2","3","4","5","6","7","8","9"},E165)))&gt;0,"Con cifra concreta",IF(OR(ISNUMBER(FIND("?",E165)),ISNUMBER(FIND("¿",E165))),"Pregunta abierta",IF(SUMPRODUCT(--ISNUMBER(SEARCH({" hoy ","horas","tiempo limitado","antes de que","se acab","se agot","finalic","última oportunidad","oportunidad única","relámpago","express","no esperes","no volver","no parpadees"," ya ","últimas horas","últimas unidades"," ahora "},AF165)))&gt;0,"Solo urgencia, sin cifra",IF(SUMPRODUCT(--ISNUMBER(SEARCH({"recompensa","sorpresa","regalo","lealtad","detalle","gracias","pensamos en ti","para ti"},E165)))&gt;0,"Recompensa o sorpresa","Otro: beneficio o novedad"))))</f>
        <v>Otro: beneficio o novedad</v>
      </c>
    </row>
    <row r="166" spans="1:46" x14ac:dyDescent="0.2">
      <c r="A166" s="104" t="s">
        <v>1037</v>
      </c>
      <c r="B166" s="104" t="s">
        <v>279</v>
      </c>
      <c r="C166" s="104" t="s">
        <v>980</v>
      </c>
      <c r="D166" s="104" t="s">
        <v>824</v>
      </c>
      <c r="E166" s="104" t="s">
        <v>472</v>
      </c>
      <c r="F166" s="104" t="s">
        <v>473</v>
      </c>
      <c r="G166" s="105">
        <v>51966</v>
      </c>
      <c r="H166" s="105">
        <v>22591</v>
      </c>
      <c r="I166" s="105">
        <v>9625</v>
      </c>
      <c r="J166" s="106">
        <v>6.22</v>
      </c>
      <c r="K166" s="106">
        <v>2.71</v>
      </c>
      <c r="L166" s="107">
        <v>85936.82</v>
      </c>
      <c r="M166" s="108">
        <f t="shared" si="48"/>
        <v>43.472655197629216</v>
      </c>
      <c r="N166" s="108">
        <f t="shared" si="49"/>
        <v>18.521725743755532</v>
      </c>
      <c r="O166" s="108">
        <f t="shared" si="50"/>
        <v>42.605462352264176</v>
      </c>
      <c r="P166" s="108">
        <f t="shared" si="51"/>
        <v>1653.7124273563486</v>
      </c>
      <c r="Q166" s="108">
        <f t="shared" si="52"/>
        <v>22.891293825435607</v>
      </c>
      <c r="R166" s="108">
        <f t="shared" si="53"/>
        <v>27.75136451093497</v>
      </c>
      <c r="S166" s="101">
        <f t="shared" si="54"/>
        <v>45875</v>
      </c>
      <c r="T166" s="102" t="str">
        <f t="shared" si="55"/>
        <v>Agosto</v>
      </c>
      <c r="U166" s="102" t="str">
        <f t="shared" si="56"/>
        <v>Miércoles</v>
      </c>
      <c r="V166" s="102">
        <f t="shared" si="57"/>
        <v>10</v>
      </c>
      <c r="W166" s="102" t="str">
        <f t="shared" si="58"/>
        <v>Resto del mes</v>
      </c>
      <c r="X166" s="102">
        <f t="shared" si="59"/>
        <v>28</v>
      </c>
      <c r="Y166" s="102" t="str">
        <f t="shared" si="60"/>
        <v>Sí</v>
      </c>
      <c r="Z166" s="102" t="str">
        <f>CHOOSE(MATCH(B166,{"Customer Appreciation","Exclusive Offers","Flash Sale","Holiday Discounts","New Product Launch","Newsletter"},0),"Fidelizar","Vender","Vender","Vender","Lanzar","Educar")</f>
        <v>Educar</v>
      </c>
      <c r="AA166" s="102" t="str">
        <f t="shared" si="61"/>
        <v>Menos de 100 mil</v>
      </c>
      <c r="AB166" s="102">
        <f>COUNTIFS($E$5:$E$493,E166,$S$5:$S$493,"&lt;"&amp;S166)+COUNTIFS($E$5:E166,E166,$S$5:S166,S166)</f>
        <v>1</v>
      </c>
      <c r="AC166" s="102">
        <f t="shared" si="62"/>
        <v>22</v>
      </c>
      <c r="AD166" s="102" t="str">
        <f t="shared" si="63"/>
        <v>Primer tercio</v>
      </c>
      <c r="AE166" s="103">
        <f t="shared" si="64"/>
        <v>20.581361372193609</v>
      </c>
      <c r="AF166" s="102" t="str">
        <f t="shared" si="65"/>
        <v xml:space="preserve"> tu dosis semanal de belleza  novedades y tips </v>
      </c>
      <c r="AG166" s="102" t="str">
        <f t="shared" si="66"/>
        <v xml:space="preserve"> novedades  tips y más para tu rutina diaria   entra ya  </v>
      </c>
      <c r="AH166" s="102" t="str">
        <f>IF(SUMPRODUCT(--(LEFT(IF(LEFT(LOWER(E166),1)="¡",MID(LOWER(E166),2,300),LOWER(E166)),LEN({"actualizaci","el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166" s="102" t="str">
        <f>IF(OR(SUMPRODUCT(--ISNUMBER(SEARCH({"descuento","oferta","ahorr","precio"," sale ","flash","deals"},AF166)))&gt;0,SUMPRODUCT(--ISNUMBER(SEARCH({"descuento","oferta","ahorr","precio"," sale ","flash","deals"},AG166)))&gt;0),"Sí","No")</f>
        <v>No</v>
      </c>
      <c r="AJ166" s="102" t="str">
        <f>IF(SUMPRODUCT(--ISNUMBER(SEARCH({" hoy ","horas","tiempo limitado","antes de que","se acab","se agot","finalic","última oportunidad","oportunidad única","relámpago","express","no esperes","no volver","no parpadees"},AF166)))&gt;0,"Sí","No")</f>
        <v>No</v>
      </c>
      <c r="AK166" s="102" t="str">
        <f>IF(SUMPRODUCT(--ISNUMBER(SEARCH({" hoy ","horas","tiempo limitado","antes de que","se acab","se agot","finalic","última oportunidad","oportunidad única","relámpago","express","no esperes","no volver","no parpadees"},AG166)))&gt;0,"Sí","No")</f>
        <v>No</v>
      </c>
      <c r="AL166" s="102" t="str">
        <f t="shared" si="67"/>
        <v>Sin descuento</v>
      </c>
      <c r="AM166" s="102" t="str">
        <f>IF(SUMPRODUCT(--ISNUMBER(SEARCH({"0","1","2","3","4","5","6","7","8","9","favorit","maquillaje","piel","cabello","productos","belleza","regalo"},E166)))&gt;0,"Sí","No")</f>
        <v>Sí</v>
      </c>
      <c r="AN166" s="102" t="str">
        <f>IF(SUMPRODUCT(--ISNUMBER(SEARCH({"lo que tenemos","estas ofertas","algo especial","ofertas únicas","que preparamos","no te quedes","echa un vistazo"},F166)))&gt;0,"Sí","No")</f>
        <v>No</v>
      </c>
      <c r="AO166" s="102">
        <f t="shared" si="68"/>
        <v>45</v>
      </c>
      <c r="AP166" s="102">
        <f t="shared" si="69"/>
        <v>8</v>
      </c>
      <c r="AQ166" s="102">
        <f>SUMPRODUCT(LEN(E166)-LEN(SUBSTITUTE(E166,{"!","¡","?","¿",":",",",".","%","·","-",";"},"")))</f>
        <v>1</v>
      </c>
      <c r="AR166" s="102" t="str">
        <f t="shared" si="70"/>
        <v>Sí</v>
      </c>
      <c r="AS166" s="102" t="str">
        <f t="shared" si="71"/>
        <v>No</v>
      </c>
      <c r="AT166" s="102" t="str">
        <f>IF(SUMPRODUCT(--ISNUMBER(FIND({"0","1","2","3","4","5","6","7","8","9"},E166)))&gt;0,"Con cifra concreta",IF(OR(ISNUMBER(FIND("?",E166)),ISNUMBER(FIND("¿",E166))),"Pregunta abierta",IF(SUMPRODUCT(--ISNUMBER(SEARCH({" hoy ","horas","tiempo limitado","antes de que","se acab","se agot","finalic","última oportunidad","oportunidad única","relámpago","express","no esperes","no volver","no parpadees"," ya ","últimas horas","últimas unidades"," ahora "},AF166)))&gt;0,"Solo urgencia, sin cifra",IF(SUMPRODUCT(--ISNUMBER(SEARCH({"recompensa","sorpresa","regalo","lealtad","detalle","gracias","pensamos en ti","para ti"},E166)))&gt;0,"Recompensa o sorpresa","Otro: beneficio o novedad"))))</f>
        <v>Otro: beneficio o novedad</v>
      </c>
    </row>
    <row r="167" spans="1:46" x14ac:dyDescent="0.2">
      <c r="A167" s="96" t="s">
        <v>1038</v>
      </c>
      <c r="B167" s="96" t="s">
        <v>274</v>
      </c>
      <c r="C167" s="96" t="s">
        <v>815</v>
      </c>
      <c r="D167" s="96" t="s">
        <v>764</v>
      </c>
      <c r="E167" s="96" t="s">
        <v>999</v>
      </c>
      <c r="F167" s="96" t="s">
        <v>1000</v>
      </c>
      <c r="G167" s="97">
        <v>7584</v>
      </c>
      <c r="H167" s="97">
        <v>1867</v>
      </c>
      <c r="I167" s="97">
        <v>266</v>
      </c>
      <c r="J167" s="98">
        <v>8.51</v>
      </c>
      <c r="K167" s="98">
        <v>1.55</v>
      </c>
      <c r="L167" s="99">
        <v>21964.59</v>
      </c>
      <c r="M167" s="100">
        <f t="shared" si="48"/>
        <v>24.617616033755276</v>
      </c>
      <c r="N167" s="100">
        <f t="shared" si="49"/>
        <v>3.5073839662447259</v>
      </c>
      <c r="O167" s="100">
        <f t="shared" si="50"/>
        <v>14.24745581146224</v>
      </c>
      <c r="P167" s="100">
        <f t="shared" si="51"/>
        <v>2896.1748417721519</v>
      </c>
      <c r="Q167" s="100">
        <f t="shared" si="52"/>
        <v>21.495532447877647</v>
      </c>
      <c r="R167" s="100">
        <f t="shared" si="53"/>
        <v>31.113650744455075</v>
      </c>
      <c r="S167" s="101">
        <f t="shared" si="54"/>
        <v>45959</v>
      </c>
      <c r="T167" s="102" t="str">
        <f t="shared" si="55"/>
        <v>Octubre</v>
      </c>
      <c r="U167" s="102" t="str">
        <f t="shared" si="56"/>
        <v>Miércoles</v>
      </c>
      <c r="V167" s="102">
        <f t="shared" si="57"/>
        <v>15</v>
      </c>
      <c r="W167" s="102" t="str">
        <f t="shared" si="58"/>
        <v>Resto del mes</v>
      </c>
      <c r="X167" s="102">
        <f t="shared" si="59"/>
        <v>27</v>
      </c>
      <c r="Y167" s="102" t="str">
        <f t="shared" si="60"/>
        <v>Sí</v>
      </c>
      <c r="Z167" s="102" t="str">
        <f>CHOOSE(MATCH(B167,{"Customer Appreciation","Exclusive Offers","Flash Sale","Holiday Discounts","New Product Launch","Newsletter"},0),"Fidelizar","Vender","Vender","Vender","Lanzar","Educar")</f>
        <v>Fidelizar</v>
      </c>
      <c r="AA167" s="102" t="str">
        <f t="shared" si="61"/>
        <v>Menos de 100 mil</v>
      </c>
      <c r="AB167" s="102">
        <f>COUNTIFS($E$5:$E$493,E167,$S$5:$S$493,"&lt;"&amp;S167)+COUNTIFS($E$5:E167,E167,$S$5:S167,S167)</f>
        <v>6</v>
      </c>
      <c r="AC167" s="102">
        <f t="shared" si="62"/>
        <v>6</v>
      </c>
      <c r="AD167" s="102" t="str">
        <f t="shared" si="63"/>
        <v/>
      </c>
      <c r="AE167" s="103">
        <f t="shared" si="64"/>
        <v>3.122083585877629</v>
      </c>
      <c r="AF167" s="102" t="str">
        <f t="shared" si="65"/>
        <v xml:space="preserve">  gracias por elegir l'oréal  tu belleza  nuestra inspiración </v>
      </c>
      <c r="AG167" s="102" t="str">
        <f t="shared" si="66"/>
        <v xml:space="preserve"> queremos celebrar tu preferencia con estas ofertas   descúbrelas  </v>
      </c>
      <c r="AH167" s="102" t="str">
        <f>IF(SUMPRODUCT(--(LEFT(IF(LEFT(LOWER(E167),1)="¡",MID(LOWER(E167),2,300),LOWER(E167)),LEN({"actualizaci","el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167" s="102" t="str">
        <f>IF(OR(SUMPRODUCT(--ISNUMBER(SEARCH({"descuento","oferta","ahorr","precio"," sale ","flash","deals"},AF167)))&gt;0,SUMPRODUCT(--ISNUMBER(SEARCH({"descuento","oferta","ahorr","precio"," sale ","flash","deals"},AG167)))&gt;0),"Sí","No")</f>
        <v>Sí</v>
      </c>
      <c r="AJ167" s="102" t="str">
        <f>IF(SUMPRODUCT(--ISNUMBER(SEARCH({" hoy ","horas","tiempo limitado","antes de que","se acab","se agot","finalic","última oportunidad","oportunidad única","relámpago","express","no esperes","no volver","no parpadees"},AF167)))&gt;0,"Sí","No")</f>
        <v>No</v>
      </c>
      <c r="AK167" s="102" t="str">
        <f>IF(SUMPRODUCT(--ISNUMBER(SEARCH({" hoy ","horas","tiempo limitado","antes de que","se acab","se agot","finalic","última oportunidad","oportunidad única","relámpago","express","no esperes","no volver","no parpadees"},AG167)))&gt;0,"Sí","No")</f>
        <v>No</v>
      </c>
      <c r="AL167" s="102" t="str">
        <f t="shared" si="67"/>
        <v>Descuento sin tiempo límite</v>
      </c>
      <c r="AM167" s="102" t="str">
        <f>IF(SUMPRODUCT(--ISNUMBER(SEARCH({"0","1","2","3","4","5","6","7","8","9","favorit","maquillaje","piel","cabello","productos","belleza","regalo"},E167)))&gt;0,"Sí","No")</f>
        <v>Sí</v>
      </c>
      <c r="AN167" s="102" t="str">
        <f>IF(SUMPRODUCT(--ISNUMBER(SEARCH({"lo que tenemos","estas ofertas","algo especial","ofertas únicas","que preparamos","no te quedes","echa un vistazo"},F167)))&gt;0,"Sí","No")</f>
        <v>Sí</v>
      </c>
      <c r="AO167" s="102">
        <f t="shared" si="68"/>
        <v>60</v>
      </c>
      <c r="AP167" s="102">
        <f t="shared" si="69"/>
        <v>8</v>
      </c>
      <c r="AQ167" s="102">
        <f>SUMPRODUCT(LEN(E167)-LEN(SUBSTITUTE(E167,{"!","¡","?","¿",":",",",".","%","·","-",";"},"")))</f>
        <v>3</v>
      </c>
      <c r="AR167" s="102" t="str">
        <f t="shared" si="70"/>
        <v>Sí</v>
      </c>
      <c r="AS167" s="102" t="str">
        <f t="shared" si="71"/>
        <v>No</v>
      </c>
      <c r="AT167" s="102" t="str">
        <f>IF(SUMPRODUCT(--ISNUMBER(FIND({"0","1","2","3","4","5","6","7","8","9"},E167)))&gt;0,"Con cifra concreta",IF(OR(ISNUMBER(FIND("?",E167)),ISNUMBER(FIND("¿",E167))),"Pregunta abierta",IF(SUMPRODUCT(--ISNUMBER(SEARCH({" hoy ","horas","tiempo limitado","antes de que","se acab","se agot","finalic","última oportunidad","oportunidad única","relámpago","express","no esperes","no volver","no parpadees"," ya ","últimas horas","últimas unidades"," ahora "},AF167)))&gt;0,"Solo urgencia, sin cifra",IF(SUMPRODUCT(--ISNUMBER(SEARCH({"recompensa","sorpresa","regalo","lealtad","detalle","gracias","pensamos en ti","para ti"},E167)))&gt;0,"Recompensa o sorpresa","Otro: beneficio o novedad"))))</f>
        <v>Recompensa o sorpresa</v>
      </c>
    </row>
    <row r="168" spans="1:46" x14ac:dyDescent="0.2">
      <c r="A168" s="104" t="s">
        <v>1039</v>
      </c>
      <c r="B168" s="104" t="s">
        <v>279</v>
      </c>
      <c r="C168" s="104" t="s">
        <v>869</v>
      </c>
      <c r="D168" s="104" t="s">
        <v>821</v>
      </c>
      <c r="E168" s="104" t="s">
        <v>369</v>
      </c>
      <c r="F168" s="104" t="s">
        <v>457</v>
      </c>
      <c r="G168" s="105">
        <v>66474</v>
      </c>
      <c r="H168" s="105">
        <v>21557</v>
      </c>
      <c r="I168" s="105">
        <v>2719</v>
      </c>
      <c r="J168" s="106">
        <v>9.73</v>
      </c>
      <c r="K168" s="106">
        <v>0.38</v>
      </c>
      <c r="L168" s="107">
        <v>68337.429999999993</v>
      </c>
      <c r="M168" s="108">
        <f t="shared" si="48"/>
        <v>32.429220447092092</v>
      </c>
      <c r="N168" s="108">
        <f t="shared" si="49"/>
        <v>4.0903210277702557</v>
      </c>
      <c r="O168" s="108">
        <f t="shared" si="50"/>
        <v>12.613072319896091</v>
      </c>
      <c r="P168" s="108">
        <f t="shared" si="51"/>
        <v>1028.0324638204411</v>
      </c>
      <c r="Q168" s="108">
        <f t="shared" si="52"/>
        <v>36.827379346292652</v>
      </c>
      <c r="R168" s="108">
        <f t="shared" si="53"/>
        <v>27.75136451093497</v>
      </c>
      <c r="S168" s="101">
        <f t="shared" si="54"/>
        <v>45917</v>
      </c>
      <c r="T168" s="102" t="str">
        <f t="shared" si="55"/>
        <v>Septiembre</v>
      </c>
      <c r="U168" s="102" t="str">
        <f t="shared" si="56"/>
        <v>Miércoles</v>
      </c>
      <c r="V168" s="102">
        <f t="shared" si="57"/>
        <v>8</v>
      </c>
      <c r="W168" s="102" t="str">
        <f t="shared" si="58"/>
        <v>Días después del pago</v>
      </c>
      <c r="X168" s="102">
        <f t="shared" si="59"/>
        <v>26</v>
      </c>
      <c r="Y168" s="102" t="str">
        <f t="shared" si="60"/>
        <v>Sí</v>
      </c>
      <c r="Z168" s="102" t="str">
        <f>CHOOSE(MATCH(B168,{"Customer Appreciation","Exclusive Offers","Flash Sale","Holiday Discounts","New Product Launch","Newsletter"},0),"Fidelizar","Vender","Vender","Vender","Lanzar","Educar")</f>
        <v>Educar</v>
      </c>
      <c r="AA168" s="102" t="str">
        <f t="shared" si="61"/>
        <v>Menos de 100 mil</v>
      </c>
      <c r="AB168" s="102">
        <f>COUNTIFS($E$5:$E$493,E168,$S$5:$S$493,"&lt;"&amp;S168)+COUNTIFS($E$5:E168,E168,$S$5:S168,S168)</f>
        <v>10</v>
      </c>
      <c r="AC168" s="102">
        <f t="shared" si="62"/>
        <v>19</v>
      </c>
      <c r="AD168" s="102" t="str">
        <f t="shared" si="63"/>
        <v>Medio</v>
      </c>
      <c r="AE168" s="103">
        <f t="shared" si="64"/>
        <v>-4.3981588992005598</v>
      </c>
      <c r="AF168" s="102" t="str">
        <f t="shared" si="65"/>
        <v xml:space="preserve"> lo último en l'oréal  mantente informad@ de las novedades </v>
      </c>
      <c r="AG168" s="102" t="str">
        <f t="shared" si="66"/>
        <v xml:space="preserve"> descubre las novedades y tips de la semana   entra ya  </v>
      </c>
      <c r="AH168" s="102" t="str">
        <f>IF(SUMPRODUCT(--(LEFT(IF(LEFT(LOWER(E168),1)="¡",MID(LOWER(E168),2,300),LOWER(E168)),LEN({"actualizaci","el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168" s="102" t="str">
        <f>IF(OR(SUMPRODUCT(--ISNUMBER(SEARCH({"descuento","oferta","ahorr","precio"," sale ","flash","deals"},AF168)))&gt;0,SUMPRODUCT(--ISNUMBER(SEARCH({"descuento","oferta","ahorr","precio"," sale ","flash","deals"},AG168)))&gt;0),"Sí","No")</f>
        <v>No</v>
      </c>
      <c r="AJ168" s="102" t="str">
        <f>IF(SUMPRODUCT(--ISNUMBER(SEARCH({" hoy ","horas","tiempo limitado","antes de que","se acab","se agot","finalic","última oportunidad","oportunidad única","relámpago","express","no esperes","no volver","no parpadees"},AF168)))&gt;0,"Sí","No")</f>
        <v>No</v>
      </c>
      <c r="AK168" s="102" t="str">
        <f>IF(SUMPRODUCT(--ISNUMBER(SEARCH({" hoy ","horas","tiempo limitado","antes de que","se acab","se agot","finalic","última oportunidad","oportunidad única","relámpago","express","no esperes","no volver","no parpadees"},AG168)))&gt;0,"Sí","No")</f>
        <v>No</v>
      </c>
      <c r="AL168" s="102" t="str">
        <f t="shared" si="67"/>
        <v>Sin descuento</v>
      </c>
      <c r="AM168" s="102" t="str">
        <f>IF(SUMPRODUCT(--ISNUMBER(SEARCH({"0","1","2","3","4","5","6","7","8","9","favorit","maquillaje","piel","cabello","productos","belleza","regalo"},E168)))&gt;0,"Sí","No")</f>
        <v>No</v>
      </c>
      <c r="AN168" s="102" t="str">
        <f>IF(SUMPRODUCT(--ISNUMBER(SEARCH({"lo que tenemos","estas ofertas","algo especial","ofertas únicas","que preparamos","no te quedes","echa un vistazo"},F168)))&gt;0,"Sí","No")</f>
        <v>No</v>
      </c>
      <c r="AO168" s="102">
        <f t="shared" si="68"/>
        <v>57</v>
      </c>
      <c r="AP168" s="102">
        <f t="shared" si="69"/>
        <v>9</v>
      </c>
      <c r="AQ168" s="102">
        <f>SUMPRODUCT(LEN(E168)-LEN(SUBSTITUTE(E168,{"!","¡","?","¿",":",",",".","%","·","-",";"},"")))</f>
        <v>1</v>
      </c>
      <c r="AR168" s="102" t="str">
        <f t="shared" si="70"/>
        <v>Sí</v>
      </c>
      <c r="AS168" s="102" t="str">
        <f t="shared" si="71"/>
        <v>No</v>
      </c>
      <c r="AT168" s="102" t="str">
        <f>IF(SUMPRODUCT(--ISNUMBER(FIND({"0","1","2","3","4","5","6","7","8","9"},E168)))&gt;0,"Con cifra concreta",IF(OR(ISNUMBER(FIND("?",E168)),ISNUMBER(FIND("¿",E168))),"Pregunta abierta",IF(SUMPRODUCT(--ISNUMBER(SEARCH({" hoy ","horas","tiempo limitado","antes de que","se acab","se agot","finalic","última oportunidad","oportunidad única","relámpago","express","no esperes","no volver","no parpadees"," ya ","últimas horas","últimas unidades"," ahora "},AF168)))&gt;0,"Solo urgencia, sin cifra",IF(SUMPRODUCT(--ISNUMBER(SEARCH({"recompensa","sorpresa","regalo","lealtad","detalle","gracias","pensamos en ti","para ti"},E168)))&gt;0,"Recompensa o sorpresa","Otro: beneficio o novedad"))))</f>
        <v>Otro: beneficio o novedad</v>
      </c>
    </row>
    <row r="169" spans="1:46" x14ac:dyDescent="0.2">
      <c r="A169" s="96" t="s">
        <v>1040</v>
      </c>
      <c r="B169" s="96" t="s">
        <v>278</v>
      </c>
      <c r="C169" s="96" t="s">
        <v>928</v>
      </c>
      <c r="D169" s="96" t="s">
        <v>715</v>
      </c>
      <c r="E169" s="96" t="s">
        <v>367</v>
      </c>
      <c r="F169" s="96" t="s">
        <v>458</v>
      </c>
      <c r="G169" s="97">
        <v>41060</v>
      </c>
      <c r="H169" s="97">
        <v>9227</v>
      </c>
      <c r="I169" s="97">
        <v>2348</v>
      </c>
      <c r="J169" s="98">
        <v>5.65</v>
      </c>
      <c r="K169" s="98">
        <v>0.33</v>
      </c>
      <c r="L169" s="99">
        <v>19456.55</v>
      </c>
      <c r="M169" s="100">
        <f t="shared" si="48"/>
        <v>22.471992206527034</v>
      </c>
      <c r="N169" s="100">
        <f t="shared" si="49"/>
        <v>5.7184607890891384</v>
      </c>
      <c r="O169" s="100">
        <f t="shared" si="50"/>
        <v>25.447057548498968</v>
      </c>
      <c r="P169" s="100">
        <f t="shared" si="51"/>
        <v>473.85655138821238</v>
      </c>
      <c r="Q169" s="100">
        <f t="shared" si="52"/>
        <v>36.132518317209367</v>
      </c>
      <c r="R169" s="100">
        <f t="shared" si="53"/>
        <v>29.458247936272421</v>
      </c>
      <c r="S169" s="101">
        <f t="shared" si="54"/>
        <v>45883</v>
      </c>
      <c r="T169" s="102" t="str">
        <f t="shared" si="55"/>
        <v>Agosto</v>
      </c>
      <c r="U169" s="102" t="str">
        <f t="shared" si="56"/>
        <v>Jueves</v>
      </c>
      <c r="V169" s="102">
        <f t="shared" si="57"/>
        <v>11</v>
      </c>
      <c r="W169" s="102" t="str">
        <f t="shared" si="58"/>
        <v>Quincena</v>
      </c>
      <c r="X169" s="102">
        <f t="shared" si="59"/>
        <v>23</v>
      </c>
      <c r="Y169" s="102" t="str">
        <f t="shared" si="60"/>
        <v>Sí</v>
      </c>
      <c r="Z169" s="102" t="str">
        <f>CHOOSE(MATCH(B169,{"Customer Appreciation","Exclusive Offers","Flash Sale","Holiday Discounts","New Product Launch","Newsletter"},0),"Fidelizar","Vender","Vender","Vender","Lanzar","Educar")</f>
        <v>Lanzar</v>
      </c>
      <c r="AA169" s="102" t="str">
        <f t="shared" si="61"/>
        <v>Menos de 100 mil</v>
      </c>
      <c r="AB169" s="102">
        <f>COUNTIFS($E$5:$E$493,E169,$S$5:$S$493,"&lt;"&amp;S169)+COUNTIFS($E$5:E169,E169,$S$5:S169,S169)</f>
        <v>2</v>
      </c>
      <c r="AC169" s="102">
        <f t="shared" si="62"/>
        <v>25</v>
      </c>
      <c r="AD169" s="102" t="str">
        <f t="shared" si="63"/>
        <v>Primer tercio</v>
      </c>
      <c r="AE169" s="103">
        <f t="shared" si="64"/>
        <v>-13.660526110682333</v>
      </c>
      <c r="AF169" s="102" t="str">
        <f t="shared" si="65"/>
        <v xml:space="preserve">  el futuro de tu piel ha llegado  nuevo producto revolucionario </v>
      </c>
      <c r="AG169" s="102" t="str">
        <f t="shared" si="66"/>
        <v xml:space="preserve"> una fórmula revolucionaria para resultados visibles   compruébalo  </v>
      </c>
      <c r="AH169" s="102" t="str">
        <f>IF(SUMPRODUCT(--(LEFT(IF(LEFT(LOWER(E169),1)="¡",MID(LOWER(E169),2,300),LOWER(E169)),LEN({"actualizaci","el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169" s="102" t="str">
        <f>IF(OR(SUMPRODUCT(--ISNUMBER(SEARCH({"descuento","oferta","ahorr","precio"," sale ","flash","deals"},AF169)))&gt;0,SUMPRODUCT(--ISNUMBER(SEARCH({"descuento","oferta","ahorr","precio"," sale ","flash","deals"},AG169)))&gt;0),"Sí","No")</f>
        <v>No</v>
      </c>
      <c r="AJ169" s="102" t="str">
        <f>IF(SUMPRODUCT(--ISNUMBER(SEARCH({" hoy ","horas","tiempo limitado","antes de que","se acab","se agot","finalic","última oportunidad","oportunidad única","relámpago","express","no esperes","no volver","no parpadees"},AF169)))&gt;0,"Sí","No")</f>
        <v>No</v>
      </c>
      <c r="AK169" s="102" t="str">
        <f>IF(SUMPRODUCT(--ISNUMBER(SEARCH({" hoy ","horas","tiempo limitado","antes de que","se acab","se agot","finalic","última oportunidad","oportunidad única","relámpago","express","no esperes","no volver","no parpadees"},AG169)))&gt;0,"Sí","No")</f>
        <v>No</v>
      </c>
      <c r="AL169" s="102" t="str">
        <f t="shared" si="67"/>
        <v>Sin descuento</v>
      </c>
      <c r="AM169" s="102" t="str">
        <f>IF(SUMPRODUCT(--ISNUMBER(SEARCH({"0","1","2","3","4","5","6","7","8","9","favorit","maquillaje","piel","cabello","productos","belleza","regalo"},E169)))&gt;0,"Sí","No")</f>
        <v>Sí</v>
      </c>
      <c r="AN169" s="102" t="str">
        <f>IF(SUMPRODUCT(--ISNUMBER(SEARCH({"lo que tenemos","estas ofertas","algo especial","ofertas únicas","que preparamos","no te quedes","echa un vistazo"},F169)))&gt;0,"Sí","No")</f>
        <v>No</v>
      </c>
      <c r="AO169" s="102">
        <f t="shared" si="68"/>
        <v>63</v>
      </c>
      <c r="AP169" s="102">
        <f t="shared" si="69"/>
        <v>10</v>
      </c>
      <c r="AQ169" s="102">
        <f>SUMPRODUCT(LEN(E169)-LEN(SUBSTITUTE(E169,{"!","¡","?","¿",":",",",".","%","·","-",";"},"")))</f>
        <v>2</v>
      </c>
      <c r="AR169" s="102" t="str">
        <f t="shared" si="70"/>
        <v>No</v>
      </c>
      <c r="AS169" s="102" t="str">
        <f t="shared" si="71"/>
        <v>No</v>
      </c>
      <c r="AT169" s="102" t="str">
        <f>IF(SUMPRODUCT(--ISNUMBER(FIND({"0","1","2","3","4","5","6","7","8","9"},E169)))&gt;0,"Con cifra concreta",IF(OR(ISNUMBER(FIND("?",E169)),ISNUMBER(FIND("¿",E169))),"Pregunta abierta",IF(SUMPRODUCT(--ISNUMBER(SEARCH({" hoy ","horas","tiempo limitado","antes de que","se acab","se agot","finalic","última oportunidad","oportunidad única","relámpago","express","no esperes","no volver","no parpadees"," ya ","últimas horas","últimas unidades"," ahora "},AF169)))&gt;0,"Solo urgencia, sin cifra",IF(SUMPRODUCT(--ISNUMBER(SEARCH({"recompensa","sorpresa","regalo","lealtad","detalle","gracias","pensamos en ti","para ti"},E169)))&gt;0,"Recompensa o sorpresa","Otro: beneficio o novedad"))))</f>
        <v>Otro: beneficio o novedad</v>
      </c>
    </row>
    <row r="170" spans="1:46" x14ac:dyDescent="0.2">
      <c r="A170" s="104" t="s">
        <v>1041</v>
      </c>
      <c r="B170" s="104" t="s">
        <v>275</v>
      </c>
      <c r="C170" s="104" t="s">
        <v>889</v>
      </c>
      <c r="D170" s="104" t="s">
        <v>761</v>
      </c>
      <c r="E170" s="104" t="s">
        <v>481</v>
      </c>
      <c r="F170" s="104" t="s">
        <v>482</v>
      </c>
      <c r="G170" s="105">
        <v>41173</v>
      </c>
      <c r="H170" s="105">
        <v>7978</v>
      </c>
      <c r="I170" s="105">
        <v>5987</v>
      </c>
      <c r="J170" s="106">
        <v>6.31</v>
      </c>
      <c r="K170" s="106">
        <v>0.21</v>
      </c>
      <c r="L170" s="107">
        <v>65086</v>
      </c>
      <c r="M170" s="108">
        <f t="shared" si="48"/>
        <v>19.376776042552159</v>
      </c>
      <c r="N170" s="108">
        <f t="shared" si="49"/>
        <v>14.541082748403081</v>
      </c>
      <c r="O170" s="108">
        <f t="shared" si="50"/>
        <v>75.043870644271749</v>
      </c>
      <c r="P170" s="108">
        <f t="shared" si="51"/>
        <v>1580.7932382872273</v>
      </c>
      <c r="Q170" s="108">
        <f t="shared" si="52"/>
        <v>18.428686186240089</v>
      </c>
      <c r="R170" s="108">
        <f t="shared" si="53"/>
        <v>27.021447627328243</v>
      </c>
      <c r="S170" s="101">
        <f t="shared" si="54"/>
        <v>45908</v>
      </c>
      <c r="T170" s="102" t="str">
        <f t="shared" si="55"/>
        <v>Septiembre</v>
      </c>
      <c r="U170" s="102" t="str">
        <f t="shared" si="56"/>
        <v>Lunes</v>
      </c>
      <c r="V170" s="102">
        <f t="shared" si="57"/>
        <v>10</v>
      </c>
      <c r="W170" s="102" t="str">
        <f t="shared" si="58"/>
        <v>Resto del mes</v>
      </c>
      <c r="X170" s="102">
        <f t="shared" si="59"/>
        <v>28</v>
      </c>
      <c r="Y170" s="102" t="str">
        <f t="shared" si="60"/>
        <v>Sí</v>
      </c>
      <c r="Z170" s="102" t="str">
        <f>CHOOSE(MATCH(B170,{"Customer Appreciation","Exclusive Offers","Flash Sale","Holiday Discounts","New Product Launch","Newsletter"},0),"Fidelizar","Vender","Vender","Vender","Lanzar","Educar")</f>
        <v>Vender</v>
      </c>
      <c r="AA170" s="102" t="str">
        <f t="shared" si="61"/>
        <v>Menos de 100 mil</v>
      </c>
      <c r="AB170" s="102">
        <f>COUNTIFS($E$5:$E$493,E170,$S$5:$S$493,"&lt;"&amp;S170)+COUNTIFS($E$5:E170,E170,$S$5:S170,S170)</f>
        <v>3</v>
      </c>
      <c r="AC170" s="102">
        <f t="shared" si="62"/>
        <v>11</v>
      </c>
      <c r="AD170" s="102" t="str">
        <f t="shared" si="63"/>
        <v>Primer tercio</v>
      </c>
      <c r="AE170" s="103">
        <f t="shared" si="64"/>
        <v>0.94808985631206966</v>
      </c>
      <c r="AF170" s="102" t="str">
        <f t="shared" si="65"/>
        <v xml:space="preserve">  oportunidad única  solo por hoy  tus favoritos a un clic </v>
      </c>
      <c r="AG170" s="102" t="str">
        <f t="shared" si="66"/>
        <v xml:space="preserve"> tus productos favoritos con un precio que no volverás a ver   aprovecha  </v>
      </c>
      <c r="AH170" s="102" t="str">
        <f>IF(SUMPRODUCT(--(LEFT(IF(LEFT(LOWER(E170),1)="¡",MID(LOWER(E170),2,300),LOWER(E170)),LEN({"actualizaci","el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Sí</v>
      </c>
      <c r="AI170" s="102" t="str">
        <f>IF(OR(SUMPRODUCT(--ISNUMBER(SEARCH({"descuento","oferta","ahorr","precio"," sale ","flash","deals"},AF170)))&gt;0,SUMPRODUCT(--ISNUMBER(SEARCH({"descuento","oferta","ahorr","precio"," sale ","flash","deals"},AG170)))&gt;0),"Sí","No")</f>
        <v>Sí</v>
      </c>
      <c r="AJ170" s="102" t="str">
        <f>IF(SUMPRODUCT(--ISNUMBER(SEARCH({" hoy ","horas","tiempo limitado","antes de que","se acab","se agot","finalic","última oportunidad","oportunidad única","relámpago","express","no esperes","no volver","no parpadees"},AF170)))&gt;0,"Sí","No")</f>
        <v>Sí</v>
      </c>
      <c r="AK170" s="102" t="str">
        <f>IF(SUMPRODUCT(--ISNUMBER(SEARCH({" hoy ","horas","tiempo limitado","antes de que","se acab","se agot","finalic","última oportunidad","oportunidad única","relámpago","express","no esperes","no volver","no parpadees"},AG170)))&gt;0,"Sí","No")</f>
        <v>Sí</v>
      </c>
      <c r="AL170" s="102" t="str">
        <f t="shared" si="67"/>
        <v>Descuento con tiempo límite en el asunto</v>
      </c>
      <c r="AM170" s="102" t="str">
        <f>IF(SUMPRODUCT(--ISNUMBER(SEARCH({"0","1","2","3","4","5","6","7","8","9","favorit","maquillaje","piel","cabello","productos","belleza","regalo"},E170)))&gt;0,"Sí","No")</f>
        <v>Sí</v>
      </c>
      <c r="AN170" s="102" t="str">
        <f>IF(SUMPRODUCT(--ISNUMBER(SEARCH({"lo que tenemos","estas ofertas","algo especial","ofertas únicas","que preparamos","no te quedes","echa un vistazo"},F170)))&gt;0,"Sí","No")</f>
        <v>No</v>
      </c>
      <c r="AO170" s="102">
        <f t="shared" si="68"/>
        <v>57</v>
      </c>
      <c r="AP170" s="102">
        <f t="shared" si="69"/>
        <v>10</v>
      </c>
      <c r="AQ170" s="102">
        <f>SUMPRODUCT(LEN(E170)-LEN(SUBSTITUTE(E170,{"!","¡","?","¿",":",",",".","%","·","-",";"},"")))</f>
        <v>3</v>
      </c>
      <c r="AR170" s="102" t="str">
        <f t="shared" si="70"/>
        <v>No</v>
      </c>
      <c r="AS170" s="102" t="str">
        <f t="shared" si="71"/>
        <v>No</v>
      </c>
      <c r="AT170" s="102" t="str">
        <f>IF(SUMPRODUCT(--ISNUMBER(FIND({"0","1","2","3","4","5","6","7","8","9"},E170)))&gt;0,"Con cifra concreta",IF(OR(ISNUMBER(FIND("?",E170)),ISNUMBER(FIND("¿",E170))),"Pregunta abierta",IF(SUMPRODUCT(--ISNUMBER(SEARCH({" hoy ","horas","tiempo limitado","antes de que","se acab","se agot","finalic","última oportunidad","oportunidad única","relámpago","express","no esperes","no volver","no parpadees"," ya ","últimas horas","últimas unidades"," ahora "},AF170)))&gt;0,"Solo urgencia, sin cifra",IF(SUMPRODUCT(--ISNUMBER(SEARCH({"recompensa","sorpresa","regalo","lealtad","detalle","gracias","pensamos en ti","para ti"},E170)))&gt;0,"Recompensa o sorpresa","Otro: beneficio o novedad"))))</f>
        <v>Solo urgencia, sin cifra</v>
      </c>
    </row>
    <row r="171" spans="1:46" x14ac:dyDescent="0.2">
      <c r="A171" s="96" t="s">
        <v>1042</v>
      </c>
      <c r="B171" s="96" t="s">
        <v>278</v>
      </c>
      <c r="C171" s="96" t="s">
        <v>891</v>
      </c>
      <c r="D171" s="96" t="s">
        <v>786</v>
      </c>
      <c r="E171" s="96" t="s">
        <v>467</v>
      </c>
      <c r="F171" s="96" t="s">
        <v>468</v>
      </c>
      <c r="G171" s="97">
        <v>169956</v>
      </c>
      <c r="H171" s="97">
        <v>40534</v>
      </c>
      <c r="I171" s="97">
        <v>16730</v>
      </c>
      <c r="J171" s="98">
        <v>7.8</v>
      </c>
      <c r="K171" s="98">
        <v>3.59</v>
      </c>
      <c r="L171" s="99">
        <v>5547.69</v>
      </c>
      <c r="M171" s="100">
        <f t="shared" si="48"/>
        <v>23.849702275883171</v>
      </c>
      <c r="N171" s="100">
        <f t="shared" si="49"/>
        <v>9.8437242580432578</v>
      </c>
      <c r="O171" s="100">
        <f t="shared" si="50"/>
        <v>41.273992204075597</v>
      </c>
      <c r="P171" s="100">
        <f t="shared" si="51"/>
        <v>32.64191908493963</v>
      </c>
      <c r="Q171" s="100">
        <f t="shared" si="52"/>
        <v>30.93688234168668</v>
      </c>
      <c r="R171" s="100">
        <f t="shared" si="53"/>
        <v>29.458247936272421</v>
      </c>
      <c r="S171" s="101">
        <f t="shared" si="54"/>
        <v>45888</v>
      </c>
      <c r="T171" s="102" t="str">
        <f t="shared" si="55"/>
        <v>Agosto</v>
      </c>
      <c r="U171" s="102" t="str">
        <f t="shared" si="56"/>
        <v>Martes</v>
      </c>
      <c r="V171" s="102">
        <f t="shared" si="57"/>
        <v>15</v>
      </c>
      <c r="W171" s="102" t="str">
        <f t="shared" si="58"/>
        <v>Días después del pago</v>
      </c>
      <c r="X171" s="102">
        <f t="shared" si="59"/>
        <v>29</v>
      </c>
      <c r="Y171" s="102" t="str">
        <f t="shared" si="60"/>
        <v>Sí</v>
      </c>
      <c r="Z171" s="102" t="str">
        <f>CHOOSE(MATCH(B171,{"Customer Appreciation","Exclusive Offers","Flash Sale","Holiday Discounts","New Product Launch","Newsletter"},0),"Fidelizar","Vender","Vender","Vender","Lanzar","Educar")</f>
        <v>Lanzar</v>
      </c>
      <c r="AA171" s="102" t="str">
        <f t="shared" si="61"/>
        <v>100 a 200 mil</v>
      </c>
      <c r="AB171" s="102">
        <f>COUNTIFS($E$5:$E$493,E171,$S$5:$S$493,"&lt;"&amp;S171)+COUNTIFS($E$5:E171,E171,$S$5:S171,S171)</f>
        <v>5</v>
      </c>
      <c r="AC171" s="102">
        <f t="shared" si="62"/>
        <v>22</v>
      </c>
      <c r="AD171" s="102" t="str">
        <f t="shared" si="63"/>
        <v>Primer tercio</v>
      </c>
      <c r="AE171" s="103">
        <f t="shared" si="64"/>
        <v>-7.0871800658035085</v>
      </c>
      <c r="AF171" s="102" t="str">
        <f t="shared" si="65"/>
        <v xml:space="preserve">  lo nuevo de l'oréal  te va a encantar  innovación en belleza </v>
      </c>
      <c r="AG171" s="102" t="str">
        <f t="shared" si="66"/>
        <v xml:space="preserve"> prepárate para experimentar la innovación en tu belleza   descúbrela  </v>
      </c>
      <c r="AH171" s="102" t="str">
        <f>IF(SUMPRODUCT(--(LEFT(IF(LEFT(LOWER(E171),1)="¡",MID(LOWER(E171),2,300),LOWER(E171)),LEN({"actualizaci","el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171" s="102" t="str">
        <f>IF(OR(SUMPRODUCT(--ISNUMBER(SEARCH({"descuento","oferta","ahorr","precio"," sale ","flash","deals"},AF171)))&gt;0,SUMPRODUCT(--ISNUMBER(SEARCH({"descuento","oferta","ahorr","precio"," sale ","flash","deals"},AG171)))&gt;0),"Sí","No")</f>
        <v>No</v>
      </c>
      <c r="AJ171" s="102" t="str">
        <f>IF(SUMPRODUCT(--ISNUMBER(SEARCH({" hoy ","horas","tiempo limitado","antes de que","se acab","se agot","finalic","última oportunidad","oportunidad única","relámpago","express","no esperes","no volver","no parpadees"},AF171)))&gt;0,"Sí","No")</f>
        <v>No</v>
      </c>
      <c r="AK171" s="102" t="str">
        <f>IF(SUMPRODUCT(--ISNUMBER(SEARCH({" hoy ","horas","tiempo limitado","antes de que","se acab","se agot","finalic","última oportunidad","oportunidad única","relámpago","express","no esperes","no volver","no parpadees"},AG171)))&gt;0,"Sí","No")</f>
        <v>No</v>
      </c>
      <c r="AL171" s="102" t="str">
        <f t="shared" si="67"/>
        <v>Sin descuento</v>
      </c>
      <c r="AM171" s="102" t="str">
        <f>IF(SUMPRODUCT(--ISNUMBER(SEARCH({"0","1","2","3","4","5","6","7","8","9","favorit","maquillaje","piel","cabello","productos","belleza","regalo"},E171)))&gt;0,"Sí","No")</f>
        <v>Sí</v>
      </c>
      <c r="AN171" s="102" t="str">
        <f>IF(SUMPRODUCT(--ISNUMBER(SEARCH({"lo que tenemos","estas ofertas","algo especial","ofertas únicas","que preparamos","no te quedes","echa un vistazo"},F171)))&gt;0,"Sí","No")</f>
        <v>No</v>
      </c>
      <c r="AO171" s="102">
        <f t="shared" si="68"/>
        <v>61</v>
      </c>
      <c r="AP171" s="102">
        <f t="shared" si="69"/>
        <v>11</v>
      </c>
      <c r="AQ171" s="102">
        <f>SUMPRODUCT(LEN(E171)-LEN(SUBSTITUTE(E171,{"!","¡","?","¿",":",",",".","%","·","-",";"},"")))</f>
        <v>3</v>
      </c>
      <c r="AR171" s="102" t="str">
        <f t="shared" si="70"/>
        <v>No</v>
      </c>
      <c r="AS171" s="102" t="str">
        <f t="shared" si="71"/>
        <v>No</v>
      </c>
      <c r="AT171" s="102" t="str">
        <f>IF(SUMPRODUCT(--ISNUMBER(FIND({"0","1","2","3","4","5","6","7","8","9"},E171)))&gt;0,"Con cifra concreta",IF(OR(ISNUMBER(FIND("?",E171)),ISNUMBER(FIND("¿",E171))),"Pregunta abierta",IF(SUMPRODUCT(--ISNUMBER(SEARCH({" hoy ","horas","tiempo limitado","antes de que","se acab","se agot","finalic","última oportunidad","oportunidad única","relámpago","express","no esperes","no volver","no parpadees"," ya ","últimas horas","últimas unidades"," ahora "},AF171)))&gt;0,"Solo urgencia, sin cifra",IF(SUMPRODUCT(--ISNUMBER(SEARCH({"recompensa","sorpresa","regalo","lealtad","detalle","gracias","pensamos en ti","para ti"},E171)))&gt;0,"Recompensa o sorpresa","Otro: beneficio o novedad"))))</f>
        <v>Otro: beneficio o novedad</v>
      </c>
    </row>
    <row r="172" spans="1:46" x14ac:dyDescent="0.2">
      <c r="A172" s="104" t="s">
        <v>1043</v>
      </c>
      <c r="B172" s="104" t="s">
        <v>275</v>
      </c>
      <c r="C172" s="104" t="s">
        <v>915</v>
      </c>
      <c r="D172" s="104" t="s">
        <v>769</v>
      </c>
      <c r="E172" s="104" t="s">
        <v>478</v>
      </c>
      <c r="F172" s="104" t="s">
        <v>479</v>
      </c>
      <c r="G172" s="105">
        <v>233722</v>
      </c>
      <c r="H172" s="105">
        <v>34003</v>
      </c>
      <c r="I172" s="105">
        <v>22765</v>
      </c>
      <c r="J172" s="106">
        <v>2</v>
      </c>
      <c r="K172" s="106">
        <v>0.12</v>
      </c>
      <c r="L172" s="107">
        <v>12815.99</v>
      </c>
      <c r="M172" s="108">
        <f t="shared" si="48"/>
        <v>14.548480673620798</v>
      </c>
      <c r="N172" s="108">
        <f t="shared" si="49"/>
        <v>9.7402041741898504</v>
      </c>
      <c r="O172" s="108">
        <f t="shared" si="50"/>
        <v>66.94997500220569</v>
      </c>
      <c r="P172" s="108">
        <f t="shared" si="51"/>
        <v>54.834333096584828</v>
      </c>
      <c r="Q172" s="108">
        <f t="shared" si="52"/>
        <v>21.363100647493706</v>
      </c>
      <c r="R172" s="108">
        <f t="shared" si="53"/>
        <v>27.021447627328243</v>
      </c>
      <c r="S172" s="101">
        <f t="shared" si="54"/>
        <v>45954</v>
      </c>
      <c r="T172" s="102" t="str">
        <f t="shared" si="55"/>
        <v>Octubre</v>
      </c>
      <c r="U172" s="102" t="str">
        <f t="shared" si="56"/>
        <v>Viernes</v>
      </c>
      <c r="V172" s="102">
        <f t="shared" si="57"/>
        <v>13</v>
      </c>
      <c r="W172" s="102" t="str">
        <f t="shared" si="58"/>
        <v>Resto del mes</v>
      </c>
      <c r="X172" s="102">
        <f t="shared" si="59"/>
        <v>29</v>
      </c>
      <c r="Y172" s="102" t="str">
        <f t="shared" si="60"/>
        <v>Sí</v>
      </c>
      <c r="Z172" s="102" t="str">
        <f>CHOOSE(MATCH(B172,{"Customer Appreciation","Exclusive Offers","Flash Sale","Holiday Discounts","New Product Launch","Newsletter"},0),"Fidelizar","Vender","Vender","Vender","Lanzar","Educar")</f>
        <v>Vender</v>
      </c>
      <c r="AA172" s="102" t="str">
        <f t="shared" si="61"/>
        <v>200 a 300 mil</v>
      </c>
      <c r="AB172" s="102">
        <f>COUNTIFS($E$5:$E$493,E172,$S$5:$S$493,"&lt;"&amp;S172)+COUNTIFS($E$5:E172,E172,$S$5:S172,S172)</f>
        <v>7</v>
      </c>
      <c r="AC172" s="102">
        <f t="shared" si="62"/>
        <v>8</v>
      </c>
      <c r="AD172" s="102" t="str">
        <f t="shared" si="63"/>
        <v>Último tercio</v>
      </c>
      <c r="AE172" s="103">
        <f t="shared" si="64"/>
        <v>-6.8146199738729081</v>
      </c>
      <c r="AF172" s="102" t="str">
        <f t="shared" si="65"/>
        <v xml:space="preserve">  exclusivo para nuestros clientes vip  acceso limitado </v>
      </c>
      <c r="AG172" s="102" t="str">
        <f t="shared" si="66"/>
        <v xml:space="preserve"> no te pierdas estas ofertas que preparamos para ti   descubre más  </v>
      </c>
      <c r="AH172" s="102" t="str">
        <f>IF(SUMPRODUCT(--(LEFT(IF(LEFT(LOWER(E172),1)="¡",MID(LOWER(E172),2,300),LOWER(E172)),LEN({"actualizaci","el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172" s="102" t="str">
        <f>IF(OR(SUMPRODUCT(--ISNUMBER(SEARCH({"descuento","oferta","ahorr","precio"," sale ","flash","deals"},AF172)))&gt;0,SUMPRODUCT(--ISNUMBER(SEARCH({"descuento","oferta","ahorr","precio"," sale ","flash","deals"},AG172)))&gt;0),"Sí","No")</f>
        <v>Sí</v>
      </c>
      <c r="AJ172" s="102" t="str">
        <f>IF(SUMPRODUCT(--ISNUMBER(SEARCH({" hoy ","horas","tiempo limitado","antes de que","se acab","se agot","finalic","última oportunidad","oportunidad única","relámpago","express","no esperes","no volver","no parpadees"},AF172)))&gt;0,"Sí","No")</f>
        <v>No</v>
      </c>
      <c r="AK172" s="102" t="str">
        <f>IF(SUMPRODUCT(--ISNUMBER(SEARCH({" hoy ","horas","tiempo limitado","antes de que","se acab","se agot","finalic","última oportunidad","oportunidad única","relámpago","express","no esperes","no volver","no parpadees"},AG172)))&gt;0,"Sí","No")</f>
        <v>No</v>
      </c>
      <c r="AL172" s="102" t="str">
        <f t="shared" si="67"/>
        <v>Descuento sin tiempo límite</v>
      </c>
      <c r="AM172" s="102" t="str">
        <f>IF(SUMPRODUCT(--ISNUMBER(SEARCH({"0","1","2","3","4","5","6","7","8","9","favorit","maquillaje","piel","cabello","productos","belleza","regalo"},E172)))&gt;0,"Sí","No")</f>
        <v>No</v>
      </c>
      <c r="AN172" s="102" t="str">
        <f>IF(SUMPRODUCT(--ISNUMBER(SEARCH({"lo que tenemos","estas ofertas","algo especial","ofertas únicas","que preparamos","no te quedes","echa un vistazo"},F172)))&gt;0,"Sí","No")</f>
        <v>Sí</v>
      </c>
      <c r="AO172" s="102">
        <f t="shared" si="68"/>
        <v>54</v>
      </c>
      <c r="AP172" s="102">
        <f t="shared" si="69"/>
        <v>7</v>
      </c>
      <c r="AQ172" s="102">
        <f>SUMPRODUCT(LEN(E172)-LEN(SUBSTITUTE(E172,{"!","¡","?","¿",":",",",".","%","·","-",";"},"")))</f>
        <v>2</v>
      </c>
      <c r="AR172" s="102" t="str">
        <f t="shared" si="70"/>
        <v>Sí</v>
      </c>
      <c r="AS172" s="102" t="str">
        <f t="shared" si="71"/>
        <v>No</v>
      </c>
      <c r="AT172" s="102" t="str">
        <f>IF(SUMPRODUCT(--ISNUMBER(FIND({"0","1","2","3","4","5","6","7","8","9"},E172)))&gt;0,"Con cifra concreta",IF(OR(ISNUMBER(FIND("?",E172)),ISNUMBER(FIND("¿",E172))),"Pregunta abierta",IF(SUMPRODUCT(--ISNUMBER(SEARCH({" hoy ","horas","tiempo limitado","antes de que","se acab","se agot","finalic","última oportunidad","oportunidad única","relámpago","express","no esperes","no volver","no parpadees"," ya ","últimas horas","últimas unidades"," ahora "},AF172)))&gt;0,"Solo urgencia, sin cifra",IF(SUMPRODUCT(--ISNUMBER(SEARCH({"recompensa","sorpresa","regalo","lealtad","detalle","gracias","pensamos en ti","para ti"},E172)))&gt;0,"Recompensa o sorpresa","Otro: beneficio o novedad"))))</f>
        <v>Otro: beneficio o novedad</v>
      </c>
    </row>
    <row r="173" spans="1:46" x14ac:dyDescent="0.2">
      <c r="A173" s="96" t="s">
        <v>1044</v>
      </c>
      <c r="B173" s="96" t="s">
        <v>276</v>
      </c>
      <c r="C173" s="96" t="s">
        <v>917</v>
      </c>
      <c r="D173" s="96" t="s">
        <v>774</v>
      </c>
      <c r="E173" s="96" t="s">
        <v>866</v>
      </c>
      <c r="F173" s="96" t="s">
        <v>867</v>
      </c>
      <c r="G173" s="97">
        <v>31229</v>
      </c>
      <c r="H173" s="97">
        <v>7510</v>
      </c>
      <c r="I173" s="97">
        <v>824</v>
      </c>
      <c r="J173" s="98">
        <v>1.89</v>
      </c>
      <c r="K173" s="98">
        <v>2.34</v>
      </c>
      <c r="L173" s="99">
        <v>36918.31</v>
      </c>
      <c r="M173" s="100">
        <f t="shared" si="48"/>
        <v>24.048160363764453</v>
      </c>
      <c r="N173" s="100">
        <f t="shared" si="49"/>
        <v>2.6385731211374042</v>
      </c>
      <c r="O173" s="100">
        <f t="shared" si="50"/>
        <v>10.972037283621837</v>
      </c>
      <c r="P173" s="100">
        <f t="shared" si="51"/>
        <v>1182.1803451919691</v>
      </c>
      <c r="Q173" s="100">
        <f t="shared" si="52"/>
        <v>20.679461560319073</v>
      </c>
      <c r="R173" s="100">
        <f t="shared" si="53"/>
        <v>29.440902453236173</v>
      </c>
      <c r="S173" s="101">
        <f t="shared" si="54"/>
        <v>45916</v>
      </c>
      <c r="T173" s="102" t="str">
        <f t="shared" si="55"/>
        <v>Septiembre</v>
      </c>
      <c r="U173" s="102" t="str">
        <f t="shared" si="56"/>
        <v>Martes</v>
      </c>
      <c r="V173" s="102">
        <f t="shared" si="57"/>
        <v>11</v>
      </c>
      <c r="W173" s="102" t="str">
        <f t="shared" si="58"/>
        <v>Quincena</v>
      </c>
      <c r="X173" s="102">
        <f t="shared" si="59"/>
        <v>27</v>
      </c>
      <c r="Y173" s="102" t="str">
        <f t="shared" si="60"/>
        <v>Sí</v>
      </c>
      <c r="Z173" s="102" t="str">
        <f>CHOOSE(MATCH(B173,{"Customer Appreciation","Exclusive Offers","Flash Sale","Holiday Discounts","New Product Launch","Newsletter"},0),"Fidelizar","Vender","Vender","Vender","Lanzar","Educar")</f>
        <v>Vender</v>
      </c>
      <c r="AA173" s="102" t="str">
        <f t="shared" si="61"/>
        <v>Menos de 100 mil</v>
      </c>
      <c r="AB173" s="102">
        <f>COUNTIFS($E$5:$E$493,E173,$S$5:$S$493,"&lt;"&amp;S173)+COUNTIFS($E$5:E173,E173,$S$5:S173,S173)</f>
        <v>5</v>
      </c>
      <c r="AC173" s="102">
        <f t="shared" si="62"/>
        <v>7</v>
      </c>
      <c r="AD173" s="102" t="str">
        <f t="shared" si="63"/>
        <v/>
      </c>
      <c r="AE173" s="103">
        <f t="shared" si="64"/>
        <v>3.3686988034453798</v>
      </c>
      <c r="AF173" s="102" t="str">
        <f t="shared" si="65"/>
        <v xml:space="preserve">  ahorra en grande  oferta relámpago  últimas unidades </v>
      </c>
      <c r="AG173" s="102" t="str">
        <f t="shared" si="66"/>
        <v xml:space="preserve"> precios irresistibles en tus productos favoritos   compra ahora  </v>
      </c>
      <c r="AH173" s="102" t="str">
        <f>IF(SUMPRODUCT(--(LEFT(IF(LEFT(LOWER(E173),1)="¡",MID(LOWER(E173),2,300),LOWER(E173)),LEN({"actualizaci","el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173" s="102" t="str">
        <f>IF(OR(SUMPRODUCT(--ISNUMBER(SEARCH({"descuento","oferta","ahorr","precio"," sale ","flash","deals"},AF173)))&gt;0,SUMPRODUCT(--ISNUMBER(SEARCH({"descuento","oferta","ahorr","precio"," sale ","flash","deals"},AG173)))&gt;0),"Sí","No")</f>
        <v>Sí</v>
      </c>
      <c r="AJ173" s="102" t="str">
        <f>IF(SUMPRODUCT(--ISNUMBER(SEARCH({" hoy ","horas","tiempo limitado","antes de que","se acab","se agot","finalic","última oportunidad","oportunidad única","relámpago","express","no esperes","no volver","no parpadees"},AF173)))&gt;0,"Sí","No")</f>
        <v>Sí</v>
      </c>
      <c r="AK173" s="102" t="str">
        <f>IF(SUMPRODUCT(--ISNUMBER(SEARCH({" hoy ","horas","tiempo limitado","antes de que","se acab","se agot","finalic","última oportunidad","oportunidad única","relámpago","express","no esperes","no volver","no parpadees"},AG173)))&gt;0,"Sí","No")</f>
        <v>No</v>
      </c>
      <c r="AL173" s="102" t="str">
        <f t="shared" si="67"/>
        <v>Descuento con tiempo límite en el asunto</v>
      </c>
      <c r="AM173" s="102" t="str">
        <f>IF(SUMPRODUCT(--ISNUMBER(SEARCH({"0","1","2","3","4","5","6","7","8","9","favorit","maquillaje","piel","cabello","productos","belleza","regalo"},E173)))&gt;0,"Sí","No")</f>
        <v>No</v>
      </c>
      <c r="AN173" s="102" t="str">
        <f>IF(SUMPRODUCT(--ISNUMBER(SEARCH({"lo que tenemos","estas ofertas","algo especial","ofertas únicas","que preparamos","no te quedes","echa un vistazo"},F173)))&gt;0,"Sí","No")</f>
        <v>No</v>
      </c>
      <c r="AO173" s="102">
        <f t="shared" si="68"/>
        <v>53</v>
      </c>
      <c r="AP173" s="102">
        <f t="shared" si="69"/>
        <v>7</v>
      </c>
      <c r="AQ173" s="102">
        <f>SUMPRODUCT(LEN(E173)-LEN(SUBSTITUTE(E173,{"!","¡","?","¿",":",",",".","%","·","-",";"},"")))</f>
        <v>3</v>
      </c>
      <c r="AR173" s="102" t="str">
        <f t="shared" si="70"/>
        <v>Sí</v>
      </c>
      <c r="AS173" s="102" t="str">
        <f t="shared" si="71"/>
        <v>No</v>
      </c>
      <c r="AT173" s="102" t="str">
        <f>IF(SUMPRODUCT(--ISNUMBER(FIND({"0","1","2","3","4","5","6","7","8","9"},E173)))&gt;0,"Con cifra concreta",IF(OR(ISNUMBER(FIND("?",E173)),ISNUMBER(FIND("¿",E173))),"Pregunta abierta",IF(SUMPRODUCT(--ISNUMBER(SEARCH({" hoy ","horas","tiempo limitado","antes de que","se acab","se agot","finalic","última oportunidad","oportunidad única","relámpago","express","no esperes","no volver","no parpadees"," ya ","últimas horas","últimas unidades"," ahora "},AF173)))&gt;0,"Solo urgencia, sin cifra",IF(SUMPRODUCT(--ISNUMBER(SEARCH({"recompensa","sorpresa","regalo","lealtad","detalle","gracias","pensamos en ti","para ti"},E173)))&gt;0,"Recompensa o sorpresa","Otro: beneficio o novedad"))))</f>
        <v>Solo urgencia, sin cifra</v>
      </c>
    </row>
    <row r="174" spans="1:46" x14ac:dyDescent="0.2">
      <c r="A174" s="104" t="s">
        <v>1045</v>
      </c>
      <c r="B174" s="104" t="s">
        <v>275</v>
      </c>
      <c r="C174" s="104" t="s">
        <v>923</v>
      </c>
      <c r="D174" s="104" t="s">
        <v>729</v>
      </c>
      <c r="E174" s="104" t="s">
        <v>882</v>
      </c>
      <c r="F174" s="104" t="s">
        <v>883</v>
      </c>
      <c r="G174" s="105">
        <v>72251</v>
      </c>
      <c r="H174" s="105">
        <v>16298</v>
      </c>
      <c r="I174" s="105">
        <v>3910</v>
      </c>
      <c r="J174" s="106">
        <v>0.99</v>
      </c>
      <c r="K174" s="106">
        <v>4.68</v>
      </c>
      <c r="L174" s="107">
        <v>41624.82</v>
      </c>
      <c r="M174" s="108">
        <f t="shared" si="48"/>
        <v>22.557473252965359</v>
      </c>
      <c r="N174" s="108">
        <f t="shared" si="49"/>
        <v>5.4116898036013339</v>
      </c>
      <c r="O174" s="108">
        <f t="shared" si="50"/>
        <v>23.99067370229476</v>
      </c>
      <c r="P174" s="108">
        <f t="shared" si="51"/>
        <v>576.11410222695883</v>
      </c>
      <c r="Q174" s="108">
        <f t="shared" si="52"/>
        <v>19.375383213349011</v>
      </c>
      <c r="R174" s="108">
        <f t="shared" si="53"/>
        <v>27.021447627328243</v>
      </c>
      <c r="S174" s="101">
        <f t="shared" si="54"/>
        <v>45873</v>
      </c>
      <c r="T174" s="102" t="str">
        <f t="shared" si="55"/>
        <v>Agosto</v>
      </c>
      <c r="U174" s="102" t="str">
        <f t="shared" si="56"/>
        <v>Lunes</v>
      </c>
      <c r="V174" s="102">
        <f t="shared" si="57"/>
        <v>10</v>
      </c>
      <c r="W174" s="102" t="str">
        <f t="shared" si="58"/>
        <v>Días después del pago</v>
      </c>
      <c r="X174" s="102">
        <f t="shared" si="59"/>
        <v>24</v>
      </c>
      <c r="Y174" s="102" t="str">
        <f t="shared" si="60"/>
        <v>Sí</v>
      </c>
      <c r="Z174" s="102" t="str">
        <f>CHOOSE(MATCH(B174,{"Customer Appreciation","Exclusive Offers","Flash Sale","Holiday Discounts","New Product Launch","Newsletter"},0),"Fidelizar","Vender","Vender","Vender","Lanzar","Educar")</f>
        <v>Vender</v>
      </c>
      <c r="AA174" s="102" t="str">
        <f t="shared" si="61"/>
        <v>Menos de 100 mil</v>
      </c>
      <c r="AB174" s="102">
        <f>COUNTIFS($E$5:$E$493,E174,$S$5:$S$493,"&lt;"&amp;S174)+COUNTIFS($E$5:E174,E174,$S$5:S174,S174)</f>
        <v>1</v>
      </c>
      <c r="AC174" s="102">
        <f t="shared" si="62"/>
        <v>5</v>
      </c>
      <c r="AD174" s="102" t="str">
        <f t="shared" si="63"/>
        <v/>
      </c>
      <c r="AE174" s="103">
        <f t="shared" si="64"/>
        <v>3.1820900396163481</v>
      </c>
      <c r="AF174" s="102" t="str">
        <f t="shared" si="65"/>
        <v xml:space="preserve">  descuentos que no querrás perderte  l'oréal para ti </v>
      </c>
      <c r="AG174" s="102" t="str">
        <f t="shared" si="66"/>
        <v xml:space="preserve"> solo para nuestra comunidad más fiel   acceso limitado  </v>
      </c>
      <c r="AH174" s="102" t="str">
        <f>IF(SUMPRODUCT(--(LEFT(IF(LEFT(LOWER(E174),1)="¡",MID(LOWER(E174),2,300),LOWER(E174)),LEN({"actualizaci","el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Sí</v>
      </c>
      <c r="AI174" s="102" t="str">
        <f>IF(OR(SUMPRODUCT(--ISNUMBER(SEARCH({"descuento","oferta","ahorr","precio"," sale ","flash","deals"},AF174)))&gt;0,SUMPRODUCT(--ISNUMBER(SEARCH({"descuento","oferta","ahorr","precio"," sale ","flash","deals"},AG174)))&gt;0),"Sí","No")</f>
        <v>Sí</v>
      </c>
      <c r="AJ174" s="102" t="str">
        <f>IF(SUMPRODUCT(--ISNUMBER(SEARCH({" hoy ","horas","tiempo limitado","antes de que","se acab","se agot","finalic","última oportunidad","oportunidad única","relámpago","express","no esperes","no volver","no parpadees"},AF174)))&gt;0,"Sí","No")</f>
        <v>No</v>
      </c>
      <c r="AK174" s="102" t="str">
        <f>IF(SUMPRODUCT(--ISNUMBER(SEARCH({" hoy ","horas","tiempo limitado","antes de que","se acab","se agot","finalic","última oportunidad","oportunidad única","relámpago","express","no esperes","no volver","no parpadees"},AG174)))&gt;0,"Sí","No")</f>
        <v>No</v>
      </c>
      <c r="AL174" s="102" t="str">
        <f t="shared" si="67"/>
        <v>Descuento sin tiempo límite</v>
      </c>
      <c r="AM174" s="102" t="str">
        <f>IF(SUMPRODUCT(--ISNUMBER(SEARCH({"0","1","2","3","4","5","6","7","8","9","favorit","maquillaje","piel","cabello","productos","belleza","regalo"},E174)))&gt;0,"Sí","No")</f>
        <v>No</v>
      </c>
      <c r="AN174" s="102" t="str">
        <f>IF(SUMPRODUCT(--ISNUMBER(SEARCH({"lo que tenemos","estas ofertas","algo especial","ofertas únicas","que preparamos","no te quedes","echa un vistazo"},F174)))&gt;0,"Sí","No")</f>
        <v>No</v>
      </c>
      <c r="AO174" s="102">
        <f t="shared" si="68"/>
        <v>52</v>
      </c>
      <c r="AP174" s="102">
        <f t="shared" si="69"/>
        <v>8</v>
      </c>
      <c r="AQ174" s="102">
        <f>SUMPRODUCT(LEN(E174)-LEN(SUBSTITUTE(E174,{"!","¡","?","¿",":",",",".","%","·","-",";"},"")))</f>
        <v>2</v>
      </c>
      <c r="AR174" s="102" t="str">
        <f t="shared" si="70"/>
        <v>Sí</v>
      </c>
      <c r="AS174" s="102" t="str">
        <f t="shared" si="71"/>
        <v>No</v>
      </c>
      <c r="AT174" s="102" t="str">
        <f>IF(SUMPRODUCT(--ISNUMBER(FIND({"0","1","2","3","4","5","6","7","8","9"},E174)))&gt;0,"Con cifra concreta",IF(OR(ISNUMBER(FIND("?",E174)),ISNUMBER(FIND("¿",E174))),"Pregunta abierta",IF(SUMPRODUCT(--ISNUMBER(SEARCH({" hoy ","horas","tiempo limitado","antes de que","se acab","se agot","finalic","última oportunidad","oportunidad única","relámpago","express","no esperes","no volver","no parpadees"," ya ","últimas horas","últimas unidades"," ahora "},AF174)))&gt;0,"Solo urgencia, sin cifra",IF(SUMPRODUCT(--ISNUMBER(SEARCH({"recompensa","sorpresa","regalo","lealtad","detalle","gracias","pensamos en ti","para ti"},E174)))&gt;0,"Recompensa o sorpresa","Otro: beneficio o novedad"))))</f>
        <v>Recompensa o sorpresa</v>
      </c>
    </row>
    <row r="175" spans="1:46" x14ac:dyDescent="0.2">
      <c r="A175" s="96" t="s">
        <v>1046</v>
      </c>
      <c r="B175" s="96" t="s">
        <v>278</v>
      </c>
      <c r="C175" s="96" t="s">
        <v>793</v>
      </c>
      <c r="D175" s="96" t="s">
        <v>947</v>
      </c>
      <c r="E175" s="96" t="s">
        <v>367</v>
      </c>
      <c r="F175" s="96" t="s">
        <v>458</v>
      </c>
      <c r="G175" s="97">
        <v>421817</v>
      </c>
      <c r="H175" s="97">
        <v>135677</v>
      </c>
      <c r="I175" s="97">
        <v>43110</v>
      </c>
      <c r="J175" s="98">
        <v>0.77</v>
      </c>
      <c r="K175" s="98">
        <v>4.45</v>
      </c>
      <c r="L175" s="99">
        <v>60537.17</v>
      </c>
      <c r="M175" s="100">
        <f t="shared" si="48"/>
        <v>32.164896151648705</v>
      </c>
      <c r="N175" s="100">
        <f t="shared" si="49"/>
        <v>10.220071737269954</v>
      </c>
      <c r="O175" s="100">
        <f t="shared" si="50"/>
        <v>31.773992644294907</v>
      </c>
      <c r="P175" s="100">
        <f t="shared" si="51"/>
        <v>143.51524476253923</v>
      </c>
      <c r="Q175" s="100">
        <f t="shared" si="52"/>
        <v>36.132518317209367</v>
      </c>
      <c r="R175" s="100">
        <f t="shared" si="53"/>
        <v>29.458247936272421</v>
      </c>
      <c r="S175" s="101">
        <f t="shared" si="54"/>
        <v>45939</v>
      </c>
      <c r="T175" s="102" t="str">
        <f t="shared" si="55"/>
        <v>Octubre</v>
      </c>
      <c r="U175" s="102" t="str">
        <f t="shared" si="56"/>
        <v>Jueves</v>
      </c>
      <c r="V175" s="102">
        <f t="shared" si="57"/>
        <v>9</v>
      </c>
      <c r="W175" s="102" t="str">
        <f t="shared" si="58"/>
        <v>Resto del mes</v>
      </c>
      <c r="X175" s="102">
        <f t="shared" si="59"/>
        <v>27</v>
      </c>
      <c r="Y175" s="102" t="str">
        <f t="shared" si="60"/>
        <v>Sí</v>
      </c>
      <c r="Z175" s="102" t="str">
        <f>CHOOSE(MATCH(B175,{"Customer Appreciation","Exclusive Offers","Flash Sale","Holiday Discounts","New Product Launch","Newsletter"},0),"Fidelizar","Vender","Vender","Vender","Lanzar","Educar")</f>
        <v>Lanzar</v>
      </c>
      <c r="AA175" s="102" t="str">
        <f t="shared" si="61"/>
        <v>Más de 400 mil</v>
      </c>
      <c r="AB175" s="102">
        <f>COUNTIFS($E$5:$E$493,E175,$S$5:$S$493,"&lt;"&amp;S175)+COUNTIFS($E$5:E175,E175,$S$5:S175,S175)</f>
        <v>13</v>
      </c>
      <c r="AC175" s="102">
        <f t="shared" si="62"/>
        <v>25</v>
      </c>
      <c r="AD175" s="102" t="str">
        <f t="shared" si="63"/>
        <v>Medio</v>
      </c>
      <c r="AE175" s="103">
        <f t="shared" si="64"/>
        <v>-3.9676221655606625</v>
      </c>
      <c r="AF175" s="102" t="str">
        <f t="shared" si="65"/>
        <v xml:space="preserve">  el futuro de tu piel ha llegado  nuevo producto revolucionario </v>
      </c>
      <c r="AG175" s="102" t="str">
        <f t="shared" si="66"/>
        <v xml:space="preserve"> una fórmula revolucionaria para resultados visibles   compruébalo  </v>
      </c>
      <c r="AH175" s="102" t="str">
        <f>IF(SUMPRODUCT(--(LEFT(IF(LEFT(LOWER(E175),1)="¡",MID(LOWER(E175),2,300),LOWER(E175)),LEN({"actualizaci","el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175" s="102" t="str">
        <f>IF(OR(SUMPRODUCT(--ISNUMBER(SEARCH({"descuento","oferta","ahorr","precio"," sale ","flash","deals"},AF175)))&gt;0,SUMPRODUCT(--ISNUMBER(SEARCH({"descuento","oferta","ahorr","precio"," sale ","flash","deals"},AG175)))&gt;0),"Sí","No")</f>
        <v>No</v>
      </c>
      <c r="AJ175" s="102" t="str">
        <f>IF(SUMPRODUCT(--ISNUMBER(SEARCH({" hoy ","horas","tiempo limitado","antes de que","se acab","se agot","finalic","última oportunidad","oportunidad única","relámpago","express","no esperes","no volver","no parpadees"},AF175)))&gt;0,"Sí","No")</f>
        <v>No</v>
      </c>
      <c r="AK175" s="102" t="str">
        <f>IF(SUMPRODUCT(--ISNUMBER(SEARCH({" hoy ","horas","tiempo limitado","antes de que","se acab","se agot","finalic","última oportunidad","oportunidad única","relámpago","express","no esperes","no volver","no parpadees"},AG175)))&gt;0,"Sí","No")</f>
        <v>No</v>
      </c>
      <c r="AL175" s="102" t="str">
        <f t="shared" si="67"/>
        <v>Sin descuento</v>
      </c>
      <c r="AM175" s="102" t="str">
        <f>IF(SUMPRODUCT(--ISNUMBER(SEARCH({"0","1","2","3","4","5","6","7","8","9","favorit","maquillaje","piel","cabello","productos","belleza","regalo"},E175)))&gt;0,"Sí","No")</f>
        <v>Sí</v>
      </c>
      <c r="AN175" s="102" t="str">
        <f>IF(SUMPRODUCT(--ISNUMBER(SEARCH({"lo que tenemos","estas ofertas","algo especial","ofertas únicas","que preparamos","no te quedes","echa un vistazo"},F175)))&gt;0,"Sí","No")</f>
        <v>No</v>
      </c>
      <c r="AO175" s="102">
        <f t="shared" si="68"/>
        <v>63</v>
      </c>
      <c r="AP175" s="102">
        <f t="shared" si="69"/>
        <v>10</v>
      </c>
      <c r="AQ175" s="102">
        <f>SUMPRODUCT(LEN(E175)-LEN(SUBSTITUTE(E175,{"!","¡","?","¿",":",",",".","%","·","-",";"},"")))</f>
        <v>2</v>
      </c>
      <c r="AR175" s="102" t="str">
        <f t="shared" si="70"/>
        <v>No</v>
      </c>
      <c r="AS175" s="102" t="str">
        <f t="shared" si="71"/>
        <v>No</v>
      </c>
      <c r="AT175" s="102" t="str">
        <f>IF(SUMPRODUCT(--ISNUMBER(FIND({"0","1","2","3","4","5","6","7","8","9"},E175)))&gt;0,"Con cifra concreta",IF(OR(ISNUMBER(FIND("?",E175)),ISNUMBER(FIND("¿",E175))),"Pregunta abierta",IF(SUMPRODUCT(--ISNUMBER(SEARCH({" hoy ","horas","tiempo limitado","antes de que","se acab","se agot","finalic","última oportunidad","oportunidad única","relámpago","express","no esperes","no volver","no parpadees"," ya ","últimas horas","últimas unidades"," ahora "},AF175)))&gt;0,"Solo urgencia, sin cifra",IF(SUMPRODUCT(--ISNUMBER(SEARCH({"recompensa","sorpresa","regalo","lealtad","detalle","gracias","pensamos en ti","para ti"},E175)))&gt;0,"Recompensa o sorpresa","Otro: beneficio o novedad"))))</f>
        <v>Otro: beneficio o novedad</v>
      </c>
    </row>
    <row r="176" spans="1:46" x14ac:dyDescent="0.2">
      <c r="A176" s="104" t="s">
        <v>1047</v>
      </c>
      <c r="B176" s="104" t="s">
        <v>279</v>
      </c>
      <c r="C176" s="104" t="s">
        <v>976</v>
      </c>
      <c r="D176" s="104" t="s">
        <v>751</v>
      </c>
      <c r="E176" s="104" t="s">
        <v>463</v>
      </c>
      <c r="F176" s="104" t="s">
        <v>464</v>
      </c>
      <c r="G176" s="105">
        <v>285771</v>
      </c>
      <c r="H176" s="105">
        <v>124707</v>
      </c>
      <c r="I176" s="105">
        <v>14341</v>
      </c>
      <c r="J176" s="106">
        <v>8.26</v>
      </c>
      <c r="K176" s="106">
        <v>3.37</v>
      </c>
      <c r="L176" s="107">
        <v>26677.37</v>
      </c>
      <c r="M176" s="108">
        <f t="shared" si="48"/>
        <v>43.638787700641423</v>
      </c>
      <c r="N176" s="108">
        <f t="shared" si="49"/>
        <v>5.0183538567594335</v>
      </c>
      <c r="O176" s="108">
        <f t="shared" si="50"/>
        <v>11.499755426720231</v>
      </c>
      <c r="P176" s="108">
        <f t="shared" si="51"/>
        <v>93.352264575481769</v>
      </c>
      <c r="Q176" s="108">
        <f t="shared" si="52"/>
        <v>33.412775116147934</v>
      </c>
      <c r="R176" s="108">
        <f t="shared" si="53"/>
        <v>27.75136451093497</v>
      </c>
      <c r="S176" s="101">
        <f t="shared" si="54"/>
        <v>45892</v>
      </c>
      <c r="T176" s="102" t="str">
        <f t="shared" si="55"/>
        <v>Agosto</v>
      </c>
      <c r="U176" s="102" t="str">
        <f t="shared" si="56"/>
        <v>Sábado</v>
      </c>
      <c r="V176" s="102">
        <f t="shared" si="57"/>
        <v>11</v>
      </c>
      <c r="W176" s="102" t="str">
        <f t="shared" si="58"/>
        <v>Resto del mes</v>
      </c>
      <c r="X176" s="102">
        <f t="shared" si="59"/>
        <v>25</v>
      </c>
      <c r="Y176" s="102" t="str">
        <f t="shared" si="60"/>
        <v>Sí</v>
      </c>
      <c r="Z176" s="102" t="str">
        <f>CHOOSE(MATCH(B176,{"Customer Appreciation","Exclusive Offers","Flash Sale","Holiday Discounts","New Product Launch","Newsletter"},0),"Fidelizar","Vender","Vender","Vender","Lanzar","Educar")</f>
        <v>Educar</v>
      </c>
      <c r="AA176" s="102" t="str">
        <f t="shared" si="61"/>
        <v>200 a 300 mil</v>
      </c>
      <c r="AB176" s="102">
        <f>COUNTIFS($E$5:$E$493,E176,$S$5:$S$493,"&lt;"&amp;S176)+COUNTIFS($E$5:E176,E176,$S$5:S176,S176)</f>
        <v>8</v>
      </c>
      <c r="AC176" s="102">
        <f t="shared" si="62"/>
        <v>25</v>
      </c>
      <c r="AD176" s="102" t="str">
        <f t="shared" si="63"/>
        <v>Primer tercio</v>
      </c>
      <c r="AE176" s="103">
        <f t="shared" si="64"/>
        <v>10.226012584493489</v>
      </c>
      <c r="AF176" s="102" t="str">
        <f t="shared" si="65"/>
        <v xml:space="preserve"> tu dosis de belleza   no te lo pierdas  tips y trucos </v>
      </c>
      <c r="AG176" s="102" t="str">
        <f t="shared" si="66"/>
        <v xml:space="preserve"> consejos expertos  tendencias y más en tu bandeja de entrada   descúbrelo  </v>
      </c>
      <c r="AH176" s="102" t="str">
        <f>IF(SUMPRODUCT(--(LEFT(IF(LEFT(LOWER(E176),1)="¡",MID(LOWER(E176),2,300),LOWER(E176)),LEN({"actualizaci","el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176" s="102" t="str">
        <f>IF(OR(SUMPRODUCT(--ISNUMBER(SEARCH({"descuento","oferta","ahorr","precio"," sale ","flash","deals"},AF176)))&gt;0,SUMPRODUCT(--ISNUMBER(SEARCH({"descuento","oferta","ahorr","precio"," sale ","flash","deals"},AG176)))&gt;0),"Sí","No")</f>
        <v>No</v>
      </c>
      <c r="AJ176" s="102" t="str">
        <f>IF(SUMPRODUCT(--ISNUMBER(SEARCH({" hoy ","horas","tiempo limitado","antes de que","se acab","se agot","finalic","última oportunidad","oportunidad única","relámpago","express","no esperes","no volver","no parpadees"},AF176)))&gt;0,"Sí","No")</f>
        <v>No</v>
      </c>
      <c r="AK176" s="102" t="str">
        <f>IF(SUMPRODUCT(--ISNUMBER(SEARCH({" hoy ","horas","tiempo limitado","antes de que","se acab","se agot","finalic","última oportunidad","oportunidad única","relámpago","express","no esperes","no volver","no parpadees"},AG176)))&gt;0,"Sí","No")</f>
        <v>No</v>
      </c>
      <c r="AL176" s="102" t="str">
        <f t="shared" si="67"/>
        <v>Sin descuento</v>
      </c>
      <c r="AM176" s="102" t="str">
        <f>IF(SUMPRODUCT(--ISNUMBER(SEARCH({"0","1","2","3","4","5","6","7","8","9","favorit","maquillaje","piel","cabello","productos","belleza","regalo"},E176)))&gt;0,"Sí","No")</f>
        <v>Sí</v>
      </c>
      <c r="AN176" s="102" t="str">
        <f>IF(SUMPRODUCT(--ISNUMBER(SEARCH({"lo que tenemos","estas ofertas","algo especial","ofertas únicas","que preparamos","no te quedes","echa un vistazo"},F176)))&gt;0,"Sí","No")</f>
        <v>No</v>
      </c>
      <c r="AO176" s="102">
        <f t="shared" si="68"/>
        <v>53</v>
      </c>
      <c r="AP176" s="102">
        <f t="shared" si="69"/>
        <v>11</v>
      </c>
      <c r="AQ176" s="102">
        <f>SUMPRODUCT(LEN(E176)-LEN(SUBSTITUTE(E176,{"!","¡","?","¿",":",",",".","%","·","-",";"},"")))</f>
        <v>3</v>
      </c>
      <c r="AR176" s="102" t="str">
        <f t="shared" si="70"/>
        <v>No</v>
      </c>
      <c r="AS176" s="102" t="str">
        <f t="shared" si="71"/>
        <v>No</v>
      </c>
      <c r="AT176" s="102" t="str">
        <f>IF(SUMPRODUCT(--ISNUMBER(FIND({"0","1","2","3","4","5","6","7","8","9"},E176)))&gt;0,"Con cifra concreta",IF(OR(ISNUMBER(FIND("?",E176)),ISNUMBER(FIND("¿",E176))),"Pregunta abierta",IF(SUMPRODUCT(--ISNUMBER(SEARCH({" hoy ","horas","tiempo limitado","antes de que","se acab","se agot","finalic","última oportunidad","oportunidad única","relámpago","express","no esperes","no volver","no parpadees"," ya ","últimas horas","últimas unidades"," ahora "},AF176)))&gt;0,"Solo urgencia, sin cifra",IF(SUMPRODUCT(--ISNUMBER(SEARCH({"recompensa","sorpresa","regalo","lealtad","detalle","gracias","pensamos en ti","para ti"},E176)))&gt;0,"Recompensa o sorpresa","Otro: beneficio o novedad"))))</f>
        <v>Otro: beneficio o novedad</v>
      </c>
    </row>
    <row r="177" spans="1:46" x14ac:dyDescent="0.2">
      <c r="A177" s="96" t="s">
        <v>1048</v>
      </c>
      <c r="B177" s="96" t="s">
        <v>276</v>
      </c>
      <c r="C177" s="96" t="s">
        <v>742</v>
      </c>
      <c r="D177" s="96" t="s">
        <v>702</v>
      </c>
      <c r="E177" s="96" t="s">
        <v>474</v>
      </c>
      <c r="F177" s="96" t="s">
        <v>475</v>
      </c>
      <c r="G177" s="97">
        <v>356386</v>
      </c>
      <c r="H177" s="97">
        <v>94269</v>
      </c>
      <c r="I177" s="97">
        <v>44665</v>
      </c>
      <c r="J177" s="98">
        <v>8.36</v>
      </c>
      <c r="K177" s="98">
        <v>1.39</v>
      </c>
      <c r="L177" s="99">
        <v>80467.539999999994</v>
      </c>
      <c r="M177" s="100">
        <f t="shared" si="48"/>
        <v>26.451375755501054</v>
      </c>
      <c r="N177" s="100">
        <f t="shared" si="49"/>
        <v>12.532759423770855</v>
      </c>
      <c r="O177" s="100">
        <f t="shared" si="50"/>
        <v>47.380368944191616</v>
      </c>
      <c r="P177" s="100">
        <f t="shared" si="51"/>
        <v>225.78760108421767</v>
      </c>
      <c r="Q177" s="100">
        <f t="shared" si="52"/>
        <v>22.775066640377752</v>
      </c>
      <c r="R177" s="100">
        <f t="shared" si="53"/>
        <v>29.440902453236173</v>
      </c>
      <c r="S177" s="101">
        <f t="shared" si="54"/>
        <v>45948</v>
      </c>
      <c r="T177" s="102" t="str">
        <f t="shared" si="55"/>
        <v>Octubre</v>
      </c>
      <c r="U177" s="102" t="str">
        <f t="shared" si="56"/>
        <v>Sábado</v>
      </c>
      <c r="V177" s="102">
        <f t="shared" si="57"/>
        <v>16</v>
      </c>
      <c r="W177" s="102" t="str">
        <f t="shared" si="58"/>
        <v>Días después del pago</v>
      </c>
      <c r="X177" s="102">
        <f t="shared" si="59"/>
        <v>27</v>
      </c>
      <c r="Y177" s="102" t="str">
        <f t="shared" si="60"/>
        <v>Sí</v>
      </c>
      <c r="Z177" s="102" t="str">
        <f>CHOOSE(MATCH(B177,{"Customer Appreciation","Exclusive Offers","Flash Sale","Holiday Discounts","New Product Launch","Newsletter"},0),"Fidelizar","Vender","Vender","Vender","Lanzar","Educar")</f>
        <v>Vender</v>
      </c>
      <c r="AA177" s="102" t="str">
        <f t="shared" si="61"/>
        <v>300 a 400 mil</v>
      </c>
      <c r="AB177" s="102">
        <f>COUNTIFS($E$5:$E$493,E177,$S$5:$S$493,"&lt;"&amp;S177)+COUNTIFS($E$5:E177,E177,$S$5:S177,S177)</f>
        <v>18</v>
      </c>
      <c r="AC177" s="102">
        <f t="shared" si="62"/>
        <v>20</v>
      </c>
      <c r="AD177" s="102" t="str">
        <f t="shared" si="63"/>
        <v>Último tercio</v>
      </c>
      <c r="AE177" s="103">
        <f t="shared" si="64"/>
        <v>3.6763091151233027</v>
      </c>
      <c r="AF177" s="102" t="str">
        <f t="shared" si="65"/>
        <v xml:space="preserve">  aprovecha antes de que se acabe  oferta flash  productos top </v>
      </c>
      <c r="AG177" s="102" t="str">
        <f t="shared" si="66"/>
        <v xml:space="preserve"> grandes descuentos por tiempo limitado   no te lo pierdas  </v>
      </c>
      <c r="AH177" s="102" t="str">
        <f>IF(SUMPRODUCT(--(LEFT(IF(LEFT(LOWER(E177),1)="¡",MID(LOWER(E177),2,300),LOWER(E177)),LEN({"actualizaci","el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177" s="102" t="str">
        <f>IF(OR(SUMPRODUCT(--ISNUMBER(SEARCH({"descuento","oferta","ahorr","precio"," sale ","flash","deals"},AF177)))&gt;0,SUMPRODUCT(--ISNUMBER(SEARCH({"descuento","oferta","ahorr","precio"," sale ","flash","deals"},AG177)))&gt;0),"Sí","No")</f>
        <v>Sí</v>
      </c>
      <c r="AJ177" s="102" t="str">
        <f>IF(SUMPRODUCT(--ISNUMBER(SEARCH({" hoy ","horas","tiempo limitado","antes de que","se acab","se agot","finalic","última oportunidad","oportunidad única","relámpago","express","no esperes","no volver","no parpadees"},AF177)))&gt;0,"Sí","No")</f>
        <v>Sí</v>
      </c>
      <c r="AK177" s="102" t="str">
        <f>IF(SUMPRODUCT(--ISNUMBER(SEARCH({" hoy ","horas","tiempo limitado","antes de que","se acab","se agot","finalic","última oportunidad","oportunidad única","relámpago","express","no esperes","no volver","no parpadees"},AG177)))&gt;0,"Sí","No")</f>
        <v>Sí</v>
      </c>
      <c r="AL177" s="102" t="str">
        <f t="shared" si="67"/>
        <v>Descuento con tiempo límite en el asunto</v>
      </c>
      <c r="AM177" s="102" t="str">
        <f>IF(SUMPRODUCT(--ISNUMBER(SEARCH({"0","1","2","3","4","5","6","7","8","9","favorit","maquillaje","piel","cabello","productos","belleza","regalo"},E177)))&gt;0,"Sí","No")</f>
        <v>Sí</v>
      </c>
      <c r="AN177" s="102" t="str">
        <f>IF(SUMPRODUCT(--ISNUMBER(SEARCH({"lo que tenemos","estas ofertas","algo especial","ofertas únicas","que preparamos","no te quedes","echa un vistazo"},F177)))&gt;0,"Sí","No")</f>
        <v>No</v>
      </c>
      <c r="AO177" s="102">
        <f t="shared" si="68"/>
        <v>61</v>
      </c>
      <c r="AP177" s="102">
        <f t="shared" si="69"/>
        <v>10</v>
      </c>
      <c r="AQ177" s="102">
        <f>SUMPRODUCT(LEN(E177)-LEN(SUBSTITUTE(E177,{"!","¡","?","¿",":",",",".","%","·","-",";"},"")))</f>
        <v>3</v>
      </c>
      <c r="AR177" s="102" t="str">
        <f t="shared" si="70"/>
        <v>No</v>
      </c>
      <c r="AS177" s="102" t="str">
        <f t="shared" si="71"/>
        <v>No</v>
      </c>
      <c r="AT177" s="102" t="str">
        <f>IF(SUMPRODUCT(--ISNUMBER(FIND({"0","1","2","3","4","5","6","7","8","9"},E177)))&gt;0,"Con cifra concreta",IF(OR(ISNUMBER(FIND("?",E177)),ISNUMBER(FIND("¿",E177))),"Pregunta abierta",IF(SUMPRODUCT(--ISNUMBER(SEARCH({" hoy ","horas","tiempo limitado","antes de que","se acab","se agot","finalic","última oportunidad","oportunidad única","relámpago","express","no esperes","no volver","no parpadees"," ya ","últimas horas","últimas unidades"," ahora "},AF177)))&gt;0,"Solo urgencia, sin cifra",IF(SUMPRODUCT(--ISNUMBER(SEARCH({"recompensa","sorpresa","regalo","lealtad","detalle","gracias","pensamos en ti","para ti"},E177)))&gt;0,"Recompensa o sorpresa","Otro: beneficio o novedad"))))</f>
        <v>Solo urgencia, sin cifra</v>
      </c>
    </row>
    <row r="178" spans="1:46" x14ac:dyDescent="0.2">
      <c r="A178" s="104" t="s">
        <v>1049</v>
      </c>
      <c r="B178" s="104" t="s">
        <v>278</v>
      </c>
      <c r="C178" s="104" t="s">
        <v>773</v>
      </c>
      <c r="D178" s="104" t="s">
        <v>707</v>
      </c>
      <c r="E178" s="104" t="s">
        <v>467</v>
      </c>
      <c r="F178" s="104" t="s">
        <v>468</v>
      </c>
      <c r="G178" s="105">
        <v>93661</v>
      </c>
      <c r="H178" s="105">
        <v>32729</v>
      </c>
      <c r="I178" s="105">
        <v>10762</v>
      </c>
      <c r="J178" s="106">
        <v>5.92</v>
      </c>
      <c r="K178" s="106">
        <v>4.9400000000000004</v>
      </c>
      <c r="L178" s="107">
        <v>71424.98</v>
      </c>
      <c r="M178" s="108">
        <f t="shared" si="48"/>
        <v>34.944106938853956</v>
      </c>
      <c r="N178" s="108">
        <f t="shared" si="49"/>
        <v>11.490374862536168</v>
      </c>
      <c r="O178" s="108">
        <f t="shared" si="50"/>
        <v>32.882153441901679</v>
      </c>
      <c r="P178" s="108">
        <f t="shared" si="51"/>
        <v>762.59040582526336</v>
      </c>
      <c r="Q178" s="108">
        <f t="shared" si="52"/>
        <v>30.93688234168668</v>
      </c>
      <c r="R178" s="108">
        <f t="shared" si="53"/>
        <v>29.458247936272421</v>
      </c>
      <c r="S178" s="101">
        <f t="shared" si="54"/>
        <v>45909</v>
      </c>
      <c r="T178" s="102" t="str">
        <f t="shared" si="55"/>
        <v>Septiembre</v>
      </c>
      <c r="U178" s="102" t="str">
        <f t="shared" si="56"/>
        <v>Martes</v>
      </c>
      <c r="V178" s="102">
        <f t="shared" si="57"/>
        <v>13</v>
      </c>
      <c r="W178" s="102" t="str">
        <f t="shared" si="58"/>
        <v>Resto del mes</v>
      </c>
      <c r="X178" s="102">
        <f t="shared" si="59"/>
        <v>28</v>
      </c>
      <c r="Y178" s="102" t="str">
        <f t="shared" si="60"/>
        <v>Sí</v>
      </c>
      <c r="Z178" s="102" t="str">
        <f>CHOOSE(MATCH(B178,{"Customer Appreciation","Exclusive Offers","Flash Sale","Holiday Discounts","New Product Launch","Newsletter"},0),"Fidelizar","Vender","Vender","Vender","Lanzar","Educar")</f>
        <v>Lanzar</v>
      </c>
      <c r="AA178" s="102" t="str">
        <f t="shared" si="61"/>
        <v>Menos de 100 mil</v>
      </c>
      <c r="AB178" s="102">
        <f>COUNTIFS($E$5:$E$493,E178,$S$5:$S$493,"&lt;"&amp;S178)+COUNTIFS($E$5:E178,E178,$S$5:S178,S178)</f>
        <v>15</v>
      </c>
      <c r="AC178" s="102">
        <f t="shared" si="62"/>
        <v>22</v>
      </c>
      <c r="AD178" s="102" t="str">
        <f t="shared" si="63"/>
        <v>Último tercio</v>
      </c>
      <c r="AE178" s="103">
        <f t="shared" si="64"/>
        <v>4.0072245971672764</v>
      </c>
      <c r="AF178" s="102" t="str">
        <f t="shared" si="65"/>
        <v xml:space="preserve">  lo nuevo de l'oréal  te va a encantar  innovación en belleza </v>
      </c>
      <c r="AG178" s="102" t="str">
        <f t="shared" si="66"/>
        <v xml:space="preserve"> prepárate para experimentar la innovación en tu belleza   descúbrela  </v>
      </c>
      <c r="AH178" s="102" t="str">
        <f>IF(SUMPRODUCT(--(LEFT(IF(LEFT(LOWER(E178),1)="¡",MID(LOWER(E178),2,300),LOWER(E178)),LEN({"actualizaci","el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178" s="102" t="str">
        <f>IF(OR(SUMPRODUCT(--ISNUMBER(SEARCH({"descuento","oferta","ahorr","precio"," sale ","flash","deals"},AF178)))&gt;0,SUMPRODUCT(--ISNUMBER(SEARCH({"descuento","oferta","ahorr","precio"," sale ","flash","deals"},AG178)))&gt;0),"Sí","No")</f>
        <v>No</v>
      </c>
      <c r="AJ178" s="102" t="str">
        <f>IF(SUMPRODUCT(--ISNUMBER(SEARCH({" hoy ","horas","tiempo limitado","antes de que","se acab","se agot","finalic","última oportunidad","oportunidad única","relámpago","express","no esperes","no volver","no parpadees"},AF178)))&gt;0,"Sí","No")</f>
        <v>No</v>
      </c>
      <c r="AK178" s="102" t="str">
        <f>IF(SUMPRODUCT(--ISNUMBER(SEARCH({" hoy ","horas","tiempo limitado","antes de que","se acab","se agot","finalic","última oportunidad","oportunidad única","relámpago","express","no esperes","no volver","no parpadees"},AG178)))&gt;0,"Sí","No")</f>
        <v>No</v>
      </c>
      <c r="AL178" s="102" t="str">
        <f t="shared" si="67"/>
        <v>Sin descuento</v>
      </c>
      <c r="AM178" s="102" t="str">
        <f>IF(SUMPRODUCT(--ISNUMBER(SEARCH({"0","1","2","3","4","5","6","7","8","9","favorit","maquillaje","piel","cabello","productos","belleza","regalo"},E178)))&gt;0,"Sí","No")</f>
        <v>Sí</v>
      </c>
      <c r="AN178" s="102" t="str">
        <f>IF(SUMPRODUCT(--ISNUMBER(SEARCH({"lo que tenemos","estas ofertas","algo especial","ofertas únicas","que preparamos","no te quedes","echa un vistazo"},F178)))&gt;0,"Sí","No")</f>
        <v>No</v>
      </c>
      <c r="AO178" s="102">
        <f t="shared" si="68"/>
        <v>61</v>
      </c>
      <c r="AP178" s="102">
        <f t="shared" si="69"/>
        <v>11</v>
      </c>
      <c r="AQ178" s="102">
        <f>SUMPRODUCT(LEN(E178)-LEN(SUBSTITUTE(E178,{"!","¡","?","¿",":",",",".","%","·","-",";"},"")))</f>
        <v>3</v>
      </c>
      <c r="AR178" s="102" t="str">
        <f t="shared" si="70"/>
        <v>No</v>
      </c>
      <c r="AS178" s="102" t="str">
        <f t="shared" si="71"/>
        <v>No</v>
      </c>
      <c r="AT178" s="102" t="str">
        <f>IF(SUMPRODUCT(--ISNUMBER(FIND({"0","1","2","3","4","5","6","7","8","9"},E178)))&gt;0,"Con cifra concreta",IF(OR(ISNUMBER(FIND("?",E178)),ISNUMBER(FIND("¿",E178))),"Pregunta abierta",IF(SUMPRODUCT(--ISNUMBER(SEARCH({" hoy ","horas","tiempo limitado","antes de que","se acab","se agot","finalic","última oportunidad","oportunidad única","relámpago","express","no esperes","no volver","no parpadees"," ya ","últimas horas","últimas unidades"," ahora "},AF178)))&gt;0,"Solo urgencia, sin cifra",IF(SUMPRODUCT(--ISNUMBER(SEARCH({"recompensa","sorpresa","regalo","lealtad","detalle","gracias","pensamos en ti","para ti"},E178)))&gt;0,"Recompensa o sorpresa","Otro: beneficio o novedad"))))</f>
        <v>Otro: beneficio o novedad</v>
      </c>
    </row>
    <row r="179" spans="1:46" x14ac:dyDescent="0.2">
      <c r="A179" s="96" t="s">
        <v>1050</v>
      </c>
      <c r="B179" s="96" t="s">
        <v>275</v>
      </c>
      <c r="C179" s="96" t="s">
        <v>869</v>
      </c>
      <c r="D179" s="96" t="s">
        <v>821</v>
      </c>
      <c r="E179" s="96" t="s">
        <v>465</v>
      </c>
      <c r="F179" s="96" t="s">
        <v>466</v>
      </c>
      <c r="G179" s="97">
        <v>260519</v>
      </c>
      <c r="H179" s="97">
        <v>81013</v>
      </c>
      <c r="I179" s="97">
        <v>13547</v>
      </c>
      <c r="J179" s="98">
        <v>4.42</v>
      </c>
      <c r="K179" s="98">
        <v>1.78</v>
      </c>
      <c r="L179" s="99">
        <v>16440.78</v>
      </c>
      <c r="M179" s="100">
        <f t="shared" si="48"/>
        <v>31.096772212391421</v>
      </c>
      <c r="N179" s="100">
        <f t="shared" si="49"/>
        <v>5.2000046061899514</v>
      </c>
      <c r="O179" s="100">
        <f t="shared" si="50"/>
        <v>16.722007579030524</v>
      </c>
      <c r="P179" s="100">
        <f t="shared" si="51"/>
        <v>63.107796360342235</v>
      </c>
      <c r="Q179" s="100">
        <f t="shared" si="52"/>
        <v>33.047230763392911</v>
      </c>
      <c r="R179" s="100">
        <f t="shared" si="53"/>
        <v>27.021447627328243</v>
      </c>
      <c r="S179" s="101">
        <f t="shared" si="54"/>
        <v>45917</v>
      </c>
      <c r="T179" s="102" t="str">
        <f t="shared" si="55"/>
        <v>Septiembre</v>
      </c>
      <c r="U179" s="102" t="str">
        <f t="shared" si="56"/>
        <v>Miércoles</v>
      </c>
      <c r="V179" s="102">
        <f t="shared" si="57"/>
        <v>8</v>
      </c>
      <c r="W179" s="102" t="str">
        <f t="shared" si="58"/>
        <v>Días después del pago</v>
      </c>
      <c r="X179" s="102">
        <f t="shared" si="59"/>
        <v>26</v>
      </c>
      <c r="Y179" s="102" t="str">
        <f t="shared" si="60"/>
        <v>Sí</v>
      </c>
      <c r="Z179" s="102" t="str">
        <f>CHOOSE(MATCH(B179,{"Customer Appreciation","Exclusive Offers","Flash Sale","Holiday Discounts","New Product Launch","Newsletter"},0),"Fidelizar","Vender","Vender","Vender","Lanzar","Educar")</f>
        <v>Vender</v>
      </c>
      <c r="AA179" s="102" t="str">
        <f t="shared" si="61"/>
        <v>200 a 300 mil</v>
      </c>
      <c r="AB179" s="102">
        <f>COUNTIFS($E$5:$E$493,E179,$S$5:$S$493,"&lt;"&amp;S179)+COUNTIFS($E$5:E179,E179,$S$5:S179,S179)</f>
        <v>12</v>
      </c>
      <c r="AC179" s="102">
        <f t="shared" si="62"/>
        <v>22</v>
      </c>
      <c r="AD179" s="102" t="str">
        <f t="shared" si="63"/>
        <v>Medio</v>
      </c>
      <c r="AE179" s="103">
        <f t="shared" si="64"/>
        <v>-1.9504585510014891</v>
      </c>
      <c r="AF179" s="102" t="str">
        <f t="shared" si="65"/>
        <v xml:space="preserve">  ofertas exclusivas  solo para nuestra comunidad vip </v>
      </c>
      <c r="AG179" s="102" t="str">
        <f t="shared" si="66"/>
        <v xml:space="preserve"> productos premium con descuentos únicos   acceso limitado  </v>
      </c>
      <c r="AH179" s="102" t="str">
        <f>IF(SUMPRODUCT(--(LEFT(IF(LEFT(LOWER(E179),1)="¡",MID(LOWER(E179),2,300),LOWER(E179)),LEN({"actualizaci","el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179" s="102" t="str">
        <f>IF(OR(SUMPRODUCT(--ISNUMBER(SEARCH({"descuento","oferta","ahorr","precio"," sale ","flash","deals"},AF179)))&gt;0,SUMPRODUCT(--ISNUMBER(SEARCH({"descuento","oferta","ahorr","precio"," sale ","flash","deals"},AG179)))&gt;0),"Sí","No")</f>
        <v>Sí</v>
      </c>
      <c r="AJ179" s="102" t="str">
        <f>IF(SUMPRODUCT(--ISNUMBER(SEARCH({" hoy ","horas","tiempo limitado","antes de que","se acab","se agot","finalic","última oportunidad","oportunidad única","relámpago","express","no esperes","no volver","no parpadees"},AF179)))&gt;0,"Sí","No")</f>
        <v>No</v>
      </c>
      <c r="AK179" s="102" t="str">
        <f>IF(SUMPRODUCT(--ISNUMBER(SEARCH({" hoy ","horas","tiempo limitado","antes de que","se acab","se agot","finalic","última oportunidad","oportunidad única","relámpago","express","no esperes","no volver","no parpadees"},AG179)))&gt;0,"Sí","No")</f>
        <v>No</v>
      </c>
      <c r="AL179" s="102" t="str">
        <f t="shared" si="67"/>
        <v>Descuento sin tiempo límite</v>
      </c>
      <c r="AM179" s="102" t="str">
        <f>IF(SUMPRODUCT(--ISNUMBER(SEARCH({"0","1","2","3","4","5","6","7","8","9","favorit","maquillaje","piel","cabello","productos","belleza","regalo"},E179)))&gt;0,"Sí","No")</f>
        <v>No</v>
      </c>
      <c r="AN179" s="102" t="str">
        <f>IF(SUMPRODUCT(--ISNUMBER(SEARCH({"lo que tenemos","estas ofertas","algo especial","ofertas únicas","que preparamos","no te quedes","echa un vistazo"},F179)))&gt;0,"Sí","No")</f>
        <v>No</v>
      </c>
      <c r="AO179" s="102">
        <f t="shared" si="68"/>
        <v>52</v>
      </c>
      <c r="AP179" s="102">
        <f t="shared" si="69"/>
        <v>7</v>
      </c>
      <c r="AQ179" s="102">
        <f>SUMPRODUCT(LEN(E179)-LEN(SUBSTITUTE(E179,{"!","¡","?","¿",":",",",".","%","·","-",";"},"")))</f>
        <v>2</v>
      </c>
      <c r="AR179" s="102" t="str">
        <f t="shared" si="70"/>
        <v>Sí</v>
      </c>
      <c r="AS179" s="102" t="str">
        <f t="shared" si="71"/>
        <v>No</v>
      </c>
      <c r="AT179" s="102" t="str">
        <f>IF(SUMPRODUCT(--ISNUMBER(FIND({"0","1","2","3","4","5","6","7","8","9"},E179)))&gt;0,"Con cifra concreta",IF(OR(ISNUMBER(FIND("?",E179)),ISNUMBER(FIND("¿",E179))),"Pregunta abierta",IF(SUMPRODUCT(--ISNUMBER(SEARCH({" hoy ","horas","tiempo limitado","antes de que","se acab","se agot","finalic","última oportunidad","oportunidad única","relámpago","express","no esperes","no volver","no parpadees"," ya ","últimas horas","últimas unidades"," ahora "},AF179)))&gt;0,"Solo urgencia, sin cifra",IF(SUMPRODUCT(--ISNUMBER(SEARCH({"recompensa","sorpresa","regalo","lealtad","detalle","gracias","pensamos en ti","para ti"},E179)))&gt;0,"Recompensa o sorpresa","Otro: beneficio o novedad"))))</f>
        <v>Otro: beneficio o novedad</v>
      </c>
    </row>
    <row r="180" spans="1:46" x14ac:dyDescent="0.2">
      <c r="A180" s="104" t="s">
        <v>1051</v>
      </c>
      <c r="B180" s="104" t="s">
        <v>274</v>
      </c>
      <c r="C180" s="104" t="s">
        <v>928</v>
      </c>
      <c r="D180" s="104" t="s">
        <v>715</v>
      </c>
      <c r="E180" s="104" t="s">
        <v>371</v>
      </c>
      <c r="F180" s="104" t="s">
        <v>452</v>
      </c>
      <c r="G180" s="105">
        <v>188096</v>
      </c>
      <c r="H180" s="105">
        <v>80860</v>
      </c>
      <c r="I180" s="105">
        <v>25920</v>
      </c>
      <c r="J180" s="106">
        <v>7.35</v>
      </c>
      <c r="K180" s="106">
        <v>3.78</v>
      </c>
      <c r="L180" s="107">
        <v>43224.3</v>
      </c>
      <c r="M180" s="108">
        <f t="shared" si="48"/>
        <v>42.988686628104801</v>
      </c>
      <c r="N180" s="108">
        <f t="shared" si="49"/>
        <v>13.780197346036067</v>
      </c>
      <c r="O180" s="108">
        <f t="shared" si="50"/>
        <v>32.055404402671286</v>
      </c>
      <c r="P180" s="108">
        <f t="shared" si="51"/>
        <v>229.7991451173869</v>
      </c>
      <c r="Q180" s="108">
        <f t="shared" si="52"/>
        <v>40.72142758959253</v>
      </c>
      <c r="R180" s="108">
        <f t="shared" si="53"/>
        <v>31.113650744455075</v>
      </c>
      <c r="S180" s="101">
        <f t="shared" si="54"/>
        <v>45883</v>
      </c>
      <c r="T180" s="102" t="str">
        <f t="shared" si="55"/>
        <v>Agosto</v>
      </c>
      <c r="U180" s="102" t="str">
        <f t="shared" si="56"/>
        <v>Jueves</v>
      </c>
      <c r="V180" s="102">
        <f t="shared" si="57"/>
        <v>11</v>
      </c>
      <c r="W180" s="102" t="str">
        <f t="shared" si="58"/>
        <v>Quincena</v>
      </c>
      <c r="X180" s="102">
        <f t="shared" si="59"/>
        <v>23</v>
      </c>
      <c r="Y180" s="102" t="str">
        <f t="shared" si="60"/>
        <v>Sí</v>
      </c>
      <c r="Z180" s="102" t="str">
        <f>CHOOSE(MATCH(B180,{"Customer Appreciation","Exclusive Offers","Flash Sale","Holiday Discounts","New Product Launch","Newsletter"},0),"Fidelizar","Vender","Vender","Vender","Lanzar","Educar")</f>
        <v>Fidelizar</v>
      </c>
      <c r="AA180" s="102" t="str">
        <f t="shared" si="61"/>
        <v>100 a 200 mil</v>
      </c>
      <c r="AB180" s="102">
        <f>COUNTIFS($E$5:$E$493,E180,$S$5:$S$493,"&lt;"&amp;S180)+COUNTIFS($E$5:E180,E180,$S$5:S180,S180)</f>
        <v>2</v>
      </c>
      <c r="AC180" s="102">
        <f t="shared" si="62"/>
        <v>16</v>
      </c>
      <c r="AD180" s="102" t="str">
        <f t="shared" si="63"/>
        <v>Primer tercio</v>
      </c>
      <c r="AE180" s="103">
        <f t="shared" si="64"/>
        <v>2.2672590385122717</v>
      </c>
      <c r="AF180" s="102" t="str">
        <f t="shared" si="65"/>
        <v xml:space="preserve">  tu lealtad tiene recompensa  descúbrela  sorpresas para ti </v>
      </c>
      <c r="AG180" s="102" t="str">
        <f t="shared" si="66"/>
        <v xml:space="preserve"> ofertas exclusivas para nuestros clientes más especiales   no te las pierdas  </v>
      </c>
      <c r="AH180" s="102" t="str">
        <f>IF(SUMPRODUCT(--(LEFT(IF(LEFT(LOWER(E180),1)="¡",MID(LOWER(E180),2,300),LOWER(E180)),LEN({"actualizaci","el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180" s="102" t="str">
        <f>IF(OR(SUMPRODUCT(--ISNUMBER(SEARCH({"descuento","oferta","ahorr","precio"," sale ","flash","deals"},AF180)))&gt;0,SUMPRODUCT(--ISNUMBER(SEARCH({"descuento","oferta","ahorr","precio"," sale ","flash","deals"},AG180)))&gt;0),"Sí","No")</f>
        <v>Sí</v>
      </c>
      <c r="AJ180" s="102" t="str">
        <f>IF(SUMPRODUCT(--ISNUMBER(SEARCH({" hoy ","horas","tiempo limitado","antes de que","se acab","se agot","finalic","última oportunidad","oportunidad única","relámpago","express","no esperes","no volver","no parpadees"},AF180)))&gt;0,"Sí","No")</f>
        <v>No</v>
      </c>
      <c r="AK180" s="102" t="str">
        <f>IF(SUMPRODUCT(--ISNUMBER(SEARCH({" hoy ","horas","tiempo limitado","antes de que","se acab","se agot","finalic","última oportunidad","oportunidad única","relámpago","express","no esperes","no volver","no parpadees"},AG180)))&gt;0,"Sí","No")</f>
        <v>No</v>
      </c>
      <c r="AL180" s="102" t="str">
        <f t="shared" si="67"/>
        <v>Descuento sin tiempo límite</v>
      </c>
      <c r="AM180" s="102" t="str">
        <f>IF(SUMPRODUCT(--ISNUMBER(SEARCH({"0","1","2","3","4","5","6","7","8","9","favorit","maquillaje","piel","cabello","productos","belleza","regalo"},E180)))&gt;0,"Sí","No")</f>
        <v>No</v>
      </c>
      <c r="AN180" s="102" t="str">
        <f>IF(SUMPRODUCT(--ISNUMBER(SEARCH({"lo que tenemos","estas ofertas","algo especial","ofertas únicas","que preparamos","no te quedes","echa un vistazo"},F180)))&gt;0,"Sí","No")</f>
        <v>No</v>
      </c>
      <c r="AO180" s="102">
        <f t="shared" si="68"/>
        <v>59</v>
      </c>
      <c r="AP180" s="102">
        <f t="shared" si="69"/>
        <v>8</v>
      </c>
      <c r="AQ180" s="102">
        <f>SUMPRODUCT(LEN(E180)-LEN(SUBSTITUTE(E180,{"!","¡","?","¿",":",",",".","%","·","-",";"},"")))</f>
        <v>3</v>
      </c>
      <c r="AR180" s="102" t="str">
        <f t="shared" si="70"/>
        <v>Sí</v>
      </c>
      <c r="AS180" s="102" t="str">
        <f t="shared" si="71"/>
        <v>No</v>
      </c>
      <c r="AT180" s="102" t="str">
        <f>IF(SUMPRODUCT(--ISNUMBER(FIND({"0","1","2","3","4","5","6","7","8","9"},E180)))&gt;0,"Con cifra concreta",IF(OR(ISNUMBER(FIND("?",E180)),ISNUMBER(FIND("¿",E180))),"Pregunta abierta",IF(SUMPRODUCT(--ISNUMBER(SEARCH({" hoy ","horas","tiempo limitado","antes de que","se acab","se agot","finalic","última oportunidad","oportunidad única","relámpago","express","no esperes","no volver","no parpadees"," ya ","últimas horas","últimas unidades"," ahora "},AF180)))&gt;0,"Solo urgencia, sin cifra",IF(SUMPRODUCT(--ISNUMBER(SEARCH({"recompensa","sorpresa","regalo","lealtad","detalle","gracias","pensamos en ti","para ti"},E180)))&gt;0,"Recompensa o sorpresa","Otro: beneficio o novedad"))))</f>
        <v>Recompensa o sorpresa</v>
      </c>
    </row>
    <row r="181" spans="1:46" x14ac:dyDescent="0.2">
      <c r="A181" s="96" t="s">
        <v>1052</v>
      </c>
      <c r="B181" s="96" t="s">
        <v>277</v>
      </c>
      <c r="C181" s="96" t="s">
        <v>891</v>
      </c>
      <c r="D181" s="96" t="s">
        <v>786</v>
      </c>
      <c r="E181" s="96" t="s">
        <v>469</v>
      </c>
      <c r="F181" s="96" t="s">
        <v>470</v>
      </c>
      <c r="G181" s="97">
        <v>280236</v>
      </c>
      <c r="H181" s="97">
        <v>116548</v>
      </c>
      <c r="I181" s="97">
        <v>18524</v>
      </c>
      <c r="J181" s="98">
        <v>6.78</v>
      </c>
      <c r="K181" s="98">
        <v>4.12</v>
      </c>
      <c r="L181" s="99">
        <v>83250.009999999995</v>
      </c>
      <c r="M181" s="100">
        <f t="shared" si="48"/>
        <v>41.589231933084967</v>
      </c>
      <c r="N181" s="100">
        <f t="shared" si="49"/>
        <v>6.6101428795729316</v>
      </c>
      <c r="O181" s="100">
        <f t="shared" si="50"/>
        <v>15.893880632872293</v>
      </c>
      <c r="P181" s="100">
        <f t="shared" si="51"/>
        <v>297.07107580753359</v>
      </c>
      <c r="Q181" s="100">
        <f t="shared" si="52"/>
        <v>29.233022524783024</v>
      </c>
      <c r="R181" s="100">
        <f t="shared" si="53"/>
        <v>30.71114383300629</v>
      </c>
      <c r="S181" s="101">
        <f t="shared" si="54"/>
        <v>45888</v>
      </c>
      <c r="T181" s="102" t="str">
        <f t="shared" si="55"/>
        <v>Agosto</v>
      </c>
      <c r="U181" s="102" t="str">
        <f t="shared" si="56"/>
        <v>Martes</v>
      </c>
      <c r="V181" s="102">
        <f t="shared" si="57"/>
        <v>15</v>
      </c>
      <c r="W181" s="102" t="str">
        <f t="shared" si="58"/>
        <v>Días después del pago</v>
      </c>
      <c r="X181" s="102">
        <f t="shared" si="59"/>
        <v>29</v>
      </c>
      <c r="Y181" s="102" t="str">
        <f t="shared" si="60"/>
        <v>Sí</v>
      </c>
      <c r="Z181" s="102" t="str">
        <f>CHOOSE(MATCH(B181,{"Customer Appreciation","Exclusive Offers","Flash Sale","Holiday Discounts","New Product Launch","Newsletter"},0),"Fidelizar","Vender","Vender","Vender","Lanzar","Educar")</f>
        <v>Vender</v>
      </c>
      <c r="AA181" s="102" t="str">
        <f t="shared" si="61"/>
        <v>200 a 300 mil</v>
      </c>
      <c r="AB181" s="102">
        <f>COUNTIFS($E$5:$E$493,E181,$S$5:$S$493,"&lt;"&amp;S181)+COUNTIFS($E$5:E181,E181,$S$5:S181,S181)</f>
        <v>4</v>
      </c>
      <c r="AC181" s="102">
        <f t="shared" si="62"/>
        <v>20</v>
      </c>
      <c r="AD181" s="102" t="str">
        <f t="shared" si="63"/>
        <v>Primer tercio</v>
      </c>
      <c r="AE181" s="103">
        <f t="shared" si="64"/>
        <v>12.356209408301943</v>
      </c>
      <c r="AF181" s="102" t="str">
        <f t="shared" si="65"/>
        <v xml:space="preserve">  celebra con nosotros  descuentos festivos para regalar </v>
      </c>
      <c r="AG181" s="102" t="str">
        <f t="shared" si="66"/>
        <v xml:space="preserve"> regalos perfectos y ofertas que te encantarán   descubre más  </v>
      </c>
      <c r="AH181" s="102" t="str">
        <f>IF(SUMPRODUCT(--(LEFT(IF(LEFT(LOWER(E181),1)="¡",MID(LOWER(E181),2,300),LOWER(E181)),LEN({"actualizaci","el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181" s="102" t="str">
        <f>IF(OR(SUMPRODUCT(--ISNUMBER(SEARCH({"descuento","oferta","ahorr","precio"," sale ","flash","deals"},AF181)))&gt;0,SUMPRODUCT(--ISNUMBER(SEARCH({"descuento","oferta","ahorr","precio"," sale ","flash","deals"},AG181)))&gt;0),"Sí","No")</f>
        <v>Sí</v>
      </c>
      <c r="AJ181" s="102" t="str">
        <f>IF(SUMPRODUCT(--ISNUMBER(SEARCH({" hoy ","horas","tiempo limitado","antes de que","se acab","se agot","finalic","última oportunidad","oportunidad única","relámpago","express","no esperes","no volver","no parpadees"},AF181)))&gt;0,"Sí","No")</f>
        <v>No</v>
      </c>
      <c r="AK181" s="102" t="str">
        <f>IF(SUMPRODUCT(--ISNUMBER(SEARCH({" hoy ","horas","tiempo limitado","antes de que","se acab","se agot","finalic","última oportunidad","oportunidad única","relámpago","express","no esperes","no volver","no parpadees"},AG181)))&gt;0,"Sí","No")</f>
        <v>No</v>
      </c>
      <c r="AL181" s="102" t="str">
        <f t="shared" si="67"/>
        <v>Descuento sin tiempo límite</v>
      </c>
      <c r="AM181" s="102" t="str">
        <f>IF(SUMPRODUCT(--ISNUMBER(SEARCH({"0","1","2","3","4","5","6","7","8","9","favorit","maquillaje","piel","cabello","productos","belleza","regalo"},E181)))&gt;0,"Sí","No")</f>
        <v>No</v>
      </c>
      <c r="AN181" s="102" t="str">
        <f>IF(SUMPRODUCT(--ISNUMBER(SEARCH({"lo que tenemos","estas ofertas","algo especial","ofertas únicas","que preparamos","no te quedes","echa un vistazo"},F181)))&gt;0,"Sí","No")</f>
        <v>No</v>
      </c>
      <c r="AO181" s="102">
        <f t="shared" si="68"/>
        <v>55</v>
      </c>
      <c r="AP181" s="102">
        <f t="shared" si="69"/>
        <v>7</v>
      </c>
      <c r="AQ181" s="102">
        <f>SUMPRODUCT(LEN(E181)-LEN(SUBSTITUTE(E181,{"!","¡","?","¿",":",",",".","%","·","-",";"},"")))</f>
        <v>2</v>
      </c>
      <c r="AR181" s="102" t="str">
        <f t="shared" si="70"/>
        <v>Sí</v>
      </c>
      <c r="AS181" s="102" t="str">
        <f t="shared" si="71"/>
        <v>No</v>
      </c>
      <c r="AT181" s="102" t="str">
        <f>IF(SUMPRODUCT(--ISNUMBER(FIND({"0","1","2","3","4","5","6","7","8","9"},E181)))&gt;0,"Con cifra concreta",IF(OR(ISNUMBER(FIND("?",E181)),ISNUMBER(FIND("¿",E181))),"Pregunta abierta",IF(SUMPRODUCT(--ISNUMBER(SEARCH({" hoy ","horas","tiempo limitado","antes de que","se acab","se agot","finalic","última oportunidad","oportunidad única","relámpago","express","no esperes","no volver","no parpadees"," ya ","últimas horas","últimas unidades"," ahora "},AF181)))&gt;0,"Solo urgencia, sin cifra",IF(SUMPRODUCT(--ISNUMBER(SEARCH({"recompensa","sorpresa","regalo","lealtad","detalle","gracias","pensamos en ti","para ti"},E181)))&gt;0,"Recompensa o sorpresa","Otro: beneficio o novedad"))))</f>
        <v>Otro: beneficio o novedad</v>
      </c>
    </row>
    <row r="182" spans="1:46" x14ac:dyDescent="0.2">
      <c r="A182" s="104" t="s">
        <v>1053</v>
      </c>
      <c r="B182" s="104" t="s">
        <v>278</v>
      </c>
      <c r="C182" s="104" t="s">
        <v>915</v>
      </c>
      <c r="D182" s="104" t="s">
        <v>769</v>
      </c>
      <c r="E182" s="104" t="s">
        <v>368</v>
      </c>
      <c r="F182" s="104" t="s">
        <v>471</v>
      </c>
      <c r="G182" s="105">
        <v>201125</v>
      </c>
      <c r="H182" s="105">
        <v>47240</v>
      </c>
      <c r="I182" s="105">
        <v>14022</v>
      </c>
      <c r="J182" s="106">
        <v>3.5</v>
      </c>
      <c r="K182" s="106">
        <v>0.65</v>
      </c>
      <c r="L182" s="107">
        <v>15607.02</v>
      </c>
      <c r="M182" s="108">
        <f t="shared" si="48"/>
        <v>23.487880671224364</v>
      </c>
      <c r="N182" s="108">
        <f t="shared" si="49"/>
        <v>6.9717837165941585</v>
      </c>
      <c r="O182" s="108">
        <f t="shared" si="50"/>
        <v>29.682472480948345</v>
      </c>
      <c r="P182" s="108">
        <f t="shared" si="51"/>
        <v>77.598607830950911</v>
      </c>
      <c r="Q182" s="108">
        <f t="shared" si="52"/>
        <v>23.315840784070005</v>
      </c>
      <c r="R182" s="108">
        <f t="shared" si="53"/>
        <v>29.458247936272421</v>
      </c>
      <c r="S182" s="101">
        <f t="shared" si="54"/>
        <v>45954</v>
      </c>
      <c r="T182" s="102" t="str">
        <f t="shared" si="55"/>
        <v>Octubre</v>
      </c>
      <c r="U182" s="102" t="str">
        <f t="shared" si="56"/>
        <v>Viernes</v>
      </c>
      <c r="V182" s="102">
        <f t="shared" si="57"/>
        <v>13</v>
      </c>
      <c r="W182" s="102" t="str">
        <f t="shared" si="58"/>
        <v>Resto del mes</v>
      </c>
      <c r="X182" s="102">
        <f t="shared" si="59"/>
        <v>29</v>
      </c>
      <c r="Y182" s="102" t="str">
        <f t="shared" si="60"/>
        <v>Sí</v>
      </c>
      <c r="Z182" s="102" t="str">
        <f>CHOOSE(MATCH(B182,{"Customer Appreciation","Exclusive Offers","Flash Sale","Holiday Discounts","New Product Launch","Newsletter"},0),"Fidelizar","Vender","Vender","Vender","Lanzar","Educar")</f>
        <v>Lanzar</v>
      </c>
      <c r="AA182" s="102" t="str">
        <f t="shared" si="61"/>
        <v>200 a 300 mil</v>
      </c>
      <c r="AB182" s="102">
        <f>COUNTIFS($E$5:$E$493,E182,$S$5:$S$493,"&lt;"&amp;S182)+COUNTIFS($E$5:E182,E182,$S$5:S182,S182)</f>
        <v>28</v>
      </c>
      <c r="AC182" s="102">
        <f t="shared" si="62"/>
        <v>33</v>
      </c>
      <c r="AD182" s="102" t="str">
        <f t="shared" si="63"/>
        <v>Último tercio</v>
      </c>
      <c r="AE182" s="103">
        <f t="shared" si="64"/>
        <v>0.17203988715435869</v>
      </c>
      <c r="AF182" s="102" t="str">
        <f t="shared" si="65"/>
        <v xml:space="preserve"> presentamos  nuestro último lanzamiento de belleza  imperdible  </v>
      </c>
      <c r="AG182" s="102" t="str">
        <f t="shared" si="66"/>
        <v xml:space="preserve"> una innovación que cambiará tu rutina   sé de los primeros  </v>
      </c>
      <c r="AH182" s="102" t="str">
        <f>IF(SUMPRODUCT(--(LEFT(IF(LEFT(LOWER(E182),1)="¡",MID(LOWER(E182),2,300),LOWER(E182)),LEN({"actualizaci","el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Sí</v>
      </c>
      <c r="AI182" s="102" t="str">
        <f>IF(OR(SUMPRODUCT(--ISNUMBER(SEARCH({"descuento","oferta","ahorr","precio"," sale ","flash","deals"},AF182)))&gt;0,SUMPRODUCT(--ISNUMBER(SEARCH({"descuento","oferta","ahorr","precio"," sale ","flash","deals"},AG182)))&gt;0),"Sí","No")</f>
        <v>No</v>
      </c>
      <c r="AJ182" s="102" t="str">
        <f>IF(SUMPRODUCT(--ISNUMBER(SEARCH({" hoy ","horas","tiempo limitado","antes de que","se acab","se agot","finalic","última oportunidad","oportunidad única","relámpago","express","no esperes","no volver","no parpadees"},AF182)))&gt;0,"Sí","No")</f>
        <v>No</v>
      </c>
      <c r="AK182" s="102" t="str">
        <f>IF(SUMPRODUCT(--ISNUMBER(SEARCH({" hoy ","horas","tiempo limitado","antes de que","se acab","se agot","finalic","última oportunidad","oportunidad única","relámpago","express","no esperes","no volver","no parpadees"},AG182)))&gt;0,"Sí","No")</f>
        <v>No</v>
      </c>
      <c r="AL182" s="102" t="str">
        <f t="shared" si="67"/>
        <v>Sin descuento</v>
      </c>
      <c r="AM182" s="102" t="str">
        <f>IF(SUMPRODUCT(--ISNUMBER(SEARCH({"0","1","2","3","4","5","6","7","8","9","favorit","maquillaje","piel","cabello","productos","belleza","regalo"},E182)))&gt;0,"Sí","No")</f>
        <v>Sí</v>
      </c>
      <c r="AN182" s="102" t="str">
        <f>IF(SUMPRODUCT(--ISNUMBER(SEARCH({"lo que tenemos","estas ofertas","algo especial","ofertas únicas","que preparamos","no te quedes","echa un vistazo"},F182)))&gt;0,"Sí","No")</f>
        <v>No</v>
      </c>
      <c r="AO182" s="102">
        <f t="shared" si="68"/>
        <v>63</v>
      </c>
      <c r="AP182" s="102">
        <f t="shared" si="69"/>
        <v>7</v>
      </c>
      <c r="AQ182" s="102">
        <f>SUMPRODUCT(LEN(E182)-LEN(SUBSTITUTE(E182,{"!","¡","?","¿",":",",",".","%","·","-",";"},"")))</f>
        <v>3</v>
      </c>
      <c r="AR182" s="102" t="str">
        <f t="shared" si="70"/>
        <v>No</v>
      </c>
      <c r="AS182" s="102" t="str">
        <f t="shared" si="71"/>
        <v>No</v>
      </c>
      <c r="AT182" s="102" t="str">
        <f>IF(SUMPRODUCT(--ISNUMBER(FIND({"0","1","2","3","4","5","6","7","8","9"},E182)))&gt;0,"Con cifra concreta",IF(OR(ISNUMBER(FIND("?",E182)),ISNUMBER(FIND("¿",E182))),"Pregunta abierta",IF(SUMPRODUCT(--ISNUMBER(SEARCH({" hoy ","horas","tiempo limitado","antes de que","se acab","se agot","finalic","última oportunidad","oportunidad única","relámpago","express","no esperes","no volver","no parpadees"," ya ","últimas horas","últimas unidades"," ahora "},AF182)))&gt;0,"Solo urgencia, sin cifra",IF(SUMPRODUCT(--ISNUMBER(SEARCH({"recompensa","sorpresa","regalo","lealtad","detalle","gracias","pensamos en ti","para ti"},E182)))&gt;0,"Recompensa o sorpresa","Otro: beneficio o novedad"))))</f>
        <v>Otro: beneficio o novedad</v>
      </c>
    </row>
    <row r="183" spans="1:46" x14ac:dyDescent="0.2">
      <c r="A183" s="96" t="s">
        <v>1054</v>
      </c>
      <c r="B183" s="96" t="s">
        <v>277</v>
      </c>
      <c r="C183" s="96" t="s">
        <v>917</v>
      </c>
      <c r="D183" s="96" t="s">
        <v>774</v>
      </c>
      <c r="E183" s="96" t="s">
        <v>461</v>
      </c>
      <c r="F183" s="96" t="s">
        <v>462</v>
      </c>
      <c r="G183" s="97">
        <v>266969</v>
      </c>
      <c r="H183" s="97">
        <v>97984</v>
      </c>
      <c r="I183" s="97">
        <v>46282</v>
      </c>
      <c r="J183" s="98">
        <v>9</v>
      </c>
      <c r="K183" s="98">
        <v>4.59</v>
      </c>
      <c r="L183" s="99">
        <v>23470.68</v>
      </c>
      <c r="M183" s="100">
        <f t="shared" si="48"/>
        <v>36.702388666848961</v>
      </c>
      <c r="N183" s="100">
        <f t="shared" si="49"/>
        <v>17.336095202064659</v>
      </c>
      <c r="O183" s="100">
        <f t="shared" si="50"/>
        <v>47.234242325277599</v>
      </c>
      <c r="P183" s="100">
        <f t="shared" si="51"/>
        <v>87.915375942525159</v>
      </c>
      <c r="Q183" s="100">
        <f t="shared" si="52"/>
        <v>35.409886702202286</v>
      </c>
      <c r="R183" s="100">
        <f t="shared" si="53"/>
        <v>30.71114383300629</v>
      </c>
      <c r="S183" s="101">
        <f t="shared" si="54"/>
        <v>45916</v>
      </c>
      <c r="T183" s="102" t="str">
        <f t="shared" si="55"/>
        <v>Septiembre</v>
      </c>
      <c r="U183" s="102" t="str">
        <f t="shared" si="56"/>
        <v>Martes</v>
      </c>
      <c r="V183" s="102">
        <f t="shared" si="57"/>
        <v>11</v>
      </c>
      <c r="W183" s="102" t="str">
        <f t="shared" si="58"/>
        <v>Quincena</v>
      </c>
      <c r="X183" s="102">
        <f t="shared" si="59"/>
        <v>27</v>
      </c>
      <c r="Y183" s="102" t="str">
        <f t="shared" si="60"/>
        <v>Sí</v>
      </c>
      <c r="Z183" s="102" t="str">
        <f>CHOOSE(MATCH(B183,{"Customer Appreciation","Exclusive Offers","Flash Sale","Holiday Discounts","New Product Launch","Newsletter"},0),"Fidelizar","Vender","Vender","Vender","Lanzar","Educar")</f>
        <v>Vender</v>
      </c>
      <c r="AA183" s="102" t="str">
        <f t="shared" si="61"/>
        <v>200 a 300 mil</v>
      </c>
      <c r="AB183" s="102">
        <f>COUNTIFS($E$5:$E$493,E183,$S$5:$S$493,"&lt;"&amp;S183)+COUNTIFS($E$5:E183,E183,$S$5:S183,S183)</f>
        <v>21</v>
      </c>
      <c r="AC183" s="102">
        <f t="shared" si="62"/>
        <v>30</v>
      </c>
      <c r="AD183" s="102" t="str">
        <f t="shared" si="63"/>
        <v>Último tercio</v>
      </c>
      <c r="AE183" s="103">
        <f t="shared" si="64"/>
        <v>1.2925019646466751</v>
      </c>
      <c r="AF183" s="102" t="str">
        <f t="shared" si="65"/>
        <v xml:space="preserve">  regalos perfectos te esperan  descuentos de lujo  l'oréal </v>
      </c>
      <c r="AG183" s="102" t="str">
        <f t="shared" si="66"/>
        <v xml:space="preserve"> encuentra ese detalle especial para ti o tus seres queridos   descubre  </v>
      </c>
      <c r="AH183" s="102" t="str">
        <f>IF(SUMPRODUCT(--(LEFT(IF(LEFT(LOWER(E183),1)="¡",MID(LOWER(E183),2,300),LOWER(E183)),LEN({"actualizaci","el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183" s="102" t="str">
        <f>IF(OR(SUMPRODUCT(--ISNUMBER(SEARCH({"descuento","oferta","ahorr","precio"," sale ","flash","deals"},AF183)))&gt;0,SUMPRODUCT(--ISNUMBER(SEARCH({"descuento","oferta","ahorr","precio"," sale ","flash","deals"},AG183)))&gt;0),"Sí","No")</f>
        <v>Sí</v>
      </c>
      <c r="AJ183" s="102" t="str">
        <f>IF(SUMPRODUCT(--ISNUMBER(SEARCH({" hoy ","horas","tiempo limitado","antes de que","se acab","se agot","finalic","última oportunidad","oportunidad única","relámpago","express","no esperes","no volver","no parpadees"},AF183)))&gt;0,"Sí","No")</f>
        <v>No</v>
      </c>
      <c r="AK183" s="102" t="str">
        <f>IF(SUMPRODUCT(--ISNUMBER(SEARCH({" hoy ","horas","tiempo limitado","antes de que","se acab","se agot","finalic","última oportunidad","oportunidad única","relámpago","express","no esperes","no volver","no parpadees"},AG183)))&gt;0,"Sí","No")</f>
        <v>No</v>
      </c>
      <c r="AL183" s="102" t="str">
        <f t="shared" si="67"/>
        <v>Descuento sin tiempo límite</v>
      </c>
      <c r="AM183" s="102" t="str">
        <f>IF(SUMPRODUCT(--ISNUMBER(SEARCH({"0","1","2","3","4","5","6","7","8","9","favorit","maquillaje","piel","cabello","productos","belleza","regalo"},E183)))&gt;0,"Sí","No")</f>
        <v>Sí</v>
      </c>
      <c r="AN183" s="102" t="str">
        <f>IF(SUMPRODUCT(--ISNUMBER(SEARCH({"lo que tenemos","estas ofertas","algo especial","ofertas únicas","que preparamos","no te quedes","echa un vistazo"},F183)))&gt;0,"Sí","No")</f>
        <v>No</v>
      </c>
      <c r="AO183" s="102">
        <f t="shared" si="68"/>
        <v>58</v>
      </c>
      <c r="AP183" s="102">
        <f t="shared" si="69"/>
        <v>8</v>
      </c>
      <c r="AQ183" s="102">
        <f>SUMPRODUCT(LEN(E183)-LEN(SUBSTITUTE(E183,{"!","¡","?","¿",":",",",".","%","·","-",";"},"")))</f>
        <v>3</v>
      </c>
      <c r="AR183" s="102" t="str">
        <f t="shared" si="70"/>
        <v>Sí</v>
      </c>
      <c r="AS183" s="102" t="str">
        <f t="shared" si="71"/>
        <v>No</v>
      </c>
      <c r="AT183" s="102" t="str">
        <f>IF(SUMPRODUCT(--ISNUMBER(FIND({"0","1","2","3","4","5","6","7","8","9"},E183)))&gt;0,"Con cifra concreta",IF(OR(ISNUMBER(FIND("?",E183)),ISNUMBER(FIND("¿",E183))),"Pregunta abierta",IF(SUMPRODUCT(--ISNUMBER(SEARCH({" hoy ","horas","tiempo limitado","antes de que","se acab","se agot","finalic","última oportunidad","oportunidad única","relámpago","express","no esperes","no volver","no parpadees"," ya ","últimas horas","últimas unidades"," ahora "},AF183)))&gt;0,"Solo urgencia, sin cifra",IF(SUMPRODUCT(--ISNUMBER(SEARCH({"recompensa","sorpresa","regalo","lealtad","detalle","gracias","pensamos en ti","para ti"},E183)))&gt;0,"Recompensa o sorpresa","Otro: beneficio o novedad"))))</f>
        <v>Recompensa o sorpresa</v>
      </c>
    </row>
    <row r="184" spans="1:46" x14ac:dyDescent="0.2">
      <c r="A184" s="104" t="s">
        <v>1055</v>
      </c>
      <c r="B184" s="104" t="s">
        <v>275</v>
      </c>
      <c r="C184" s="104" t="s">
        <v>923</v>
      </c>
      <c r="D184" s="104" t="s">
        <v>729</v>
      </c>
      <c r="E184" s="104" t="s">
        <v>478</v>
      </c>
      <c r="F184" s="104" t="s">
        <v>479</v>
      </c>
      <c r="G184" s="105">
        <v>439664</v>
      </c>
      <c r="H184" s="105">
        <v>53639</v>
      </c>
      <c r="I184" s="105">
        <v>12485</v>
      </c>
      <c r="J184" s="106">
        <v>9.8699999999999992</v>
      </c>
      <c r="K184" s="106">
        <v>4.43</v>
      </c>
      <c r="L184" s="107">
        <v>81145.990000000005</v>
      </c>
      <c r="M184" s="108">
        <f t="shared" si="48"/>
        <v>12.199998180428691</v>
      </c>
      <c r="N184" s="108">
        <f t="shared" si="49"/>
        <v>2.8396684741075</v>
      </c>
      <c r="O184" s="108">
        <f t="shared" si="50"/>
        <v>23.27597457074144</v>
      </c>
      <c r="P184" s="108">
        <f t="shared" si="51"/>
        <v>184.56364405546054</v>
      </c>
      <c r="Q184" s="108">
        <f t="shared" si="52"/>
        <v>21.363100647493706</v>
      </c>
      <c r="R184" s="108">
        <f t="shared" si="53"/>
        <v>27.021447627328243</v>
      </c>
      <c r="S184" s="101">
        <f t="shared" si="54"/>
        <v>45873</v>
      </c>
      <c r="T184" s="102" t="str">
        <f t="shared" si="55"/>
        <v>Agosto</v>
      </c>
      <c r="U184" s="102" t="str">
        <f t="shared" si="56"/>
        <v>Lunes</v>
      </c>
      <c r="V184" s="102">
        <f t="shared" si="57"/>
        <v>10</v>
      </c>
      <c r="W184" s="102" t="str">
        <f t="shared" si="58"/>
        <v>Días después del pago</v>
      </c>
      <c r="X184" s="102">
        <f t="shared" si="59"/>
        <v>24</v>
      </c>
      <c r="Y184" s="102" t="str">
        <f t="shared" si="60"/>
        <v>Sí</v>
      </c>
      <c r="Z184" s="102" t="str">
        <f>CHOOSE(MATCH(B184,{"Customer Appreciation","Exclusive Offers","Flash Sale","Holiday Discounts","New Product Launch","Newsletter"},0),"Fidelizar","Vender","Vender","Vender","Lanzar","Educar")</f>
        <v>Vender</v>
      </c>
      <c r="AA184" s="102" t="str">
        <f t="shared" si="61"/>
        <v>Más de 400 mil</v>
      </c>
      <c r="AB184" s="102">
        <f>COUNTIFS($E$5:$E$493,E184,$S$5:$S$493,"&lt;"&amp;S184)+COUNTIFS($E$5:E184,E184,$S$5:S184,S184)</f>
        <v>1</v>
      </c>
      <c r="AC184" s="102">
        <f t="shared" si="62"/>
        <v>8</v>
      </c>
      <c r="AD184" s="102" t="str">
        <f t="shared" si="63"/>
        <v>Primer tercio</v>
      </c>
      <c r="AE184" s="103">
        <f t="shared" si="64"/>
        <v>-9.1631024670650145</v>
      </c>
      <c r="AF184" s="102" t="str">
        <f t="shared" si="65"/>
        <v xml:space="preserve">  exclusivo para nuestros clientes vip  acceso limitado </v>
      </c>
      <c r="AG184" s="102" t="str">
        <f t="shared" si="66"/>
        <v xml:space="preserve"> no te pierdas estas ofertas que preparamos para ti   descubre más  </v>
      </c>
      <c r="AH184" s="102" t="str">
        <f>IF(SUMPRODUCT(--(LEFT(IF(LEFT(LOWER(E184),1)="¡",MID(LOWER(E184),2,300),LOWER(E184)),LEN({"actualizaci","el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184" s="102" t="str">
        <f>IF(OR(SUMPRODUCT(--ISNUMBER(SEARCH({"descuento","oferta","ahorr","precio"," sale ","flash","deals"},AF184)))&gt;0,SUMPRODUCT(--ISNUMBER(SEARCH({"descuento","oferta","ahorr","precio"," sale ","flash","deals"},AG184)))&gt;0),"Sí","No")</f>
        <v>Sí</v>
      </c>
      <c r="AJ184" s="102" t="str">
        <f>IF(SUMPRODUCT(--ISNUMBER(SEARCH({" hoy ","horas","tiempo limitado","antes de que","se acab","se agot","finalic","última oportunidad","oportunidad única","relámpago","express","no esperes","no volver","no parpadees"},AF184)))&gt;0,"Sí","No")</f>
        <v>No</v>
      </c>
      <c r="AK184" s="102" t="str">
        <f>IF(SUMPRODUCT(--ISNUMBER(SEARCH({" hoy ","horas","tiempo limitado","antes de que","se acab","se agot","finalic","última oportunidad","oportunidad única","relámpago","express","no esperes","no volver","no parpadees"},AG184)))&gt;0,"Sí","No")</f>
        <v>No</v>
      </c>
      <c r="AL184" s="102" t="str">
        <f t="shared" si="67"/>
        <v>Descuento sin tiempo límite</v>
      </c>
      <c r="AM184" s="102" t="str">
        <f>IF(SUMPRODUCT(--ISNUMBER(SEARCH({"0","1","2","3","4","5","6","7","8","9","favorit","maquillaje","piel","cabello","productos","belleza","regalo"},E184)))&gt;0,"Sí","No")</f>
        <v>No</v>
      </c>
      <c r="AN184" s="102" t="str">
        <f>IF(SUMPRODUCT(--ISNUMBER(SEARCH({"lo que tenemos","estas ofertas","algo especial","ofertas únicas","que preparamos","no te quedes","echa un vistazo"},F184)))&gt;0,"Sí","No")</f>
        <v>Sí</v>
      </c>
      <c r="AO184" s="102">
        <f t="shared" si="68"/>
        <v>54</v>
      </c>
      <c r="AP184" s="102">
        <f t="shared" si="69"/>
        <v>7</v>
      </c>
      <c r="AQ184" s="102">
        <f>SUMPRODUCT(LEN(E184)-LEN(SUBSTITUTE(E184,{"!","¡","?","¿",":",",",".","%","·","-",";"},"")))</f>
        <v>2</v>
      </c>
      <c r="AR184" s="102" t="str">
        <f t="shared" si="70"/>
        <v>Sí</v>
      </c>
      <c r="AS184" s="102" t="str">
        <f t="shared" si="71"/>
        <v>No</v>
      </c>
      <c r="AT184" s="102" t="str">
        <f>IF(SUMPRODUCT(--ISNUMBER(FIND({"0","1","2","3","4","5","6","7","8","9"},E184)))&gt;0,"Con cifra concreta",IF(OR(ISNUMBER(FIND("?",E184)),ISNUMBER(FIND("¿",E184))),"Pregunta abierta",IF(SUMPRODUCT(--ISNUMBER(SEARCH({" hoy ","horas","tiempo limitado","antes de que","se acab","se agot","finalic","última oportunidad","oportunidad única","relámpago","express","no esperes","no volver","no parpadees"," ya ","últimas horas","últimas unidades"," ahora "},AF184)))&gt;0,"Solo urgencia, sin cifra",IF(SUMPRODUCT(--ISNUMBER(SEARCH({"recompensa","sorpresa","regalo","lealtad","detalle","gracias","pensamos en ti","para ti"},E184)))&gt;0,"Recompensa o sorpresa","Otro: beneficio o novedad"))))</f>
        <v>Otro: beneficio o novedad</v>
      </c>
    </row>
    <row r="185" spans="1:46" x14ac:dyDescent="0.2">
      <c r="A185" s="96" t="s">
        <v>1056</v>
      </c>
      <c r="B185" s="96" t="s">
        <v>279</v>
      </c>
      <c r="C185" s="96" t="s">
        <v>793</v>
      </c>
      <c r="D185" s="96" t="s">
        <v>947</v>
      </c>
      <c r="E185" s="96" t="s">
        <v>1008</v>
      </c>
      <c r="F185" s="96" t="s">
        <v>1009</v>
      </c>
      <c r="G185" s="97">
        <v>280545</v>
      </c>
      <c r="H185" s="97">
        <v>31362</v>
      </c>
      <c r="I185" s="97">
        <v>6980</v>
      </c>
      <c r="J185" s="98">
        <v>2.94</v>
      </c>
      <c r="K185" s="98">
        <v>3.48</v>
      </c>
      <c r="L185" s="99">
        <v>26089.360000000001</v>
      </c>
      <c r="M185" s="100">
        <f t="shared" si="48"/>
        <v>11.178955247821206</v>
      </c>
      <c r="N185" s="100">
        <f t="shared" si="49"/>
        <v>2.4880144005418026</v>
      </c>
      <c r="O185" s="100">
        <f t="shared" si="50"/>
        <v>22.256233658567691</v>
      </c>
      <c r="P185" s="100">
        <f t="shared" si="51"/>
        <v>92.995277050027624</v>
      </c>
      <c r="Q185" s="100">
        <f t="shared" si="52"/>
        <v>20.124757314949409</v>
      </c>
      <c r="R185" s="100">
        <f t="shared" si="53"/>
        <v>27.75136451093497</v>
      </c>
      <c r="S185" s="101">
        <f t="shared" si="54"/>
        <v>45939</v>
      </c>
      <c r="T185" s="102" t="str">
        <f t="shared" si="55"/>
        <v>Octubre</v>
      </c>
      <c r="U185" s="102" t="str">
        <f t="shared" si="56"/>
        <v>Jueves</v>
      </c>
      <c r="V185" s="102">
        <f t="shared" si="57"/>
        <v>9</v>
      </c>
      <c r="W185" s="102" t="str">
        <f t="shared" si="58"/>
        <v>Resto del mes</v>
      </c>
      <c r="X185" s="102">
        <f t="shared" si="59"/>
        <v>27</v>
      </c>
      <c r="Y185" s="102" t="str">
        <f t="shared" si="60"/>
        <v>Sí</v>
      </c>
      <c r="Z185" s="102" t="str">
        <f>CHOOSE(MATCH(B185,{"Customer Appreciation","Exclusive Offers","Flash Sale","Holiday Discounts","New Product Launch","Newsletter"},0),"Fidelizar","Vender","Vender","Vender","Lanzar","Educar")</f>
        <v>Educar</v>
      </c>
      <c r="AA185" s="102" t="str">
        <f t="shared" si="61"/>
        <v>200 a 300 mil</v>
      </c>
      <c r="AB185" s="102">
        <f>COUNTIFS($E$5:$E$493,E185,$S$5:$S$493,"&lt;"&amp;S185)+COUNTIFS($E$5:E185,E185,$S$5:S185,S185)</f>
        <v>5</v>
      </c>
      <c r="AC185" s="102">
        <f t="shared" si="62"/>
        <v>6</v>
      </c>
      <c r="AD185" s="102" t="str">
        <f t="shared" si="63"/>
        <v/>
      </c>
      <c r="AE185" s="103">
        <f t="shared" si="64"/>
        <v>-8.9458020671282039</v>
      </c>
      <c r="AF185" s="102" t="str">
        <f t="shared" si="65"/>
        <v xml:space="preserve"> actualización de l'oréal  lo más relevante </v>
      </c>
      <c r="AG185" s="102" t="str">
        <f t="shared" si="66"/>
        <v xml:space="preserve"> mantente al tanto de todas las novedades   infórmate  </v>
      </c>
      <c r="AH185" s="102" t="str">
        <f>IF(SUMPRODUCT(--(LEFT(IF(LEFT(LOWER(E185),1)="¡",MID(LOWER(E185),2,300),LOWER(E185)),LEN({"actualizaci","el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Sí</v>
      </c>
      <c r="AI185" s="102" t="str">
        <f>IF(OR(SUMPRODUCT(--ISNUMBER(SEARCH({"descuento","oferta","ahorr","precio"," sale ","flash","deals"},AF185)))&gt;0,SUMPRODUCT(--ISNUMBER(SEARCH({"descuento","oferta","ahorr","precio"," sale ","flash","deals"},AG185)))&gt;0),"Sí","No")</f>
        <v>No</v>
      </c>
      <c r="AJ185" s="102" t="str">
        <f>IF(SUMPRODUCT(--ISNUMBER(SEARCH({" hoy ","horas","tiempo limitado","antes de que","se acab","se agot","finalic","última oportunidad","oportunidad única","relámpago","express","no esperes","no volver","no parpadees"},AF185)))&gt;0,"Sí","No")</f>
        <v>No</v>
      </c>
      <c r="AK185" s="102" t="str">
        <f>IF(SUMPRODUCT(--ISNUMBER(SEARCH({" hoy ","horas","tiempo limitado","antes de que","se acab","se agot","finalic","última oportunidad","oportunidad única","relámpago","express","no esperes","no volver","no parpadees"},AG185)))&gt;0,"Sí","No")</f>
        <v>No</v>
      </c>
      <c r="AL185" s="102" t="str">
        <f t="shared" si="67"/>
        <v>Sin descuento</v>
      </c>
      <c r="AM185" s="102" t="str">
        <f>IF(SUMPRODUCT(--ISNUMBER(SEARCH({"0","1","2","3","4","5","6","7","8","9","favorit","maquillaje","piel","cabello","productos","belleza","regalo"},E185)))&gt;0,"Sí","No")</f>
        <v>No</v>
      </c>
      <c r="AN185" s="102" t="str">
        <f>IF(SUMPRODUCT(--ISNUMBER(SEARCH({"lo que tenemos","estas ofertas","algo especial","ofertas únicas","que preparamos","no te quedes","echa un vistazo"},F185)))&gt;0,"Sí","No")</f>
        <v>No</v>
      </c>
      <c r="AO185" s="102">
        <f t="shared" si="68"/>
        <v>42</v>
      </c>
      <c r="AP185" s="102">
        <f t="shared" si="69"/>
        <v>6</v>
      </c>
      <c r="AQ185" s="102">
        <f>SUMPRODUCT(LEN(E185)-LEN(SUBSTITUTE(E185,{"!","¡","?","¿",":",",",".","%","·","-",";"},"")))</f>
        <v>1</v>
      </c>
      <c r="AR185" s="102" t="str">
        <f t="shared" si="70"/>
        <v>Sí</v>
      </c>
      <c r="AS185" s="102" t="str">
        <f t="shared" si="71"/>
        <v>No</v>
      </c>
      <c r="AT185" s="102" t="str">
        <f>IF(SUMPRODUCT(--ISNUMBER(FIND({"0","1","2","3","4","5","6","7","8","9"},E185)))&gt;0,"Con cifra concreta",IF(OR(ISNUMBER(FIND("?",E185)),ISNUMBER(FIND("¿",E185))),"Pregunta abierta",IF(SUMPRODUCT(--ISNUMBER(SEARCH({" hoy ","horas","tiempo limitado","antes de que","se acab","se agot","finalic","última oportunidad","oportunidad única","relámpago","express","no esperes","no volver","no parpadees"," ya ","últimas horas","últimas unidades"," ahora "},AF185)))&gt;0,"Solo urgencia, sin cifra",IF(SUMPRODUCT(--ISNUMBER(SEARCH({"recompensa","sorpresa","regalo","lealtad","detalle","gracias","pensamos en ti","para ti"},E185)))&gt;0,"Recompensa o sorpresa","Otro: beneficio o novedad"))))</f>
        <v>Otro: beneficio o novedad</v>
      </c>
    </row>
    <row r="186" spans="1:46" x14ac:dyDescent="0.2">
      <c r="A186" s="104" t="s">
        <v>1057</v>
      </c>
      <c r="B186" s="104" t="s">
        <v>277</v>
      </c>
      <c r="C186" s="104" t="s">
        <v>830</v>
      </c>
      <c r="D186" s="104" t="s">
        <v>950</v>
      </c>
      <c r="E186" s="104" t="s">
        <v>476</v>
      </c>
      <c r="F186" s="104" t="s">
        <v>477</v>
      </c>
      <c r="G186" s="105">
        <v>197655</v>
      </c>
      <c r="H186" s="105">
        <v>17506</v>
      </c>
      <c r="I186" s="105">
        <v>5830</v>
      </c>
      <c r="J186" s="106">
        <v>1.01</v>
      </c>
      <c r="K186" s="106">
        <v>3.16</v>
      </c>
      <c r="L186" s="107">
        <v>85955.69</v>
      </c>
      <c r="M186" s="108">
        <f t="shared" si="48"/>
        <v>8.8568465255116227</v>
      </c>
      <c r="N186" s="108">
        <f t="shared" si="49"/>
        <v>2.9495838708861402</v>
      </c>
      <c r="O186" s="108">
        <f t="shared" si="50"/>
        <v>33.302867588255452</v>
      </c>
      <c r="P186" s="108">
        <f t="shared" si="51"/>
        <v>434.87738736687663</v>
      </c>
      <c r="Q186" s="108">
        <f t="shared" si="52"/>
        <v>21.434915192427972</v>
      </c>
      <c r="R186" s="108">
        <f t="shared" si="53"/>
        <v>30.71114383300629</v>
      </c>
      <c r="S186" s="101">
        <f t="shared" si="54"/>
        <v>45901</v>
      </c>
      <c r="T186" s="102" t="str">
        <f t="shared" si="55"/>
        <v>Septiembre</v>
      </c>
      <c r="U186" s="102" t="str">
        <f t="shared" si="56"/>
        <v>Lunes</v>
      </c>
      <c r="V186" s="102">
        <f t="shared" si="57"/>
        <v>14</v>
      </c>
      <c r="W186" s="102" t="str">
        <f t="shared" si="58"/>
        <v>Quincena</v>
      </c>
      <c r="X186" s="102">
        <f t="shared" si="59"/>
        <v>29</v>
      </c>
      <c r="Y186" s="102" t="str">
        <f t="shared" si="60"/>
        <v>Sí</v>
      </c>
      <c r="Z186" s="102" t="str">
        <f>CHOOSE(MATCH(B186,{"Customer Appreciation","Exclusive Offers","Flash Sale","Holiday Discounts","New Product Launch","Newsletter"},0),"Fidelizar","Vender","Vender","Vender","Lanzar","Educar")</f>
        <v>Vender</v>
      </c>
      <c r="AA186" s="102" t="str">
        <f t="shared" si="61"/>
        <v>100 a 200 mil</v>
      </c>
      <c r="AB186" s="102">
        <f>COUNTIFS($E$5:$E$493,E186,$S$5:$S$493,"&lt;"&amp;S186)+COUNTIFS($E$5:E186,E186,$S$5:S186,S186)</f>
        <v>5</v>
      </c>
      <c r="AC186" s="102">
        <f t="shared" si="62"/>
        <v>10</v>
      </c>
      <c r="AD186" s="102" t="str">
        <f t="shared" si="63"/>
        <v>Medio</v>
      </c>
      <c r="AE186" s="103">
        <f t="shared" si="64"/>
        <v>-12.57806866691635</v>
      </c>
      <c r="AF186" s="102" t="str">
        <f t="shared" si="65"/>
        <v xml:space="preserve">  ofertas de temporada  listas para ti  regalos perfectos </v>
      </c>
      <c r="AG186" s="102" t="str">
        <f t="shared" si="66"/>
        <v xml:space="preserve"> los mejores productos para tus celebraciones te esperan   descubre  </v>
      </c>
      <c r="AH186" s="102" t="str">
        <f>IF(SUMPRODUCT(--(LEFT(IF(LEFT(LOWER(E186),1)="¡",MID(LOWER(E186),2,300),LOWER(E186)),LEN({"actualizaci","el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Sí</v>
      </c>
      <c r="AI186" s="102" t="str">
        <f>IF(OR(SUMPRODUCT(--ISNUMBER(SEARCH({"descuento","oferta","ahorr","precio"," sale ","flash","deals"},AF186)))&gt;0,SUMPRODUCT(--ISNUMBER(SEARCH({"descuento","oferta","ahorr","precio"," sale ","flash","deals"},AG186)))&gt;0),"Sí","No")</f>
        <v>Sí</v>
      </c>
      <c r="AJ186" s="102" t="str">
        <f>IF(SUMPRODUCT(--ISNUMBER(SEARCH({" hoy ","horas","tiempo limitado","antes de que","se acab","se agot","finalic","última oportunidad","oportunidad única","relámpago","express","no esperes","no volver","no parpadees"},AF186)))&gt;0,"Sí","No")</f>
        <v>No</v>
      </c>
      <c r="AK186" s="102" t="str">
        <f>IF(SUMPRODUCT(--ISNUMBER(SEARCH({" hoy ","horas","tiempo limitado","antes de que","se acab","se agot","finalic","última oportunidad","oportunidad única","relámpago","express","no esperes","no volver","no parpadees"},AG186)))&gt;0,"Sí","No")</f>
        <v>No</v>
      </c>
      <c r="AL186" s="102" t="str">
        <f t="shared" si="67"/>
        <v>Descuento sin tiempo límite</v>
      </c>
      <c r="AM186" s="102" t="str">
        <f>IF(SUMPRODUCT(--ISNUMBER(SEARCH({"0","1","2","3","4","5","6","7","8","9","favorit","maquillaje","piel","cabello","productos","belleza","regalo"},E186)))&gt;0,"Sí","No")</f>
        <v>Sí</v>
      </c>
      <c r="AN186" s="102" t="str">
        <f>IF(SUMPRODUCT(--ISNUMBER(SEARCH({"lo que tenemos","estas ofertas","algo especial","ofertas únicas","que preparamos","no te quedes","echa un vistazo"},F186)))&gt;0,"Sí","No")</f>
        <v>No</v>
      </c>
      <c r="AO186" s="102">
        <f t="shared" si="68"/>
        <v>56</v>
      </c>
      <c r="AP186" s="102">
        <f t="shared" si="69"/>
        <v>8</v>
      </c>
      <c r="AQ186" s="102">
        <f>SUMPRODUCT(LEN(E186)-LEN(SUBSTITUTE(E186,{"!","¡","?","¿",":",",",".","%","·","-",";"},"")))</f>
        <v>3</v>
      </c>
      <c r="AR186" s="102" t="str">
        <f t="shared" si="70"/>
        <v>Sí</v>
      </c>
      <c r="AS186" s="102" t="str">
        <f t="shared" si="71"/>
        <v>No</v>
      </c>
      <c r="AT186" s="102" t="str">
        <f>IF(SUMPRODUCT(--ISNUMBER(FIND({"0","1","2","3","4","5","6","7","8","9"},E186)))&gt;0,"Con cifra concreta",IF(OR(ISNUMBER(FIND("?",E186)),ISNUMBER(FIND("¿",E186))),"Pregunta abierta",IF(SUMPRODUCT(--ISNUMBER(SEARCH({" hoy ","horas","tiempo limitado","antes de que","se acab","se agot","finalic","última oportunidad","oportunidad única","relámpago","express","no esperes","no volver","no parpadees"," ya ","últimas horas","últimas unidades"," ahora "},AF186)))&gt;0,"Solo urgencia, sin cifra",IF(SUMPRODUCT(--ISNUMBER(SEARCH({"recompensa","sorpresa","regalo","lealtad","detalle","gracias","pensamos en ti","para ti"},E186)))&gt;0,"Recompensa o sorpresa","Otro: beneficio o novedad"))))</f>
        <v>Recompensa o sorpresa</v>
      </c>
    </row>
    <row r="187" spans="1:46" x14ac:dyDescent="0.2">
      <c r="A187" s="96" t="s">
        <v>1058</v>
      </c>
      <c r="B187" s="96" t="s">
        <v>274</v>
      </c>
      <c r="C187" s="96" t="s">
        <v>976</v>
      </c>
      <c r="D187" s="96" t="s">
        <v>751</v>
      </c>
      <c r="E187" s="96" t="s">
        <v>999</v>
      </c>
      <c r="F187" s="96" t="s">
        <v>1000</v>
      </c>
      <c r="G187" s="97">
        <v>323385</v>
      </c>
      <c r="H187" s="97">
        <v>72499</v>
      </c>
      <c r="I187" s="97">
        <v>61771</v>
      </c>
      <c r="J187" s="98">
        <v>9.24</v>
      </c>
      <c r="K187" s="98">
        <v>2.42</v>
      </c>
      <c r="L187" s="99">
        <v>82384.06</v>
      </c>
      <c r="M187" s="100">
        <f t="shared" si="48"/>
        <v>22.418788750251249</v>
      </c>
      <c r="N187" s="100">
        <f t="shared" si="49"/>
        <v>19.10138070720658</v>
      </c>
      <c r="O187" s="100">
        <f t="shared" si="50"/>
        <v>85.202554517993363</v>
      </c>
      <c r="P187" s="100">
        <f t="shared" si="51"/>
        <v>254.75535352598294</v>
      </c>
      <c r="Q187" s="100">
        <f t="shared" si="52"/>
        <v>21.495532447877647</v>
      </c>
      <c r="R187" s="100">
        <f t="shared" si="53"/>
        <v>31.113650744455075</v>
      </c>
      <c r="S187" s="101">
        <f t="shared" si="54"/>
        <v>45892</v>
      </c>
      <c r="T187" s="102" t="str">
        <f t="shared" si="55"/>
        <v>Agosto</v>
      </c>
      <c r="U187" s="102" t="str">
        <f t="shared" si="56"/>
        <v>Sábado</v>
      </c>
      <c r="V187" s="102">
        <f t="shared" si="57"/>
        <v>11</v>
      </c>
      <c r="W187" s="102" t="str">
        <f t="shared" si="58"/>
        <v>Resto del mes</v>
      </c>
      <c r="X187" s="102">
        <f t="shared" si="59"/>
        <v>25</v>
      </c>
      <c r="Y187" s="102" t="str">
        <f t="shared" si="60"/>
        <v>Sí</v>
      </c>
      <c r="Z187" s="102" t="str">
        <f>CHOOSE(MATCH(B187,{"Customer Appreciation","Exclusive Offers","Flash Sale","Holiday Discounts","New Product Launch","Newsletter"},0),"Fidelizar","Vender","Vender","Vender","Lanzar","Educar")</f>
        <v>Fidelizar</v>
      </c>
      <c r="AA187" s="102" t="str">
        <f t="shared" si="61"/>
        <v>300 a 400 mil</v>
      </c>
      <c r="AB187" s="102">
        <f>COUNTIFS($E$5:$E$493,E187,$S$5:$S$493,"&lt;"&amp;S187)+COUNTIFS($E$5:E187,E187,$S$5:S187,S187)</f>
        <v>2</v>
      </c>
      <c r="AC187" s="102">
        <f t="shared" si="62"/>
        <v>6</v>
      </c>
      <c r="AD187" s="102" t="str">
        <f t="shared" si="63"/>
        <v/>
      </c>
      <c r="AE187" s="103">
        <f t="shared" si="64"/>
        <v>0.92325630237360201</v>
      </c>
      <c r="AF187" s="102" t="str">
        <f t="shared" si="65"/>
        <v xml:space="preserve">  gracias por elegir l'oréal  tu belleza  nuestra inspiración </v>
      </c>
      <c r="AG187" s="102" t="str">
        <f t="shared" si="66"/>
        <v xml:space="preserve"> queremos celebrar tu preferencia con estas ofertas   descúbrelas  </v>
      </c>
      <c r="AH187" s="102" t="str">
        <f>IF(SUMPRODUCT(--(LEFT(IF(LEFT(LOWER(E187),1)="¡",MID(LOWER(E187),2,300),LOWER(E187)),LEN({"actualizaci","el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187" s="102" t="str">
        <f>IF(OR(SUMPRODUCT(--ISNUMBER(SEARCH({"descuento","oferta","ahorr","precio"," sale ","flash","deals"},AF187)))&gt;0,SUMPRODUCT(--ISNUMBER(SEARCH({"descuento","oferta","ahorr","precio"," sale ","flash","deals"},AG187)))&gt;0),"Sí","No")</f>
        <v>Sí</v>
      </c>
      <c r="AJ187" s="102" t="str">
        <f>IF(SUMPRODUCT(--ISNUMBER(SEARCH({" hoy ","horas","tiempo limitado","antes de que","se acab","se agot","finalic","última oportunidad","oportunidad única","relámpago","express","no esperes","no volver","no parpadees"},AF187)))&gt;0,"Sí","No")</f>
        <v>No</v>
      </c>
      <c r="AK187" s="102" t="str">
        <f>IF(SUMPRODUCT(--ISNUMBER(SEARCH({" hoy ","horas","tiempo limitado","antes de que","se acab","se agot","finalic","última oportunidad","oportunidad única","relámpago","express","no esperes","no volver","no parpadees"},AG187)))&gt;0,"Sí","No")</f>
        <v>No</v>
      </c>
      <c r="AL187" s="102" t="str">
        <f t="shared" si="67"/>
        <v>Descuento sin tiempo límite</v>
      </c>
      <c r="AM187" s="102" t="str">
        <f>IF(SUMPRODUCT(--ISNUMBER(SEARCH({"0","1","2","3","4","5","6","7","8","9","favorit","maquillaje","piel","cabello","productos","belleza","regalo"},E187)))&gt;0,"Sí","No")</f>
        <v>Sí</v>
      </c>
      <c r="AN187" s="102" t="str">
        <f>IF(SUMPRODUCT(--ISNUMBER(SEARCH({"lo que tenemos","estas ofertas","algo especial","ofertas únicas","que preparamos","no te quedes","echa un vistazo"},F187)))&gt;0,"Sí","No")</f>
        <v>Sí</v>
      </c>
      <c r="AO187" s="102">
        <f t="shared" si="68"/>
        <v>60</v>
      </c>
      <c r="AP187" s="102">
        <f t="shared" si="69"/>
        <v>8</v>
      </c>
      <c r="AQ187" s="102">
        <f>SUMPRODUCT(LEN(E187)-LEN(SUBSTITUTE(E187,{"!","¡","?","¿",":",",",".","%","·","-",";"},"")))</f>
        <v>3</v>
      </c>
      <c r="AR187" s="102" t="str">
        <f t="shared" si="70"/>
        <v>Sí</v>
      </c>
      <c r="AS187" s="102" t="str">
        <f t="shared" si="71"/>
        <v>No</v>
      </c>
      <c r="AT187" s="102" t="str">
        <f>IF(SUMPRODUCT(--ISNUMBER(FIND({"0","1","2","3","4","5","6","7","8","9"},E187)))&gt;0,"Con cifra concreta",IF(OR(ISNUMBER(FIND("?",E187)),ISNUMBER(FIND("¿",E187))),"Pregunta abierta",IF(SUMPRODUCT(--ISNUMBER(SEARCH({" hoy ","horas","tiempo limitado","antes de que","se acab","se agot","finalic","última oportunidad","oportunidad única","relámpago","express","no esperes","no volver","no parpadees"," ya ","últimas horas","últimas unidades"," ahora "},AF187)))&gt;0,"Solo urgencia, sin cifra",IF(SUMPRODUCT(--ISNUMBER(SEARCH({"recompensa","sorpresa","regalo","lealtad","detalle","gracias","pensamos en ti","para ti"},E187)))&gt;0,"Recompensa o sorpresa","Otro: beneficio o novedad"))))</f>
        <v>Recompensa o sorpresa</v>
      </c>
    </row>
    <row r="188" spans="1:46" x14ac:dyDescent="0.2">
      <c r="A188" s="104" t="s">
        <v>1059</v>
      </c>
      <c r="B188" s="104" t="s">
        <v>275</v>
      </c>
      <c r="C188" s="104" t="s">
        <v>742</v>
      </c>
      <c r="D188" s="104" t="s">
        <v>702</v>
      </c>
      <c r="E188" s="104" t="s">
        <v>465</v>
      </c>
      <c r="F188" s="104" t="s">
        <v>466</v>
      </c>
      <c r="G188" s="105">
        <v>443619</v>
      </c>
      <c r="H188" s="105">
        <v>122055</v>
      </c>
      <c r="I188" s="105">
        <v>47470</v>
      </c>
      <c r="J188" s="106">
        <v>6.27</v>
      </c>
      <c r="K188" s="106">
        <v>0.77</v>
      </c>
      <c r="L188" s="107">
        <v>531.04999999999995</v>
      </c>
      <c r="M188" s="108">
        <f t="shared" si="48"/>
        <v>27.513474400330011</v>
      </c>
      <c r="N188" s="108">
        <f t="shared" si="49"/>
        <v>10.700623733428911</v>
      </c>
      <c r="O188" s="108">
        <f t="shared" si="50"/>
        <v>38.892302650444471</v>
      </c>
      <c r="P188" s="108">
        <f t="shared" si="51"/>
        <v>1.1970857875789811</v>
      </c>
      <c r="Q188" s="108">
        <f t="shared" si="52"/>
        <v>33.047230763392911</v>
      </c>
      <c r="R188" s="108">
        <f t="shared" si="53"/>
        <v>27.021447627328243</v>
      </c>
      <c r="S188" s="101">
        <f t="shared" si="54"/>
        <v>45948</v>
      </c>
      <c r="T188" s="102" t="str">
        <f t="shared" si="55"/>
        <v>Octubre</v>
      </c>
      <c r="U188" s="102" t="str">
        <f t="shared" si="56"/>
        <v>Sábado</v>
      </c>
      <c r="V188" s="102">
        <f t="shared" si="57"/>
        <v>16</v>
      </c>
      <c r="W188" s="102" t="str">
        <f t="shared" si="58"/>
        <v>Días después del pago</v>
      </c>
      <c r="X188" s="102">
        <f t="shared" si="59"/>
        <v>27</v>
      </c>
      <c r="Y188" s="102" t="str">
        <f t="shared" si="60"/>
        <v>Sí</v>
      </c>
      <c r="Z188" s="102" t="str">
        <f>CHOOSE(MATCH(B188,{"Customer Appreciation","Exclusive Offers","Flash Sale","Holiday Discounts","New Product Launch","Newsletter"},0),"Fidelizar","Vender","Vender","Vender","Lanzar","Educar")</f>
        <v>Vender</v>
      </c>
      <c r="AA188" s="102" t="str">
        <f t="shared" si="61"/>
        <v>Más de 400 mil</v>
      </c>
      <c r="AB188" s="102">
        <f>COUNTIFS($E$5:$E$493,E188,$S$5:$S$493,"&lt;"&amp;S188)+COUNTIFS($E$5:E188,E188,$S$5:S188,S188)</f>
        <v>20</v>
      </c>
      <c r="AC188" s="102">
        <f t="shared" si="62"/>
        <v>22</v>
      </c>
      <c r="AD188" s="102" t="str">
        <f t="shared" si="63"/>
        <v>Último tercio</v>
      </c>
      <c r="AE188" s="103">
        <f t="shared" si="64"/>
        <v>-5.5337563630628992</v>
      </c>
      <c r="AF188" s="102" t="str">
        <f t="shared" si="65"/>
        <v xml:space="preserve">  ofertas exclusivas  solo para nuestra comunidad vip </v>
      </c>
      <c r="AG188" s="102" t="str">
        <f t="shared" si="66"/>
        <v xml:space="preserve"> productos premium con descuentos únicos   acceso limitado  </v>
      </c>
      <c r="AH188" s="102" t="str">
        <f>IF(SUMPRODUCT(--(LEFT(IF(LEFT(LOWER(E188),1)="¡",MID(LOWER(E188),2,300),LOWER(E188)),LEN({"actualizaci","el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188" s="102" t="str">
        <f>IF(OR(SUMPRODUCT(--ISNUMBER(SEARCH({"descuento","oferta","ahorr","precio"," sale ","flash","deals"},AF188)))&gt;0,SUMPRODUCT(--ISNUMBER(SEARCH({"descuento","oferta","ahorr","precio"," sale ","flash","deals"},AG188)))&gt;0),"Sí","No")</f>
        <v>Sí</v>
      </c>
      <c r="AJ188" s="102" t="str">
        <f>IF(SUMPRODUCT(--ISNUMBER(SEARCH({" hoy ","horas","tiempo limitado","antes de que","se acab","se agot","finalic","última oportunidad","oportunidad única","relámpago","express","no esperes","no volver","no parpadees"},AF188)))&gt;0,"Sí","No")</f>
        <v>No</v>
      </c>
      <c r="AK188" s="102" t="str">
        <f>IF(SUMPRODUCT(--ISNUMBER(SEARCH({" hoy ","horas","tiempo limitado","antes de que","se acab","se agot","finalic","última oportunidad","oportunidad única","relámpago","express","no esperes","no volver","no parpadees"},AG188)))&gt;0,"Sí","No")</f>
        <v>No</v>
      </c>
      <c r="AL188" s="102" t="str">
        <f t="shared" si="67"/>
        <v>Descuento sin tiempo límite</v>
      </c>
      <c r="AM188" s="102" t="str">
        <f>IF(SUMPRODUCT(--ISNUMBER(SEARCH({"0","1","2","3","4","5","6","7","8","9","favorit","maquillaje","piel","cabello","productos","belleza","regalo"},E188)))&gt;0,"Sí","No")</f>
        <v>No</v>
      </c>
      <c r="AN188" s="102" t="str">
        <f>IF(SUMPRODUCT(--ISNUMBER(SEARCH({"lo que tenemos","estas ofertas","algo especial","ofertas únicas","que preparamos","no te quedes","echa un vistazo"},F188)))&gt;0,"Sí","No")</f>
        <v>No</v>
      </c>
      <c r="AO188" s="102">
        <f t="shared" si="68"/>
        <v>52</v>
      </c>
      <c r="AP188" s="102">
        <f t="shared" si="69"/>
        <v>7</v>
      </c>
      <c r="AQ188" s="102">
        <f>SUMPRODUCT(LEN(E188)-LEN(SUBSTITUTE(E188,{"!","¡","?","¿",":",",",".","%","·","-",";"},"")))</f>
        <v>2</v>
      </c>
      <c r="AR188" s="102" t="str">
        <f t="shared" si="70"/>
        <v>Sí</v>
      </c>
      <c r="AS188" s="102" t="str">
        <f t="shared" si="71"/>
        <v>No</v>
      </c>
      <c r="AT188" s="102" t="str">
        <f>IF(SUMPRODUCT(--ISNUMBER(FIND({"0","1","2","3","4","5","6","7","8","9"},E188)))&gt;0,"Con cifra concreta",IF(OR(ISNUMBER(FIND("?",E188)),ISNUMBER(FIND("¿",E188))),"Pregunta abierta",IF(SUMPRODUCT(--ISNUMBER(SEARCH({" hoy ","horas","tiempo limitado","antes de que","se acab","se agot","finalic","última oportunidad","oportunidad única","relámpago","express","no esperes","no volver","no parpadees"," ya ","últimas horas","últimas unidades"," ahora "},AF188)))&gt;0,"Solo urgencia, sin cifra",IF(SUMPRODUCT(--ISNUMBER(SEARCH({"recompensa","sorpresa","regalo","lealtad","detalle","gracias","pensamos en ti","para ti"},E188)))&gt;0,"Recompensa o sorpresa","Otro: beneficio o novedad"))))</f>
        <v>Otro: beneficio o novedad</v>
      </c>
    </row>
    <row r="189" spans="1:46" x14ac:dyDescent="0.2">
      <c r="A189" s="96" t="s">
        <v>1060</v>
      </c>
      <c r="B189" s="96" t="s">
        <v>278</v>
      </c>
      <c r="C189" s="96" t="s">
        <v>773</v>
      </c>
      <c r="D189" s="96" t="s">
        <v>707</v>
      </c>
      <c r="E189" s="96" t="s">
        <v>467</v>
      </c>
      <c r="F189" s="96" t="s">
        <v>468</v>
      </c>
      <c r="G189" s="97">
        <v>73556</v>
      </c>
      <c r="H189" s="97">
        <v>16664</v>
      </c>
      <c r="I189" s="97">
        <v>11184</v>
      </c>
      <c r="J189" s="98">
        <v>7.99</v>
      </c>
      <c r="K189" s="98">
        <v>4.68</v>
      </c>
      <c r="L189" s="99">
        <v>70075.490000000005</v>
      </c>
      <c r="M189" s="100">
        <f t="shared" si="48"/>
        <v>22.65484800696068</v>
      </c>
      <c r="N189" s="100">
        <f t="shared" si="49"/>
        <v>15.204741965305345</v>
      </c>
      <c r="O189" s="100">
        <f t="shared" si="50"/>
        <v>67.114738358137302</v>
      </c>
      <c r="P189" s="100">
        <f t="shared" si="51"/>
        <v>952.68217412583624</v>
      </c>
      <c r="Q189" s="100">
        <f t="shared" si="52"/>
        <v>30.93688234168668</v>
      </c>
      <c r="R189" s="100">
        <f t="shared" si="53"/>
        <v>29.458247936272421</v>
      </c>
      <c r="S189" s="101">
        <f t="shared" si="54"/>
        <v>45909</v>
      </c>
      <c r="T189" s="102" t="str">
        <f t="shared" si="55"/>
        <v>Septiembre</v>
      </c>
      <c r="U189" s="102" t="str">
        <f t="shared" si="56"/>
        <v>Martes</v>
      </c>
      <c r="V189" s="102">
        <f t="shared" si="57"/>
        <v>13</v>
      </c>
      <c r="W189" s="102" t="str">
        <f t="shared" si="58"/>
        <v>Resto del mes</v>
      </c>
      <c r="X189" s="102">
        <f t="shared" si="59"/>
        <v>28</v>
      </c>
      <c r="Y189" s="102" t="str">
        <f t="shared" si="60"/>
        <v>Sí</v>
      </c>
      <c r="Z189" s="102" t="str">
        <f>CHOOSE(MATCH(B189,{"Customer Appreciation","Exclusive Offers","Flash Sale","Holiday Discounts","New Product Launch","Newsletter"},0),"Fidelizar","Vender","Vender","Vender","Lanzar","Educar")</f>
        <v>Lanzar</v>
      </c>
      <c r="AA189" s="102" t="str">
        <f t="shared" si="61"/>
        <v>Menos de 100 mil</v>
      </c>
      <c r="AB189" s="102">
        <f>COUNTIFS($E$5:$E$493,E189,$S$5:$S$493,"&lt;"&amp;S189)+COUNTIFS($E$5:E189,E189,$S$5:S189,S189)</f>
        <v>16</v>
      </c>
      <c r="AC189" s="102">
        <f t="shared" si="62"/>
        <v>22</v>
      </c>
      <c r="AD189" s="102" t="str">
        <f t="shared" si="63"/>
        <v>Último tercio</v>
      </c>
      <c r="AE189" s="103">
        <f t="shared" si="64"/>
        <v>-8.2820343347259993</v>
      </c>
      <c r="AF189" s="102" t="str">
        <f t="shared" si="65"/>
        <v xml:space="preserve">  lo nuevo de l'oréal  te va a encantar  innovación en belleza </v>
      </c>
      <c r="AG189" s="102" t="str">
        <f t="shared" si="66"/>
        <v xml:space="preserve"> prepárate para experimentar la innovación en tu belleza   descúbrela  </v>
      </c>
      <c r="AH189" s="102" t="str">
        <f>IF(SUMPRODUCT(--(LEFT(IF(LEFT(LOWER(E189),1)="¡",MID(LOWER(E189),2,300),LOWER(E189)),LEN({"actualizaci","el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189" s="102" t="str">
        <f>IF(OR(SUMPRODUCT(--ISNUMBER(SEARCH({"descuento","oferta","ahorr","precio"," sale ","flash","deals"},AF189)))&gt;0,SUMPRODUCT(--ISNUMBER(SEARCH({"descuento","oferta","ahorr","precio"," sale ","flash","deals"},AG189)))&gt;0),"Sí","No")</f>
        <v>No</v>
      </c>
      <c r="AJ189" s="102" t="str">
        <f>IF(SUMPRODUCT(--ISNUMBER(SEARCH({" hoy ","horas","tiempo limitado","antes de que","se acab","se agot","finalic","última oportunidad","oportunidad única","relámpago","express","no esperes","no volver","no parpadees"},AF189)))&gt;0,"Sí","No")</f>
        <v>No</v>
      </c>
      <c r="AK189" s="102" t="str">
        <f>IF(SUMPRODUCT(--ISNUMBER(SEARCH({" hoy ","horas","tiempo limitado","antes de que","se acab","se agot","finalic","última oportunidad","oportunidad única","relámpago","express","no esperes","no volver","no parpadees"},AG189)))&gt;0,"Sí","No")</f>
        <v>No</v>
      </c>
      <c r="AL189" s="102" t="str">
        <f t="shared" si="67"/>
        <v>Sin descuento</v>
      </c>
      <c r="AM189" s="102" t="str">
        <f>IF(SUMPRODUCT(--ISNUMBER(SEARCH({"0","1","2","3","4","5","6","7","8","9","favorit","maquillaje","piel","cabello","productos","belleza","regalo"},E189)))&gt;0,"Sí","No")</f>
        <v>Sí</v>
      </c>
      <c r="AN189" s="102" t="str">
        <f>IF(SUMPRODUCT(--ISNUMBER(SEARCH({"lo que tenemos","estas ofertas","algo especial","ofertas únicas","que preparamos","no te quedes","echa un vistazo"},F189)))&gt;0,"Sí","No")</f>
        <v>No</v>
      </c>
      <c r="AO189" s="102">
        <f t="shared" si="68"/>
        <v>61</v>
      </c>
      <c r="AP189" s="102">
        <f t="shared" si="69"/>
        <v>11</v>
      </c>
      <c r="AQ189" s="102">
        <f>SUMPRODUCT(LEN(E189)-LEN(SUBSTITUTE(E189,{"!","¡","?","¿",":",",",".","%","·","-",";"},"")))</f>
        <v>3</v>
      </c>
      <c r="AR189" s="102" t="str">
        <f t="shared" si="70"/>
        <v>No</v>
      </c>
      <c r="AS189" s="102" t="str">
        <f t="shared" si="71"/>
        <v>No</v>
      </c>
      <c r="AT189" s="102" t="str">
        <f>IF(SUMPRODUCT(--ISNUMBER(FIND({"0","1","2","3","4","5","6","7","8","9"},E189)))&gt;0,"Con cifra concreta",IF(OR(ISNUMBER(FIND("?",E189)),ISNUMBER(FIND("¿",E189))),"Pregunta abierta",IF(SUMPRODUCT(--ISNUMBER(SEARCH({" hoy ","horas","tiempo limitado","antes de que","se acab","se agot","finalic","última oportunidad","oportunidad única","relámpago","express","no esperes","no volver","no parpadees"," ya ","últimas horas","últimas unidades"," ahora "},AF189)))&gt;0,"Solo urgencia, sin cifra",IF(SUMPRODUCT(--ISNUMBER(SEARCH({"recompensa","sorpresa","regalo","lealtad","detalle","gracias","pensamos en ti","para ti"},E189)))&gt;0,"Recompensa o sorpresa","Otro: beneficio o novedad"))))</f>
        <v>Otro: beneficio o novedad</v>
      </c>
    </row>
    <row r="190" spans="1:46" x14ac:dyDescent="0.2">
      <c r="A190" s="104" t="s">
        <v>1061</v>
      </c>
      <c r="B190" s="104" t="s">
        <v>276</v>
      </c>
      <c r="C190" s="104" t="s">
        <v>980</v>
      </c>
      <c r="D190" s="104" t="s">
        <v>824</v>
      </c>
      <c r="E190" s="104" t="s">
        <v>450</v>
      </c>
      <c r="F190" s="104" t="s">
        <v>451</v>
      </c>
      <c r="G190" s="105">
        <v>82258</v>
      </c>
      <c r="H190" s="105">
        <v>37050</v>
      </c>
      <c r="I190" s="105">
        <v>6334</v>
      </c>
      <c r="J190" s="106">
        <v>5.67</v>
      </c>
      <c r="K190" s="106">
        <v>2.02</v>
      </c>
      <c r="L190" s="107">
        <v>73074.929999999993</v>
      </c>
      <c r="M190" s="108">
        <f t="shared" si="48"/>
        <v>45.041211797028865</v>
      </c>
      <c r="N190" s="108">
        <f t="shared" si="49"/>
        <v>7.7001629020885503</v>
      </c>
      <c r="O190" s="108">
        <f t="shared" si="50"/>
        <v>17.095816464237519</v>
      </c>
      <c r="P190" s="108">
        <f t="shared" si="51"/>
        <v>888.36259087262022</v>
      </c>
      <c r="Q190" s="108">
        <f t="shared" si="52"/>
        <v>41.593592985418489</v>
      </c>
      <c r="R190" s="108">
        <f t="shared" si="53"/>
        <v>29.440902453236173</v>
      </c>
      <c r="S190" s="101">
        <f t="shared" si="54"/>
        <v>45875</v>
      </c>
      <c r="T190" s="102" t="str">
        <f t="shared" si="55"/>
        <v>Agosto</v>
      </c>
      <c r="U190" s="102" t="str">
        <f t="shared" si="56"/>
        <v>Miércoles</v>
      </c>
      <c r="V190" s="102">
        <f t="shared" si="57"/>
        <v>10</v>
      </c>
      <c r="W190" s="102" t="str">
        <f t="shared" si="58"/>
        <v>Resto del mes</v>
      </c>
      <c r="X190" s="102">
        <f t="shared" si="59"/>
        <v>28</v>
      </c>
      <c r="Y190" s="102" t="str">
        <f t="shared" si="60"/>
        <v>Sí</v>
      </c>
      <c r="Z190" s="102" t="str">
        <f>CHOOSE(MATCH(B190,{"Customer Appreciation","Exclusive Offers","Flash Sale","Holiday Discounts","New Product Launch","Newsletter"},0),"Fidelizar","Vender","Vender","Vender","Lanzar","Educar")</f>
        <v>Vender</v>
      </c>
      <c r="AA190" s="102" t="str">
        <f t="shared" si="61"/>
        <v>Menos de 100 mil</v>
      </c>
      <c r="AB190" s="102">
        <f>COUNTIFS($E$5:$E$493,E190,$S$5:$S$493,"&lt;"&amp;S190)+COUNTIFS($E$5:E190,E190,$S$5:S190,S190)</f>
        <v>1</v>
      </c>
      <c r="AC190" s="102">
        <f t="shared" si="62"/>
        <v>21</v>
      </c>
      <c r="AD190" s="102" t="str">
        <f t="shared" si="63"/>
        <v>Primer tercio</v>
      </c>
      <c r="AE190" s="103">
        <f t="shared" si="64"/>
        <v>3.4476188116103756</v>
      </c>
      <c r="AF190" s="102" t="str">
        <f t="shared" si="65"/>
        <v xml:space="preserve">  ahorra ya  flash sale  hasta 50% en tus favoritos </v>
      </c>
      <c r="AG190" s="102" t="str">
        <f t="shared" si="66"/>
        <v xml:space="preserve"> edición limitada  maquillaje  cuidado de piel y más   corre  </v>
      </c>
      <c r="AH190" s="102" t="str">
        <f>IF(SUMPRODUCT(--(LEFT(IF(LEFT(LOWER(E190),1)="¡",MID(LOWER(E190),2,300),LOWER(E190)),LEN({"actualizaci","el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190" s="102" t="str">
        <f>IF(OR(SUMPRODUCT(--ISNUMBER(SEARCH({"descuento","oferta","ahorr","precio"," sale ","flash","deals"},AF190)))&gt;0,SUMPRODUCT(--ISNUMBER(SEARCH({"descuento","oferta","ahorr","precio"," sale ","flash","deals"},AG190)))&gt;0),"Sí","No")</f>
        <v>Sí</v>
      </c>
      <c r="AJ190" s="102" t="str">
        <f>IF(SUMPRODUCT(--ISNUMBER(SEARCH({" hoy ","horas","tiempo limitado","antes de que","se acab","se agot","finalic","última oportunidad","oportunidad única","relámpago","express","no esperes","no volver","no parpadees"},AF190)))&gt;0,"Sí","No")</f>
        <v>No</v>
      </c>
      <c r="AK190" s="102" t="str">
        <f>IF(SUMPRODUCT(--ISNUMBER(SEARCH({" hoy ","horas","tiempo limitado","antes de que","se acab","se agot","finalic","última oportunidad","oportunidad única","relámpago","express","no esperes","no volver","no parpadees"},AG190)))&gt;0,"Sí","No")</f>
        <v>No</v>
      </c>
      <c r="AL190" s="102" t="str">
        <f t="shared" si="67"/>
        <v>Descuento sin tiempo límite</v>
      </c>
      <c r="AM190" s="102" t="str">
        <f>IF(SUMPRODUCT(--ISNUMBER(SEARCH({"0","1","2","3","4","5","6","7","8","9","favorit","maquillaje","piel","cabello","productos","belleza","regalo"},E190)))&gt;0,"Sí","No")</f>
        <v>Sí</v>
      </c>
      <c r="AN190" s="102" t="str">
        <f>IF(SUMPRODUCT(--ISNUMBER(SEARCH({"lo que tenemos","estas ofertas","algo especial","ofertas únicas","que preparamos","no te quedes","echa un vistazo"},F190)))&gt;0,"Sí","No")</f>
        <v>No</v>
      </c>
      <c r="AO190" s="102">
        <f t="shared" si="68"/>
        <v>50</v>
      </c>
      <c r="AP190" s="102">
        <f t="shared" si="69"/>
        <v>9</v>
      </c>
      <c r="AQ190" s="102">
        <f>SUMPRODUCT(LEN(E190)-LEN(SUBSTITUTE(E190,{"!","¡","?","¿",":",",",".","%","·","-",";"},"")))</f>
        <v>4</v>
      </c>
      <c r="AR190" s="102" t="str">
        <f t="shared" si="70"/>
        <v>No</v>
      </c>
      <c r="AS190" s="102" t="str">
        <f t="shared" si="71"/>
        <v>No</v>
      </c>
      <c r="AT190" s="102" t="str">
        <f>IF(SUMPRODUCT(--ISNUMBER(FIND({"0","1","2","3","4","5","6","7","8","9"},E190)))&gt;0,"Con cifra concreta",IF(OR(ISNUMBER(FIND("?",E190)),ISNUMBER(FIND("¿",E190))),"Pregunta abierta",IF(SUMPRODUCT(--ISNUMBER(SEARCH({" hoy ","horas","tiempo limitado","antes de que","se acab","se agot","finalic","última oportunidad","oportunidad única","relámpago","express","no esperes","no volver","no parpadees"," ya ","últimas horas","últimas unidades"," ahora "},AF190)))&gt;0,"Solo urgencia, sin cifra",IF(SUMPRODUCT(--ISNUMBER(SEARCH({"recompensa","sorpresa","regalo","lealtad","detalle","gracias","pensamos en ti","para ti"},E190)))&gt;0,"Recompensa o sorpresa","Otro: beneficio o novedad"))))</f>
        <v>Con cifra concreta</v>
      </c>
    </row>
    <row r="191" spans="1:46" x14ac:dyDescent="0.2">
      <c r="A191" s="96" t="s">
        <v>1062</v>
      </c>
      <c r="B191" s="96" t="s">
        <v>277</v>
      </c>
      <c r="C191" s="96" t="s">
        <v>815</v>
      </c>
      <c r="D191" s="96" t="s">
        <v>764</v>
      </c>
      <c r="E191" s="96" t="s">
        <v>469</v>
      </c>
      <c r="F191" s="96" t="s">
        <v>470</v>
      </c>
      <c r="G191" s="97">
        <v>220848</v>
      </c>
      <c r="H191" s="97">
        <v>59039</v>
      </c>
      <c r="I191" s="97">
        <v>40004</v>
      </c>
      <c r="J191" s="98">
        <v>0.89</v>
      </c>
      <c r="K191" s="98">
        <v>2.9</v>
      </c>
      <c r="L191" s="99">
        <v>23117.81</v>
      </c>
      <c r="M191" s="100">
        <f t="shared" si="48"/>
        <v>26.732866043613708</v>
      </c>
      <c r="N191" s="100">
        <f t="shared" si="49"/>
        <v>18.113815837136855</v>
      </c>
      <c r="O191" s="100">
        <f t="shared" si="50"/>
        <v>67.758600247294169</v>
      </c>
      <c r="P191" s="100">
        <f t="shared" si="51"/>
        <v>104.67747047743245</v>
      </c>
      <c r="Q191" s="100">
        <f t="shared" si="52"/>
        <v>29.233022524783024</v>
      </c>
      <c r="R191" s="100">
        <f t="shared" si="53"/>
        <v>30.71114383300629</v>
      </c>
      <c r="S191" s="101">
        <f t="shared" si="54"/>
        <v>45959</v>
      </c>
      <c r="T191" s="102" t="str">
        <f t="shared" si="55"/>
        <v>Octubre</v>
      </c>
      <c r="U191" s="102" t="str">
        <f t="shared" si="56"/>
        <v>Miércoles</v>
      </c>
      <c r="V191" s="102">
        <f t="shared" si="57"/>
        <v>15</v>
      </c>
      <c r="W191" s="102" t="str">
        <f t="shared" si="58"/>
        <v>Resto del mes</v>
      </c>
      <c r="X191" s="102">
        <f t="shared" si="59"/>
        <v>27</v>
      </c>
      <c r="Y191" s="102" t="str">
        <f t="shared" si="60"/>
        <v>Sí</v>
      </c>
      <c r="Z191" s="102" t="str">
        <f>CHOOSE(MATCH(B191,{"Customer Appreciation","Exclusive Offers","Flash Sale","Holiday Discounts","New Product Launch","Newsletter"},0),"Fidelizar","Vender","Vender","Vender","Lanzar","Educar")</f>
        <v>Vender</v>
      </c>
      <c r="AA191" s="102" t="str">
        <f t="shared" si="61"/>
        <v>200 a 300 mil</v>
      </c>
      <c r="AB191" s="102">
        <f>COUNTIFS($E$5:$E$493,E191,$S$5:$S$493,"&lt;"&amp;S191)+COUNTIFS($E$5:E191,E191,$S$5:S191,S191)</f>
        <v>17</v>
      </c>
      <c r="AC191" s="102">
        <f t="shared" si="62"/>
        <v>20</v>
      </c>
      <c r="AD191" s="102" t="str">
        <f t="shared" si="63"/>
        <v>Último tercio</v>
      </c>
      <c r="AE191" s="103">
        <f t="shared" si="64"/>
        <v>-2.5001564811693164</v>
      </c>
      <c r="AF191" s="102" t="str">
        <f t="shared" si="65"/>
        <v xml:space="preserve">  celebra con nosotros  descuentos festivos para regalar </v>
      </c>
      <c r="AG191" s="102" t="str">
        <f t="shared" si="66"/>
        <v xml:space="preserve"> regalos perfectos y ofertas que te encantarán   descubre más  </v>
      </c>
      <c r="AH191" s="102" t="str">
        <f>IF(SUMPRODUCT(--(LEFT(IF(LEFT(LOWER(E191),1)="¡",MID(LOWER(E191),2,300),LOWER(E191)),LEN({"actualizaci","el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191" s="102" t="str">
        <f>IF(OR(SUMPRODUCT(--ISNUMBER(SEARCH({"descuento","oferta","ahorr","precio"," sale ","flash","deals"},AF191)))&gt;0,SUMPRODUCT(--ISNUMBER(SEARCH({"descuento","oferta","ahorr","precio"," sale ","flash","deals"},AG191)))&gt;0),"Sí","No")</f>
        <v>Sí</v>
      </c>
      <c r="AJ191" s="102" t="str">
        <f>IF(SUMPRODUCT(--ISNUMBER(SEARCH({" hoy ","horas","tiempo limitado","antes de que","se acab","se agot","finalic","última oportunidad","oportunidad única","relámpago","express","no esperes","no volver","no parpadees"},AF191)))&gt;0,"Sí","No")</f>
        <v>No</v>
      </c>
      <c r="AK191" s="102" t="str">
        <f>IF(SUMPRODUCT(--ISNUMBER(SEARCH({" hoy ","horas","tiempo limitado","antes de que","se acab","se agot","finalic","última oportunidad","oportunidad única","relámpago","express","no esperes","no volver","no parpadees"},AG191)))&gt;0,"Sí","No")</f>
        <v>No</v>
      </c>
      <c r="AL191" s="102" t="str">
        <f t="shared" si="67"/>
        <v>Descuento sin tiempo límite</v>
      </c>
      <c r="AM191" s="102" t="str">
        <f>IF(SUMPRODUCT(--ISNUMBER(SEARCH({"0","1","2","3","4","5","6","7","8","9","favorit","maquillaje","piel","cabello","productos","belleza","regalo"},E191)))&gt;0,"Sí","No")</f>
        <v>No</v>
      </c>
      <c r="AN191" s="102" t="str">
        <f>IF(SUMPRODUCT(--ISNUMBER(SEARCH({"lo que tenemos","estas ofertas","algo especial","ofertas únicas","que preparamos","no te quedes","echa un vistazo"},F191)))&gt;0,"Sí","No")</f>
        <v>No</v>
      </c>
      <c r="AO191" s="102">
        <f t="shared" si="68"/>
        <v>55</v>
      </c>
      <c r="AP191" s="102">
        <f t="shared" si="69"/>
        <v>7</v>
      </c>
      <c r="AQ191" s="102">
        <f>SUMPRODUCT(LEN(E191)-LEN(SUBSTITUTE(E191,{"!","¡","?","¿",":",",",".","%","·","-",";"},"")))</f>
        <v>2</v>
      </c>
      <c r="AR191" s="102" t="str">
        <f t="shared" si="70"/>
        <v>Sí</v>
      </c>
      <c r="AS191" s="102" t="str">
        <f t="shared" si="71"/>
        <v>No</v>
      </c>
      <c r="AT191" s="102" t="str">
        <f>IF(SUMPRODUCT(--ISNUMBER(FIND({"0","1","2","3","4","5","6","7","8","9"},E191)))&gt;0,"Con cifra concreta",IF(OR(ISNUMBER(FIND("?",E191)),ISNUMBER(FIND("¿",E191))),"Pregunta abierta",IF(SUMPRODUCT(--ISNUMBER(SEARCH({" hoy ","horas","tiempo limitado","antes de que","se acab","se agot","finalic","última oportunidad","oportunidad única","relámpago","express","no esperes","no volver","no parpadees"," ya ","últimas horas","últimas unidades"," ahora "},AF191)))&gt;0,"Solo urgencia, sin cifra",IF(SUMPRODUCT(--ISNUMBER(SEARCH({"recompensa","sorpresa","regalo","lealtad","detalle","gracias","pensamos en ti","para ti"},E191)))&gt;0,"Recompensa o sorpresa","Otro: beneficio o novedad"))))</f>
        <v>Otro: beneficio o novedad</v>
      </c>
    </row>
    <row r="192" spans="1:46" x14ac:dyDescent="0.2">
      <c r="A192" s="104" t="s">
        <v>1063</v>
      </c>
      <c r="B192" s="104" t="s">
        <v>275</v>
      </c>
      <c r="C192" s="104" t="s">
        <v>869</v>
      </c>
      <c r="D192" s="104" t="s">
        <v>821</v>
      </c>
      <c r="E192" s="104" t="s">
        <v>455</v>
      </c>
      <c r="F192" s="104" t="s">
        <v>456</v>
      </c>
      <c r="G192" s="105">
        <v>441935</v>
      </c>
      <c r="H192" s="105">
        <v>127926</v>
      </c>
      <c r="I192" s="105">
        <v>72671</v>
      </c>
      <c r="J192" s="106">
        <v>1.76</v>
      </c>
      <c r="K192" s="106">
        <v>2.54</v>
      </c>
      <c r="L192" s="107">
        <v>28096.3</v>
      </c>
      <c r="M192" s="108">
        <f t="shared" si="48"/>
        <v>28.946790817654179</v>
      </c>
      <c r="N192" s="108">
        <f t="shared" si="49"/>
        <v>16.443820923891522</v>
      </c>
      <c r="O192" s="108">
        <f t="shared" si="50"/>
        <v>56.8070603317543</v>
      </c>
      <c r="P192" s="108">
        <f t="shared" si="51"/>
        <v>63.575638951429511</v>
      </c>
      <c r="Q192" s="108">
        <f t="shared" si="52"/>
        <v>38.720231784441999</v>
      </c>
      <c r="R192" s="108">
        <f t="shared" si="53"/>
        <v>27.021447627328243</v>
      </c>
      <c r="S192" s="101">
        <f t="shared" si="54"/>
        <v>45917</v>
      </c>
      <c r="T192" s="102" t="str">
        <f t="shared" si="55"/>
        <v>Septiembre</v>
      </c>
      <c r="U192" s="102" t="str">
        <f t="shared" si="56"/>
        <v>Miércoles</v>
      </c>
      <c r="V192" s="102">
        <f t="shared" si="57"/>
        <v>8</v>
      </c>
      <c r="W192" s="102" t="str">
        <f t="shared" si="58"/>
        <v>Días después del pago</v>
      </c>
      <c r="X192" s="102">
        <f t="shared" si="59"/>
        <v>26</v>
      </c>
      <c r="Y192" s="102" t="str">
        <f t="shared" si="60"/>
        <v>Sí</v>
      </c>
      <c r="Z192" s="102" t="str">
        <f>CHOOSE(MATCH(B192,{"Customer Appreciation","Exclusive Offers","Flash Sale","Holiday Discounts","New Product Launch","Newsletter"},0),"Fidelizar","Vender","Vender","Vender","Lanzar","Educar")</f>
        <v>Vender</v>
      </c>
      <c r="AA192" s="102" t="str">
        <f t="shared" si="61"/>
        <v>Más de 400 mil</v>
      </c>
      <c r="AB192" s="102">
        <f>COUNTIFS($E$5:$E$493,E192,$S$5:$S$493,"&lt;"&amp;S192)+COUNTIFS($E$5:E192,E192,$S$5:S192,S192)</f>
        <v>9</v>
      </c>
      <c r="AC192" s="102">
        <f t="shared" si="62"/>
        <v>15</v>
      </c>
      <c r="AD192" s="102" t="str">
        <f t="shared" si="63"/>
        <v>Medio</v>
      </c>
      <c r="AE192" s="103">
        <f t="shared" si="64"/>
        <v>-9.7734409667878204</v>
      </c>
      <c r="AF192" s="102" t="str">
        <f t="shared" si="65"/>
        <v xml:space="preserve">  solo un clic te separa de estas ofertas  l'oréal paris </v>
      </c>
      <c r="AG192" s="102" t="str">
        <f t="shared" si="66"/>
        <v xml:space="preserve"> descuentos irresistibles en productos seleccionados   últimas horas  </v>
      </c>
      <c r="AH192" s="102" t="str">
        <f>IF(SUMPRODUCT(--(LEFT(IF(LEFT(LOWER(E192),1)="¡",MID(LOWER(E192),2,300),LOWER(E192)),LEN({"actualizaci","el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192" s="102" t="str">
        <f>IF(OR(SUMPRODUCT(--ISNUMBER(SEARCH({"descuento","oferta","ahorr","precio"," sale ","flash","deals"},AF192)))&gt;0,SUMPRODUCT(--ISNUMBER(SEARCH({"descuento","oferta","ahorr","precio"," sale ","flash","deals"},AG192)))&gt;0),"Sí","No")</f>
        <v>Sí</v>
      </c>
      <c r="AJ192" s="102" t="str">
        <f>IF(SUMPRODUCT(--ISNUMBER(SEARCH({" hoy ","horas","tiempo limitado","antes de que","se acab","se agot","finalic","última oportunidad","oportunidad única","relámpago","express","no esperes","no volver","no parpadees"},AF192)))&gt;0,"Sí","No")</f>
        <v>No</v>
      </c>
      <c r="AK192" s="102" t="str">
        <f>IF(SUMPRODUCT(--ISNUMBER(SEARCH({" hoy ","horas","tiempo limitado","antes de que","se acab","se agot","finalic","última oportunidad","oportunidad única","relámpago","express","no esperes","no volver","no parpadees"},AG192)))&gt;0,"Sí","No")</f>
        <v>Sí</v>
      </c>
      <c r="AL192" s="102" t="str">
        <f t="shared" si="67"/>
        <v>Descuento con tiempo límite solo en el preheader</v>
      </c>
      <c r="AM192" s="102" t="str">
        <f>IF(SUMPRODUCT(--ISNUMBER(SEARCH({"0","1","2","3","4","5","6","7","8","9","favorit","maquillaje","piel","cabello","productos","belleza","regalo"},E192)))&gt;0,"Sí","No")</f>
        <v>No</v>
      </c>
      <c r="AN192" s="102" t="str">
        <f>IF(SUMPRODUCT(--ISNUMBER(SEARCH({"lo que tenemos","estas ofertas","algo especial","ofertas únicas","que preparamos","no te quedes","echa un vistazo"},F192)))&gt;0,"Sí","No")</f>
        <v>No</v>
      </c>
      <c r="AO192" s="102">
        <f t="shared" si="68"/>
        <v>55</v>
      </c>
      <c r="AP192" s="102">
        <f t="shared" si="69"/>
        <v>10</v>
      </c>
      <c r="AQ192" s="102">
        <f>SUMPRODUCT(LEN(E192)-LEN(SUBSTITUTE(E192,{"!","¡","?","¿",":",",",".","%","·","-",";"},"")))</f>
        <v>2</v>
      </c>
      <c r="AR192" s="102" t="str">
        <f t="shared" si="70"/>
        <v>No</v>
      </c>
      <c r="AS192" s="102" t="str">
        <f t="shared" si="71"/>
        <v>No</v>
      </c>
      <c r="AT192" s="102" t="str">
        <f>IF(SUMPRODUCT(--ISNUMBER(FIND({"0","1","2","3","4","5","6","7","8","9"},E192)))&gt;0,"Con cifra concreta",IF(OR(ISNUMBER(FIND("?",E192)),ISNUMBER(FIND("¿",E192))),"Pregunta abierta",IF(SUMPRODUCT(--ISNUMBER(SEARCH({" hoy ","horas","tiempo limitado","antes de que","se acab","se agot","finalic","última oportunidad","oportunidad única","relámpago","express","no esperes","no volver","no parpadees"," ya ","últimas horas","últimas unidades"," ahora "},AF192)))&gt;0,"Solo urgencia, sin cifra",IF(SUMPRODUCT(--ISNUMBER(SEARCH({"recompensa","sorpresa","regalo","lealtad","detalle","gracias","pensamos en ti","para ti"},E192)))&gt;0,"Recompensa o sorpresa","Otro: beneficio o novedad"))))</f>
        <v>Otro: beneficio o novedad</v>
      </c>
    </row>
    <row r="193" spans="1:46" x14ac:dyDescent="0.2">
      <c r="A193" s="96" t="s">
        <v>1064</v>
      </c>
      <c r="B193" s="96" t="s">
        <v>274</v>
      </c>
      <c r="C193" s="96" t="s">
        <v>944</v>
      </c>
      <c r="D193" s="96" t="s">
        <v>794</v>
      </c>
      <c r="E193" s="96" t="s">
        <v>817</v>
      </c>
      <c r="F193" s="96" t="s">
        <v>818</v>
      </c>
      <c r="G193" s="97">
        <v>178525</v>
      </c>
      <c r="H193" s="97">
        <v>26690</v>
      </c>
      <c r="I193" s="97">
        <v>11520</v>
      </c>
      <c r="J193" s="98">
        <v>7.12</v>
      </c>
      <c r="K193" s="98">
        <v>4.96</v>
      </c>
      <c r="L193" s="99">
        <v>34469.269999999997</v>
      </c>
      <c r="M193" s="100">
        <f t="shared" si="48"/>
        <v>14.950287074639407</v>
      </c>
      <c r="N193" s="100">
        <f t="shared" si="49"/>
        <v>6.4528777482145365</v>
      </c>
      <c r="O193" s="100">
        <f t="shared" si="50"/>
        <v>43.162233046084673</v>
      </c>
      <c r="P193" s="100">
        <f t="shared" si="51"/>
        <v>193.07811230920038</v>
      </c>
      <c r="Q193" s="100">
        <f t="shared" si="52"/>
        <v>29.881859851946338</v>
      </c>
      <c r="R193" s="100">
        <f t="shared" si="53"/>
        <v>31.113650744455075</v>
      </c>
      <c r="S193" s="101">
        <f t="shared" si="54"/>
        <v>45943</v>
      </c>
      <c r="T193" s="102" t="str">
        <f t="shared" si="55"/>
        <v>Octubre</v>
      </c>
      <c r="U193" s="102" t="str">
        <f t="shared" si="56"/>
        <v>Lunes</v>
      </c>
      <c r="V193" s="102">
        <f t="shared" si="57"/>
        <v>12</v>
      </c>
      <c r="W193" s="102" t="str">
        <f t="shared" si="58"/>
        <v>Resto del mes</v>
      </c>
      <c r="X193" s="102">
        <f t="shared" si="59"/>
        <v>23</v>
      </c>
      <c r="Y193" s="102" t="str">
        <f t="shared" si="60"/>
        <v>Sí</v>
      </c>
      <c r="Z193" s="102" t="str">
        <f>CHOOSE(MATCH(B193,{"Customer Appreciation","Exclusive Offers","Flash Sale","Holiday Discounts","New Product Launch","Newsletter"},0),"Fidelizar","Vender","Vender","Vender","Lanzar","Educar")</f>
        <v>Fidelizar</v>
      </c>
      <c r="AA193" s="102" t="str">
        <f t="shared" si="61"/>
        <v>100 a 200 mil</v>
      </c>
      <c r="AB193" s="102">
        <f>COUNTIFS($E$5:$E$493,E193,$S$5:$S$493,"&lt;"&amp;S193)+COUNTIFS($E$5:E193,E193,$S$5:S193,S193)</f>
        <v>2</v>
      </c>
      <c r="AC193" s="102">
        <f t="shared" si="62"/>
        <v>5</v>
      </c>
      <c r="AD193" s="102" t="str">
        <f t="shared" si="63"/>
        <v/>
      </c>
      <c r="AE193" s="103">
        <f t="shared" si="64"/>
        <v>-14.931572777306931</v>
      </c>
      <c r="AF193" s="102" t="str">
        <f t="shared" si="65"/>
        <v xml:space="preserve">  un gesto de gratitud de l'oréal  tu belleza  nuestra pasión </v>
      </c>
      <c r="AG193" s="102" t="str">
        <f t="shared" si="66"/>
        <v xml:space="preserve"> hemos preparado algo especial para ti   descúbrelo ahora  </v>
      </c>
      <c r="AH193" s="102" t="str">
        <f>IF(SUMPRODUCT(--(LEFT(IF(LEFT(LOWER(E193),1)="¡",MID(LOWER(E193),2,300),LOWER(E193)),LEN({"actualizaci","el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193" s="102" t="str">
        <f>IF(OR(SUMPRODUCT(--ISNUMBER(SEARCH({"descuento","oferta","ahorr","precio"," sale ","flash","deals"},AF193)))&gt;0,SUMPRODUCT(--ISNUMBER(SEARCH({"descuento","oferta","ahorr","precio"," sale ","flash","deals"},AG193)))&gt;0),"Sí","No")</f>
        <v>No</v>
      </c>
      <c r="AJ193" s="102" t="str">
        <f>IF(SUMPRODUCT(--ISNUMBER(SEARCH({" hoy ","horas","tiempo limitado","antes de que","se acab","se agot","finalic","última oportunidad","oportunidad única","relámpago","express","no esperes","no volver","no parpadees"},AF193)))&gt;0,"Sí","No")</f>
        <v>No</v>
      </c>
      <c r="AK193" s="102" t="str">
        <f>IF(SUMPRODUCT(--ISNUMBER(SEARCH({" hoy ","horas","tiempo limitado","antes de que","se acab","se agot","finalic","última oportunidad","oportunidad única","relámpago","express","no esperes","no volver","no parpadees"},AG193)))&gt;0,"Sí","No")</f>
        <v>No</v>
      </c>
      <c r="AL193" s="102" t="str">
        <f t="shared" si="67"/>
        <v>Sin descuento</v>
      </c>
      <c r="AM193" s="102" t="str">
        <f>IF(SUMPRODUCT(--ISNUMBER(SEARCH({"0","1","2","3","4","5","6","7","8","9","favorit","maquillaje","piel","cabello","productos","belleza","regalo"},E193)))&gt;0,"Sí","No")</f>
        <v>Sí</v>
      </c>
      <c r="AN193" s="102" t="str">
        <f>IF(SUMPRODUCT(--ISNUMBER(SEARCH({"lo que tenemos","estas ofertas","algo especial","ofertas únicas","que preparamos","no te quedes","echa un vistazo"},F193)))&gt;0,"Sí","No")</f>
        <v>Sí</v>
      </c>
      <c r="AO193" s="102">
        <f t="shared" si="68"/>
        <v>60</v>
      </c>
      <c r="AP193" s="102">
        <f t="shared" si="69"/>
        <v>10</v>
      </c>
      <c r="AQ193" s="102">
        <f>SUMPRODUCT(LEN(E193)-LEN(SUBSTITUTE(E193,{"!","¡","?","¿",":",",",".","%","·","-",";"},"")))</f>
        <v>3</v>
      </c>
      <c r="AR193" s="102" t="str">
        <f t="shared" si="70"/>
        <v>No</v>
      </c>
      <c r="AS193" s="102" t="str">
        <f t="shared" si="71"/>
        <v>No</v>
      </c>
      <c r="AT193" s="102" t="str">
        <f>IF(SUMPRODUCT(--ISNUMBER(FIND({"0","1","2","3","4","5","6","7","8","9"},E193)))&gt;0,"Con cifra concreta",IF(OR(ISNUMBER(FIND("?",E193)),ISNUMBER(FIND("¿",E193))),"Pregunta abierta",IF(SUMPRODUCT(--ISNUMBER(SEARCH({" hoy ","horas","tiempo limitado","antes de que","se acab","se agot","finalic","última oportunidad","oportunidad única","relámpago","express","no esperes","no volver","no parpadees"," ya ","últimas horas","últimas unidades"," ahora "},AF193)))&gt;0,"Solo urgencia, sin cifra",IF(SUMPRODUCT(--ISNUMBER(SEARCH({"recompensa","sorpresa","regalo","lealtad","detalle","gracias","pensamos en ti","para ti"},E193)))&gt;0,"Recompensa o sorpresa","Otro: beneficio o novedad"))))</f>
        <v>Otro: beneficio o novedad</v>
      </c>
    </row>
    <row r="194" spans="1:46" x14ac:dyDescent="0.2">
      <c r="A194" s="104" t="s">
        <v>1065</v>
      </c>
      <c r="B194" s="104" t="s">
        <v>274</v>
      </c>
      <c r="C194" s="104" t="s">
        <v>889</v>
      </c>
      <c r="D194" s="104" t="s">
        <v>761</v>
      </c>
      <c r="E194" s="104" t="s">
        <v>371</v>
      </c>
      <c r="F194" s="104" t="s">
        <v>452</v>
      </c>
      <c r="G194" s="105">
        <v>318988</v>
      </c>
      <c r="H194" s="105">
        <v>147610</v>
      </c>
      <c r="I194" s="105">
        <v>3891</v>
      </c>
      <c r="J194" s="106">
        <v>7.09</v>
      </c>
      <c r="K194" s="106">
        <v>2.34</v>
      </c>
      <c r="L194" s="107">
        <v>57593.78</v>
      </c>
      <c r="M194" s="108">
        <f t="shared" si="48"/>
        <v>46.274468005066019</v>
      </c>
      <c r="N194" s="108">
        <f t="shared" si="49"/>
        <v>1.219795102010107</v>
      </c>
      <c r="O194" s="108">
        <f t="shared" si="50"/>
        <v>2.6360002709843506</v>
      </c>
      <c r="P194" s="108">
        <f t="shared" si="51"/>
        <v>180.55155679837486</v>
      </c>
      <c r="Q194" s="108">
        <f t="shared" si="52"/>
        <v>40.72142758959253</v>
      </c>
      <c r="R194" s="108">
        <f t="shared" si="53"/>
        <v>31.113650744455075</v>
      </c>
      <c r="S194" s="101">
        <f t="shared" si="54"/>
        <v>45908</v>
      </c>
      <c r="T194" s="102" t="str">
        <f t="shared" si="55"/>
        <v>Septiembre</v>
      </c>
      <c r="U194" s="102" t="str">
        <f t="shared" si="56"/>
        <v>Lunes</v>
      </c>
      <c r="V194" s="102">
        <f t="shared" si="57"/>
        <v>10</v>
      </c>
      <c r="W194" s="102" t="str">
        <f t="shared" si="58"/>
        <v>Resto del mes</v>
      </c>
      <c r="X194" s="102">
        <f t="shared" si="59"/>
        <v>28</v>
      </c>
      <c r="Y194" s="102" t="str">
        <f t="shared" si="60"/>
        <v>Sí</v>
      </c>
      <c r="Z194" s="102" t="str">
        <f>CHOOSE(MATCH(B194,{"Customer Appreciation","Exclusive Offers","Flash Sale","Holiday Discounts","New Product Launch","Newsletter"},0),"Fidelizar","Vender","Vender","Vender","Lanzar","Educar")</f>
        <v>Fidelizar</v>
      </c>
      <c r="AA194" s="102" t="str">
        <f t="shared" si="61"/>
        <v>300 a 400 mil</v>
      </c>
      <c r="AB194" s="102">
        <f>COUNTIFS($E$5:$E$493,E194,$S$5:$S$493,"&lt;"&amp;S194)+COUNTIFS($E$5:E194,E194,$S$5:S194,S194)</f>
        <v>7</v>
      </c>
      <c r="AC194" s="102">
        <f t="shared" si="62"/>
        <v>16</v>
      </c>
      <c r="AD194" s="102" t="str">
        <f t="shared" si="63"/>
        <v>Medio</v>
      </c>
      <c r="AE194" s="103">
        <f t="shared" si="64"/>
        <v>5.5530404154734896</v>
      </c>
      <c r="AF194" s="102" t="str">
        <f t="shared" si="65"/>
        <v xml:space="preserve">  tu lealtad tiene recompensa  descúbrela  sorpresas para ti </v>
      </c>
      <c r="AG194" s="102" t="str">
        <f t="shared" si="66"/>
        <v xml:space="preserve"> ofertas exclusivas para nuestros clientes más especiales   no te las pierdas  </v>
      </c>
      <c r="AH194" s="102" t="str">
        <f>IF(SUMPRODUCT(--(LEFT(IF(LEFT(LOWER(E194),1)="¡",MID(LOWER(E194),2,300),LOWER(E194)),LEN({"actualizaci","el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194" s="102" t="str">
        <f>IF(OR(SUMPRODUCT(--ISNUMBER(SEARCH({"descuento","oferta","ahorr","precio"," sale ","flash","deals"},AF194)))&gt;0,SUMPRODUCT(--ISNUMBER(SEARCH({"descuento","oferta","ahorr","precio"," sale ","flash","deals"},AG194)))&gt;0),"Sí","No")</f>
        <v>Sí</v>
      </c>
      <c r="AJ194" s="102" t="str">
        <f>IF(SUMPRODUCT(--ISNUMBER(SEARCH({" hoy ","horas","tiempo limitado","antes de que","se acab","se agot","finalic","última oportunidad","oportunidad única","relámpago","express","no esperes","no volver","no parpadees"},AF194)))&gt;0,"Sí","No")</f>
        <v>No</v>
      </c>
      <c r="AK194" s="102" t="str">
        <f>IF(SUMPRODUCT(--ISNUMBER(SEARCH({" hoy ","horas","tiempo limitado","antes de que","se acab","se agot","finalic","última oportunidad","oportunidad única","relámpago","express","no esperes","no volver","no parpadees"},AG194)))&gt;0,"Sí","No")</f>
        <v>No</v>
      </c>
      <c r="AL194" s="102" t="str">
        <f t="shared" si="67"/>
        <v>Descuento sin tiempo límite</v>
      </c>
      <c r="AM194" s="102" t="str">
        <f>IF(SUMPRODUCT(--ISNUMBER(SEARCH({"0","1","2","3","4","5","6","7","8","9","favorit","maquillaje","piel","cabello","productos","belleza","regalo"},E194)))&gt;0,"Sí","No")</f>
        <v>No</v>
      </c>
      <c r="AN194" s="102" t="str">
        <f>IF(SUMPRODUCT(--ISNUMBER(SEARCH({"lo que tenemos","estas ofertas","algo especial","ofertas únicas","que preparamos","no te quedes","echa un vistazo"},F194)))&gt;0,"Sí","No")</f>
        <v>No</v>
      </c>
      <c r="AO194" s="102">
        <f t="shared" si="68"/>
        <v>59</v>
      </c>
      <c r="AP194" s="102">
        <f t="shared" si="69"/>
        <v>8</v>
      </c>
      <c r="AQ194" s="102">
        <f>SUMPRODUCT(LEN(E194)-LEN(SUBSTITUTE(E194,{"!","¡","?","¿",":",",",".","%","·","-",";"},"")))</f>
        <v>3</v>
      </c>
      <c r="AR194" s="102" t="str">
        <f t="shared" si="70"/>
        <v>Sí</v>
      </c>
      <c r="AS194" s="102" t="str">
        <f t="shared" si="71"/>
        <v>No</v>
      </c>
      <c r="AT194" s="102" t="str">
        <f>IF(SUMPRODUCT(--ISNUMBER(FIND({"0","1","2","3","4","5","6","7","8","9"},E194)))&gt;0,"Con cifra concreta",IF(OR(ISNUMBER(FIND("?",E194)),ISNUMBER(FIND("¿",E194))),"Pregunta abierta",IF(SUMPRODUCT(--ISNUMBER(SEARCH({" hoy ","horas","tiempo limitado","antes de que","se acab","se agot","finalic","última oportunidad","oportunidad única","relámpago","express","no esperes","no volver","no parpadees"," ya ","últimas horas","últimas unidades"," ahora "},AF194)))&gt;0,"Solo urgencia, sin cifra",IF(SUMPRODUCT(--ISNUMBER(SEARCH({"recompensa","sorpresa","regalo","lealtad","detalle","gracias","pensamos en ti","para ti"},E194)))&gt;0,"Recompensa o sorpresa","Otro: beneficio o novedad"))))</f>
        <v>Recompensa o sorpresa</v>
      </c>
    </row>
    <row r="195" spans="1:46" x14ac:dyDescent="0.2">
      <c r="A195" s="96" t="s">
        <v>1066</v>
      </c>
      <c r="B195" s="96" t="s">
        <v>278</v>
      </c>
      <c r="C195" s="96" t="s">
        <v>891</v>
      </c>
      <c r="D195" s="96" t="s">
        <v>786</v>
      </c>
      <c r="E195" s="96" t="s">
        <v>368</v>
      </c>
      <c r="F195" s="96" t="s">
        <v>471</v>
      </c>
      <c r="G195" s="97">
        <v>323904</v>
      </c>
      <c r="H195" s="97">
        <v>105822</v>
      </c>
      <c r="I195" s="97">
        <v>53412</v>
      </c>
      <c r="J195" s="98">
        <v>6.12</v>
      </c>
      <c r="K195" s="98">
        <v>4.5199999999999996</v>
      </c>
      <c r="L195" s="99">
        <v>43415.38</v>
      </c>
      <c r="M195" s="100">
        <f t="shared" si="48"/>
        <v>32.670791345583879</v>
      </c>
      <c r="N195" s="100">
        <f t="shared" si="49"/>
        <v>16.490071132187314</v>
      </c>
      <c r="O195" s="100">
        <f t="shared" si="50"/>
        <v>50.473436525486193</v>
      </c>
      <c r="P195" s="100">
        <f t="shared" si="51"/>
        <v>134.03780132384904</v>
      </c>
      <c r="Q195" s="100">
        <f t="shared" si="52"/>
        <v>23.315840784070005</v>
      </c>
      <c r="R195" s="100">
        <f t="shared" si="53"/>
        <v>29.458247936272421</v>
      </c>
      <c r="S195" s="101">
        <f t="shared" si="54"/>
        <v>45888</v>
      </c>
      <c r="T195" s="102" t="str">
        <f t="shared" si="55"/>
        <v>Agosto</v>
      </c>
      <c r="U195" s="102" t="str">
        <f t="shared" si="56"/>
        <v>Martes</v>
      </c>
      <c r="V195" s="102">
        <f t="shared" si="57"/>
        <v>15</v>
      </c>
      <c r="W195" s="102" t="str">
        <f t="shared" si="58"/>
        <v>Días después del pago</v>
      </c>
      <c r="X195" s="102">
        <f t="shared" si="59"/>
        <v>29</v>
      </c>
      <c r="Y195" s="102" t="str">
        <f t="shared" si="60"/>
        <v>Sí</v>
      </c>
      <c r="Z195" s="102" t="str">
        <f>CHOOSE(MATCH(B195,{"Customer Appreciation","Exclusive Offers","Flash Sale","Holiday Discounts","New Product Launch","Newsletter"},0),"Fidelizar","Vender","Vender","Vender","Lanzar","Educar")</f>
        <v>Lanzar</v>
      </c>
      <c r="AA195" s="102" t="str">
        <f t="shared" si="61"/>
        <v>300 a 400 mil</v>
      </c>
      <c r="AB195" s="102">
        <f>COUNTIFS($E$5:$E$493,E195,$S$5:$S$493,"&lt;"&amp;S195)+COUNTIFS($E$5:E195,E195,$S$5:S195,S195)</f>
        <v>8</v>
      </c>
      <c r="AC195" s="102">
        <f t="shared" si="62"/>
        <v>33</v>
      </c>
      <c r="AD195" s="102" t="str">
        <f t="shared" si="63"/>
        <v>Primer tercio</v>
      </c>
      <c r="AE195" s="103">
        <f t="shared" si="64"/>
        <v>9.3549505615138742</v>
      </c>
      <c r="AF195" s="102" t="str">
        <f t="shared" si="65"/>
        <v xml:space="preserve"> presentamos  nuestro último lanzamiento de belleza  imperdible  </v>
      </c>
      <c r="AG195" s="102" t="str">
        <f t="shared" si="66"/>
        <v xml:space="preserve"> una innovación que cambiará tu rutina   sé de los primeros  </v>
      </c>
      <c r="AH195" s="102" t="str">
        <f>IF(SUMPRODUCT(--(LEFT(IF(LEFT(LOWER(E195),1)="¡",MID(LOWER(E195),2,300),LOWER(E195)),LEN({"actualizaci","el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Sí</v>
      </c>
      <c r="AI195" s="102" t="str">
        <f>IF(OR(SUMPRODUCT(--ISNUMBER(SEARCH({"descuento","oferta","ahorr","precio"," sale ","flash","deals"},AF195)))&gt;0,SUMPRODUCT(--ISNUMBER(SEARCH({"descuento","oferta","ahorr","precio"," sale ","flash","deals"},AG195)))&gt;0),"Sí","No")</f>
        <v>No</v>
      </c>
      <c r="AJ195" s="102" t="str">
        <f>IF(SUMPRODUCT(--ISNUMBER(SEARCH({" hoy ","horas","tiempo limitado","antes de que","se acab","se agot","finalic","última oportunidad","oportunidad única","relámpago","express","no esperes","no volver","no parpadees"},AF195)))&gt;0,"Sí","No")</f>
        <v>No</v>
      </c>
      <c r="AK195" s="102" t="str">
        <f>IF(SUMPRODUCT(--ISNUMBER(SEARCH({" hoy ","horas","tiempo limitado","antes de que","se acab","se agot","finalic","última oportunidad","oportunidad única","relámpago","express","no esperes","no volver","no parpadees"},AG195)))&gt;0,"Sí","No")</f>
        <v>No</v>
      </c>
      <c r="AL195" s="102" t="str">
        <f t="shared" si="67"/>
        <v>Sin descuento</v>
      </c>
      <c r="AM195" s="102" t="str">
        <f>IF(SUMPRODUCT(--ISNUMBER(SEARCH({"0","1","2","3","4","5","6","7","8","9","favorit","maquillaje","piel","cabello","productos","belleza","regalo"},E195)))&gt;0,"Sí","No")</f>
        <v>Sí</v>
      </c>
      <c r="AN195" s="102" t="str">
        <f>IF(SUMPRODUCT(--ISNUMBER(SEARCH({"lo que tenemos","estas ofertas","algo especial","ofertas únicas","que preparamos","no te quedes","echa un vistazo"},F195)))&gt;0,"Sí","No")</f>
        <v>No</v>
      </c>
      <c r="AO195" s="102">
        <f t="shared" si="68"/>
        <v>63</v>
      </c>
      <c r="AP195" s="102">
        <f t="shared" si="69"/>
        <v>7</v>
      </c>
      <c r="AQ195" s="102">
        <f>SUMPRODUCT(LEN(E195)-LEN(SUBSTITUTE(E195,{"!","¡","?","¿",":",",",".","%","·","-",";"},"")))</f>
        <v>3</v>
      </c>
      <c r="AR195" s="102" t="str">
        <f t="shared" si="70"/>
        <v>No</v>
      </c>
      <c r="AS195" s="102" t="str">
        <f t="shared" si="71"/>
        <v>No</v>
      </c>
      <c r="AT195" s="102" t="str">
        <f>IF(SUMPRODUCT(--ISNUMBER(FIND({"0","1","2","3","4","5","6","7","8","9"},E195)))&gt;0,"Con cifra concreta",IF(OR(ISNUMBER(FIND("?",E195)),ISNUMBER(FIND("¿",E195))),"Pregunta abierta",IF(SUMPRODUCT(--ISNUMBER(SEARCH({" hoy ","horas","tiempo limitado","antes de que","se acab","se agot","finalic","última oportunidad","oportunidad única","relámpago","express","no esperes","no volver","no parpadees"," ya ","últimas horas","últimas unidades"," ahora "},AF195)))&gt;0,"Solo urgencia, sin cifra",IF(SUMPRODUCT(--ISNUMBER(SEARCH({"recompensa","sorpresa","regalo","lealtad","detalle","gracias","pensamos en ti","para ti"},E195)))&gt;0,"Recompensa o sorpresa","Otro: beneficio o novedad"))))</f>
        <v>Otro: beneficio o novedad</v>
      </c>
    </row>
    <row r="196" spans="1:46" x14ac:dyDescent="0.2">
      <c r="A196" s="104" t="s">
        <v>1067</v>
      </c>
      <c r="B196" s="104" t="s">
        <v>274</v>
      </c>
      <c r="C196" s="104" t="s">
        <v>915</v>
      </c>
      <c r="D196" s="104" t="s">
        <v>769</v>
      </c>
      <c r="E196" s="104" t="s">
        <v>687</v>
      </c>
      <c r="F196" s="104" t="s">
        <v>688</v>
      </c>
      <c r="G196" s="105">
        <v>439443</v>
      </c>
      <c r="H196" s="105">
        <v>97621</v>
      </c>
      <c r="I196" s="105">
        <v>43900</v>
      </c>
      <c r="J196" s="106">
        <v>7.41</v>
      </c>
      <c r="K196" s="106">
        <v>1.48</v>
      </c>
      <c r="L196" s="107">
        <v>50008.82</v>
      </c>
      <c r="M196" s="108">
        <f t="shared" si="48"/>
        <v>22.214712715869865</v>
      </c>
      <c r="N196" s="108">
        <f t="shared" si="49"/>
        <v>9.989919056623954</v>
      </c>
      <c r="O196" s="108">
        <f t="shared" si="50"/>
        <v>44.96983231067086</v>
      </c>
      <c r="P196" s="108">
        <f t="shared" si="51"/>
        <v>113.80047014060982</v>
      </c>
      <c r="Q196" s="108">
        <f t="shared" si="52"/>
        <v>22.904078042170426</v>
      </c>
      <c r="R196" s="108">
        <f t="shared" si="53"/>
        <v>31.113650744455075</v>
      </c>
      <c r="S196" s="101">
        <f t="shared" si="54"/>
        <v>45954</v>
      </c>
      <c r="T196" s="102" t="str">
        <f t="shared" si="55"/>
        <v>Octubre</v>
      </c>
      <c r="U196" s="102" t="str">
        <f t="shared" si="56"/>
        <v>Viernes</v>
      </c>
      <c r="V196" s="102">
        <f t="shared" si="57"/>
        <v>13</v>
      </c>
      <c r="W196" s="102" t="str">
        <f t="shared" si="58"/>
        <v>Resto del mes</v>
      </c>
      <c r="X196" s="102">
        <f t="shared" si="59"/>
        <v>29</v>
      </c>
      <c r="Y196" s="102" t="str">
        <f t="shared" si="60"/>
        <v>Sí</v>
      </c>
      <c r="Z196" s="102" t="str">
        <f>CHOOSE(MATCH(B196,{"Customer Appreciation","Exclusive Offers","Flash Sale","Holiday Discounts","New Product Launch","Newsletter"},0),"Fidelizar","Vender","Vender","Vender","Lanzar","Educar")</f>
        <v>Fidelizar</v>
      </c>
      <c r="AA196" s="102" t="str">
        <f t="shared" si="61"/>
        <v>Más de 400 mil</v>
      </c>
      <c r="AB196" s="102">
        <f>COUNTIFS($E$5:$E$493,E196,$S$5:$S$493,"&lt;"&amp;S196)+COUNTIFS($E$5:E196,E196,$S$5:S196,S196)</f>
        <v>3</v>
      </c>
      <c r="AC196" s="102">
        <f t="shared" si="62"/>
        <v>4</v>
      </c>
      <c r="AD196" s="102" t="str">
        <f t="shared" si="63"/>
        <v/>
      </c>
      <c r="AE196" s="103">
        <f t="shared" si="64"/>
        <v>-0.68936532630056035</v>
      </c>
      <c r="AF196" s="102" t="str">
        <f t="shared" si="65"/>
        <v xml:space="preserve">  gracias por ser parte de l'oréal  ofertas para ti </v>
      </c>
      <c r="AG196" s="102" t="str">
        <f t="shared" si="66"/>
        <v xml:space="preserve"> descubre nuestras novedades y ofertas exclusivas para ti   te encantarán  </v>
      </c>
      <c r="AH196" s="102" t="str">
        <f>IF(SUMPRODUCT(--(LEFT(IF(LEFT(LOWER(E196),1)="¡",MID(LOWER(E196),2,300),LOWER(E196)),LEN({"actualizaci","el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196" s="102" t="str">
        <f>IF(OR(SUMPRODUCT(--ISNUMBER(SEARCH({"descuento","oferta","ahorr","precio"," sale ","flash","deals"},AF196)))&gt;0,SUMPRODUCT(--ISNUMBER(SEARCH({"descuento","oferta","ahorr","precio"," sale ","flash","deals"},AG196)))&gt;0),"Sí","No")</f>
        <v>Sí</v>
      </c>
      <c r="AJ196" s="102" t="str">
        <f>IF(SUMPRODUCT(--ISNUMBER(SEARCH({" hoy ","horas","tiempo limitado","antes de que","se acab","se agot","finalic","última oportunidad","oportunidad única","relámpago","express","no esperes","no volver","no parpadees"},AF196)))&gt;0,"Sí","No")</f>
        <v>No</v>
      </c>
      <c r="AK196" s="102" t="str">
        <f>IF(SUMPRODUCT(--ISNUMBER(SEARCH({" hoy ","horas","tiempo limitado","antes de que","se acab","se agot","finalic","última oportunidad","oportunidad única","relámpago","express","no esperes","no volver","no parpadees"},AG196)))&gt;0,"Sí","No")</f>
        <v>No</v>
      </c>
      <c r="AL196" s="102" t="str">
        <f t="shared" si="67"/>
        <v>Descuento sin tiempo límite</v>
      </c>
      <c r="AM196" s="102" t="str">
        <f>IF(SUMPRODUCT(--ISNUMBER(SEARCH({"0","1","2","3","4","5","6","7","8","9","favorit","maquillaje","piel","cabello","productos","belleza","regalo"},E196)))&gt;0,"Sí","No")</f>
        <v>No</v>
      </c>
      <c r="AN196" s="102" t="str">
        <f>IF(SUMPRODUCT(--ISNUMBER(SEARCH({"lo que tenemos","estas ofertas","algo especial","ofertas únicas","que preparamos","no te quedes","echa un vistazo"},F196)))&gt;0,"Sí","No")</f>
        <v>No</v>
      </c>
      <c r="AO196" s="102">
        <f t="shared" si="68"/>
        <v>50</v>
      </c>
      <c r="AP196" s="102">
        <f t="shared" si="69"/>
        <v>9</v>
      </c>
      <c r="AQ196" s="102">
        <f>SUMPRODUCT(LEN(E196)-LEN(SUBSTITUTE(E196,{"!","¡","?","¿",":",",",".","%","·","-",";"},"")))</f>
        <v>2</v>
      </c>
      <c r="AR196" s="102" t="str">
        <f t="shared" si="70"/>
        <v>Sí</v>
      </c>
      <c r="AS196" s="102" t="str">
        <f t="shared" si="71"/>
        <v>No</v>
      </c>
      <c r="AT196" s="102" t="str">
        <f>IF(SUMPRODUCT(--ISNUMBER(FIND({"0","1","2","3","4","5","6","7","8","9"},E196)))&gt;0,"Con cifra concreta",IF(OR(ISNUMBER(FIND("?",E196)),ISNUMBER(FIND("¿",E196))),"Pregunta abierta",IF(SUMPRODUCT(--ISNUMBER(SEARCH({" hoy ","horas","tiempo limitado","antes de que","se acab","se agot","finalic","última oportunidad","oportunidad única","relámpago","express","no esperes","no volver","no parpadees"," ya ","últimas horas","últimas unidades"," ahora "},AF196)))&gt;0,"Solo urgencia, sin cifra",IF(SUMPRODUCT(--ISNUMBER(SEARCH({"recompensa","sorpresa","regalo","lealtad","detalle","gracias","pensamos en ti","para ti"},E196)))&gt;0,"Recompensa o sorpresa","Otro: beneficio o novedad"))))</f>
        <v>Recompensa o sorpresa</v>
      </c>
    </row>
    <row r="197" spans="1:46" x14ac:dyDescent="0.2">
      <c r="A197" s="96" t="s">
        <v>1068</v>
      </c>
      <c r="B197" s="96" t="s">
        <v>274</v>
      </c>
      <c r="C197" s="96" t="s">
        <v>917</v>
      </c>
      <c r="D197" s="96" t="s">
        <v>774</v>
      </c>
      <c r="E197" s="96" t="s">
        <v>453</v>
      </c>
      <c r="F197" s="96" t="s">
        <v>454</v>
      </c>
      <c r="G197" s="97">
        <v>442844</v>
      </c>
      <c r="H197" s="97">
        <v>114949</v>
      </c>
      <c r="I197" s="97">
        <v>61869</v>
      </c>
      <c r="J197" s="98">
        <v>9.08</v>
      </c>
      <c r="K197" s="98">
        <v>0.36</v>
      </c>
      <c r="L197" s="99">
        <v>9190.6299999999992</v>
      </c>
      <c r="M197" s="100">
        <f t="shared" ref="M197:M260" si="72">IFERROR(H197/G197*100,"")</f>
        <v>25.956996143111343</v>
      </c>
      <c r="N197" s="100">
        <f t="shared" ref="N197:N260" si="73">IFERROR(I197/G197*100,"")</f>
        <v>13.970833973137267</v>
      </c>
      <c r="O197" s="100">
        <f t="shared" ref="O197:O260" si="74">IFERROR(I197/H197*100,"")</f>
        <v>53.822999765113224</v>
      </c>
      <c r="P197" s="100">
        <f t="shared" ref="P197:P260" si="75">IFERROR(L197/G197*1000,"")</f>
        <v>20.753651398686667</v>
      </c>
      <c r="Q197" s="100">
        <f t="shared" ref="Q197:Q260" si="76">AVERAGEIF($E$5:$E$493,$E197,$M$5:$M$493)</f>
        <v>39.210446566150395</v>
      </c>
      <c r="R197" s="100">
        <f t="shared" ref="R197:R260" si="77">AVERAGEIF($B$5:$B$493,$B197,$M$5:$M$493)</f>
        <v>31.113650744455075</v>
      </c>
      <c r="S197" s="101">
        <f t="shared" ref="S197:S260" si="78">DATEVALUE(C197)</f>
        <v>45916</v>
      </c>
      <c r="T197" s="102" t="str">
        <f t="shared" ref="T197:T260" si="79">CHOOSE(MONTH(S197)-7,"Agosto","Septiembre","Octubre")</f>
        <v>Septiembre</v>
      </c>
      <c r="U197" s="102" t="str">
        <f t="shared" ref="U197:U260" si="80">CHOOSE(WEEKDAY(S197,2),"Lunes","Martes","Miércoles","Jueves","Viernes","Sábado","Domingo")</f>
        <v>Martes</v>
      </c>
      <c r="V197" s="102">
        <f t="shared" ref="V197:V260" si="81">VALUE(LEFT(D197,2))</f>
        <v>11</v>
      </c>
      <c r="W197" s="102" t="str">
        <f t="shared" ref="W197:W260" si="82">IF(OR(AND(DAY(S197)&gt;=14,DAY(S197)&lt;=16),DAY(S197)&gt;=DAY(EOMONTH(S197,0))-1,DAY(S197)=1),"Quincena",IF(OR(AND(DAY(S197)&gt;=2,DAY(S197)&lt;=5),AND(DAY(S197)&gt;=17,DAY(S197)&lt;=20)),"Días después del pago","Resto del mes"))</f>
        <v>Quincena</v>
      </c>
      <c r="X197" s="102">
        <f t="shared" ref="X197:X260" si="83">COUNTIF($S$5:$S$493,S197)</f>
        <v>27</v>
      </c>
      <c r="Y197" s="102" t="str">
        <f t="shared" ref="Y197:Y260" si="84">IF(X197&gt;=20,"Sí","No")</f>
        <v>Sí</v>
      </c>
      <c r="Z197" s="102" t="str">
        <f>CHOOSE(MATCH(B197,{"Customer Appreciation","Exclusive Offers","Flash Sale","Holiday Discounts","New Product Launch","Newsletter"},0),"Fidelizar","Vender","Vender","Vender","Lanzar","Educar")</f>
        <v>Fidelizar</v>
      </c>
      <c r="AA197" s="102" t="str">
        <f t="shared" ref="AA197:AA260" si="85">IF(G197&lt;100000,"Menos de 100 mil",IF(G197&lt;200000,"100 a 200 mil",IF(G197&lt;300000,"200 a 300 mil",IF(G197&lt;400000,"300 a 400 mil","Más de 400 mil"))))</f>
        <v>Más de 400 mil</v>
      </c>
      <c r="AB197" s="102">
        <f>COUNTIFS($E$5:$E$493,E197,$S$5:$S$493,"&lt;"&amp;S197)+COUNTIFS($E$5:E197,E197,$S$5:S197,S197)</f>
        <v>17</v>
      </c>
      <c r="AC197" s="102">
        <f t="shared" ref="AC197:AC260" si="86">COUNTIF($E$5:$E$493,E197)</f>
        <v>20</v>
      </c>
      <c r="AD197" s="102" t="str">
        <f t="shared" ref="AD197:AD260" si="87">IF(AC197&lt;8,"",IF(AB197&lt;=AC197/3,"Primer tercio",IF(AB197&gt;AC197*2/3,"Último tercio","Medio")))</f>
        <v>Último tercio</v>
      </c>
      <c r="AE197" s="103">
        <f t="shared" ref="AE197:AE260" si="88">M197-Q197</f>
        <v>-13.253450423039052</v>
      </c>
      <c r="AF197" s="102" t="str">
        <f t="shared" ref="AF197:AF260" si="89">" "&amp;LOWER(SUBSTITUTE(SUBSTITUTE(SUBSTITUTE(SUBSTITUTE(SUBSTITUTE(SUBSTITUTE(SUBSTITUTE(E197,"¡"," "),"!"," "),"¿"," "),"?"," "),":"," "),","," "),"."," "))&amp;" "</f>
        <v xml:space="preserve">  pensamos en ti  descubre estas sorpresas exclusivas </v>
      </c>
      <c r="AG197" s="102" t="str">
        <f t="shared" ref="AG197:AG260" si="90">" "&amp;LOWER(SUBSTITUTE(SUBSTITUTE(SUBSTITUTE(SUBSTITUTE(SUBSTITUTE(SUBSTITUTE(SUBSTITUTE(F197,"¡"," "),"!"," "),"¿"," "),"?"," "),":"," "),","," "),"."," "))&amp;" "</f>
        <v xml:space="preserve"> ofertas exclusivas por tu lealtad a l'oréal   aprovecha  </v>
      </c>
      <c r="AH197" s="102" t="str">
        <f>IF(SUMPRODUCT(--(LEFT(IF(LEFT(LOWER(E197),1)="¡",MID(LOWER(E197),2,300),LOWER(E197)),LEN({"actualizaci","el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197" s="102" t="str">
        <f>IF(OR(SUMPRODUCT(--ISNUMBER(SEARCH({"descuento","oferta","ahorr","precio"," sale ","flash","deals"},AF197)))&gt;0,SUMPRODUCT(--ISNUMBER(SEARCH({"descuento","oferta","ahorr","precio"," sale ","flash","deals"},AG197)))&gt;0),"Sí","No")</f>
        <v>Sí</v>
      </c>
      <c r="AJ197" s="102" t="str">
        <f>IF(SUMPRODUCT(--ISNUMBER(SEARCH({" hoy ","horas","tiempo limitado","antes de que","se acab","se agot","finalic","última oportunidad","oportunidad única","relámpago","express","no esperes","no volver","no parpadees"},AF197)))&gt;0,"Sí","No")</f>
        <v>No</v>
      </c>
      <c r="AK197" s="102" t="str">
        <f>IF(SUMPRODUCT(--ISNUMBER(SEARCH({" hoy ","horas","tiempo limitado","antes de que","se acab","se agot","finalic","última oportunidad","oportunidad única","relámpago","express","no esperes","no volver","no parpadees"},AG197)))&gt;0,"Sí","No")</f>
        <v>No</v>
      </c>
      <c r="AL197" s="102" t="str">
        <f t="shared" ref="AL197:AL260" si="91">IF(AI197="No","Sin descuento",IF(AJ197="Sí","Descuento con tiempo límite en el asunto",IF(AK197="Sí","Descuento con tiempo límite solo en el preheader","Descuento sin tiempo límite")))</f>
        <v>Descuento sin tiempo límite</v>
      </c>
      <c r="AM197" s="102" t="str">
        <f>IF(SUMPRODUCT(--ISNUMBER(SEARCH({"0","1","2","3","4","5","6","7","8","9","favorit","maquillaje","piel","cabello","productos","belleza","regalo"},E197)))&gt;0,"Sí","No")</f>
        <v>No</v>
      </c>
      <c r="AN197" s="102" t="str">
        <f>IF(SUMPRODUCT(--ISNUMBER(SEARCH({"lo que tenemos","estas ofertas","algo especial","ofertas únicas","que preparamos","no te quedes","echa un vistazo"},F197)))&gt;0,"Sí","No")</f>
        <v>No</v>
      </c>
      <c r="AO197" s="102">
        <f t="shared" ref="AO197:AO260" si="92">LEN(E197)-(LEN(E197)-LEN(SUBSTITUTE(E197,"🔥","")))/LEN("🔥")*(LEN("🔥")-1)</f>
        <v>52</v>
      </c>
      <c r="AP197" s="102">
        <f t="shared" ref="AP197:AP260" si="93">LEN(TRIM(E197))-LEN(SUBSTITUTE(TRIM(E197)," ",""))+1</f>
        <v>7</v>
      </c>
      <c r="AQ197" s="102">
        <f>SUMPRODUCT(LEN(E197)-LEN(SUBSTITUTE(E197,{"!","¡","?","¿",":",",",".","%","·","-",";"},"")))</f>
        <v>2</v>
      </c>
      <c r="AR197" s="102" t="str">
        <f t="shared" ref="AR197:AR260" si="94">IF(AND(AO197&lt;=60,AP197&lt;=9,AQ197&lt;=3,(LEN(E197)-LEN(SUBSTITUTE(E197,"🔥","")))/LEN("🔥")&lt;=1),"Sí","No")</f>
        <v>Sí</v>
      </c>
      <c r="AS197" s="102" t="str">
        <f t="shared" ref="AS197:AS260" si="95">IF(ISNUMBER(SEARCH("hot sale",E197)),"Sí","No")</f>
        <v>No</v>
      </c>
      <c r="AT197" s="102" t="str">
        <f>IF(SUMPRODUCT(--ISNUMBER(FIND({"0","1","2","3","4","5","6","7","8","9"},E197)))&gt;0,"Con cifra concreta",IF(OR(ISNUMBER(FIND("?",E197)),ISNUMBER(FIND("¿",E197))),"Pregunta abierta",IF(SUMPRODUCT(--ISNUMBER(SEARCH({" hoy ","horas","tiempo limitado","antes de que","se acab","se agot","finalic","última oportunidad","oportunidad única","relámpago","express","no esperes","no volver","no parpadees"," ya ","últimas horas","últimas unidades"," ahora "},AF197)))&gt;0,"Solo urgencia, sin cifra",IF(SUMPRODUCT(--ISNUMBER(SEARCH({"recompensa","sorpresa","regalo","lealtad","detalle","gracias","pensamos en ti","para ti"},E197)))&gt;0,"Recompensa o sorpresa","Otro: beneficio o novedad"))))</f>
        <v>Recompensa o sorpresa</v>
      </c>
    </row>
    <row r="198" spans="1:46" x14ac:dyDescent="0.2">
      <c r="A198" s="104" t="s">
        <v>1069</v>
      </c>
      <c r="B198" s="104" t="s">
        <v>278</v>
      </c>
      <c r="C198" s="104" t="s">
        <v>923</v>
      </c>
      <c r="D198" s="104" t="s">
        <v>729</v>
      </c>
      <c r="E198" s="104" t="s">
        <v>467</v>
      </c>
      <c r="F198" s="104" t="s">
        <v>468</v>
      </c>
      <c r="G198" s="105">
        <v>104386</v>
      </c>
      <c r="H198" s="105">
        <v>23635</v>
      </c>
      <c r="I198" s="105">
        <v>9760</v>
      </c>
      <c r="J198" s="106">
        <v>5.54</v>
      </c>
      <c r="K198" s="106">
        <v>0.64</v>
      </c>
      <c r="L198" s="107">
        <v>10627.54</v>
      </c>
      <c r="M198" s="108">
        <f t="shared" si="72"/>
        <v>22.641925162378097</v>
      </c>
      <c r="N198" s="108">
        <f t="shared" si="73"/>
        <v>9.3499128235587143</v>
      </c>
      <c r="O198" s="108">
        <f t="shared" si="74"/>
        <v>41.294690078273746</v>
      </c>
      <c r="P198" s="108">
        <f t="shared" si="75"/>
        <v>101.81001283697049</v>
      </c>
      <c r="Q198" s="108">
        <f t="shared" si="76"/>
        <v>30.93688234168668</v>
      </c>
      <c r="R198" s="108">
        <f t="shared" si="77"/>
        <v>29.458247936272421</v>
      </c>
      <c r="S198" s="101">
        <f t="shared" si="78"/>
        <v>45873</v>
      </c>
      <c r="T198" s="102" t="str">
        <f t="shared" si="79"/>
        <v>Agosto</v>
      </c>
      <c r="U198" s="102" t="str">
        <f t="shared" si="80"/>
        <v>Lunes</v>
      </c>
      <c r="V198" s="102">
        <f t="shared" si="81"/>
        <v>10</v>
      </c>
      <c r="W198" s="102" t="str">
        <f t="shared" si="82"/>
        <v>Días después del pago</v>
      </c>
      <c r="X198" s="102">
        <f t="shared" si="83"/>
        <v>24</v>
      </c>
      <c r="Y198" s="102" t="str">
        <f t="shared" si="84"/>
        <v>Sí</v>
      </c>
      <c r="Z198" s="102" t="str">
        <f>CHOOSE(MATCH(B198,{"Customer Appreciation","Exclusive Offers","Flash Sale","Holiday Discounts","New Product Launch","Newsletter"},0),"Fidelizar","Vender","Vender","Vender","Lanzar","Educar")</f>
        <v>Lanzar</v>
      </c>
      <c r="AA198" s="102" t="str">
        <f t="shared" si="85"/>
        <v>100 a 200 mil</v>
      </c>
      <c r="AB198" s="102">
        <f>COUNTIFS($E$5:$E$493,E198,$S$5:$S$493,"&lt;"&amp;S198)+COUNTIFS($E$5:E198,E198,$S$5:S198,S198)</f>
        <v>1</v>
      </c>
      <c r="AC198" s="102">
        <f t="shared" si="86"/>
        <v>22</v>
      </c>
      <c r="AD198" s="102" t="str">
        <f t="shared" si="87"/>
        <v>Primer tercio</v>
      </c>
      <c r="AE198" s="103">
        <f t="shared" si="88"/>
        <v>-8.2949571793085823</v>
      </c>
      <c r="AF198" s="102" t="str">
        <f t="shared" si="89"/>
        <v xml:space="preserve">  lo nuevo de l'oréal  te va a encantar  innovación en belleza </v>
      </c>
      <c r="AG198" s="102" t="str">
        <f t="shared" si="90"/>
        <v xml:space="preserve"> prepárate para experimentar la innovación en tu belleza   descúbrela  </v>
      </c>
      <c r="AH198" s="102" t="str">
        <f>IF(SUMPRODUCT(--(LEFT(IF(LEFT(LOWER(E198),1)="¡",MID(LOWER(E198),2,300),LOWER(E198)),LEN({"actualizaci","el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198" s="102" t="str">
        <f>IF(OR(SUMPRODUCT(--ISNUMBER(SEARCH({"descuento","oferta","ahorr","precio"," sale ","flash","deals"},AF198)))&gt;0,SUMPRODUCT(--ISNUMBER(SEARCH({"descuento","oferta","ahorr","precio"," sale ","flash","deals"},AG198)))&gt;0),"Sí","No")</f>
        <v>No</v>
      </c>
      <c r="AJ198" s="102" t="str">
        <f>IF(SUMPRODUCT(--ISNUMBER(SEARCH({" hoy ","horas","tiempo limitado","antes de que","se acab","se agot","finalic","última oportunidad","oportunidad única","relámpago","express","no esperes","no volver","no parpadees"},AF198)))&gt;0,"Sí","No")</f>
        <v>No</v>
      </c>
      <c r="AK198" s="102" t="str">
        <f>IF(SUMPRODUCT(--ISNUMBER(SEARCH({" hoy ","horas","tiempo limitado","antes de que","se acab","se agot","finalic","última oportunidad","oportunidad única","relámpago","express","no esperes","no volver","no parpadees"},AG198)))&gt;0,"Sí","No")</f>
        <v>No</v>
      </c>
      <c r="AL198" s="102" t="str">
        <f t="shared" si="91"/>
        <v>Sin descuento</v>
      </c>
      <c r="AM198" s="102" t="str">
        <f>IF(SUMPRODUCT(--ISNUMBER(SEARCH({"0","1","2","3","4","5","6","7","8","9","favorit","maquillaje","piel","cabello","productos","belleza","regalo"},E198)))&gt;0,"Sí","No")</f>
        <v>Sí</v>
      </c>
      <c r="AN198" s="102" t="str">
        <f>IF(SUMPRODUCT(--ISNUMBER(SEARCH({"lo que tenemos","estas ofertas","algo especial","ofertas únicas","que preparamos","no te quedes","echa un vistazo"},F198)))&gt;0,"Sí","No")</f>
        <v>No</v>
      </c>
      <c r="AO198" s="102">
        <f t="shared" si="92"/>
        <v>61</v>
      </c>
      <c r="AP198" s="102">
        <f t="shared" si="93"/>
        <v>11</v>
      </c>
      <c r="AQ198" s="102">
        <f>SUMPRODUCT(LEN(E198)-LEN(SUBSTITUTE(E198,{"!","¡","?","¿",":",",",".","%","·","-",";"},"")))</f>
        <v>3</v>
      </c>
      <c r="AR198" s="102" t="str">
        <f t="shared" si="94"/>
        <v>No</v>
      </c>
      <c r="AS198" s="102" t="str">
        <f t="shared" si="95"/>
        <v>No</v>
      </c>
      <c r="AT198" s="102" t="str">
        <f>IF(SUMPRODUCT(--ISNUMBER(FIND({"0","1","2","3","4","5","6","7","8","9"},E198)))&gt;0,"Con cifra concreta",IF(OR(ISNUMBER(FIND("?",E198)),ISNUMBER(FIND("¿",E198))),"Pregunta abierta",IF(SUMPRODUCT(--ISNUMBER(SEARCH({" hoy ","horas","tiempo limitado","antes de que","se acab","se agot","finalic","última oportunidad","oportunidad única","relámpago","express","no esperes","no volver","no parpadees"," ya ","últimas horas","últimas unidades"," ahora "},AF198)))&gt;0,"Solo urgencia, sin cifra",IF(SUMPRODUCT(--ISNUMBER(SEARCH({"recompensa","sorpresa","regalo","lealtad","detalle","gracias","pensamos en ti","para ti"},E198)))&gt;0,"Recompensa o sorpresa","Otro: beneficio o novedad"))))</f>
        <v>Otro: beneficio o novedad</v>
      </c>
    </row>
    <row r="199" spans="1:46" x14ac:dyDescent="0.2">
      <c r="A199" s="96" t="s">
        <v>1070</v>
      </c>
      <c r="B199" s="96" t="s">
        <v>275</v>
      </c>
      <c r="C199" s="96" t="s">
        <v>793</v>
      </c>
      <c r="D199" s="96" t="s">
        <v>947</v>
      </c>
      <c r="E199" s="96" t="s">
        <v>486</v>
      </c>
      <c r="F199" s="96" t="s">
        <v>487</v>
      </c>
      <c r="G199" s="97">
        <v>317685</v>
      </c>
      <c r="H199" s="97">
        <v>47424</v>
      </c>
      <c r="I199" s="97">
        <v>28263</v>
      </c>
      <c r="J199" s="98">
        <v>7.08</v>
      </c>
      <c r="K199" s="98">
        <v>2.83</v>
      </c>
      <c r="L199" s="99">
        <v>29402.79</v>
      </c>
      <c r="M199" s="100">
        <f t="shared" si="72"/>
        <v>14.927994711742764</v>
      </c>
      <c r="N199" s="100">
        <f t="shared" si="73"/>
        <v>8.8965484678218996</v>
      </c>
      <c r="O199" s="100">
        <f t="shared" si="74"/>
        <v>59.59640688259109</v>
      </c>
      <c r="P199" s="100">
        <f t="shared" si="75"/>
        <v>92.553283913310352</v>
      </c>
      <c r="Q199" s="100">
        <f t="shared" si="76"/>
        <v>10.717211021745861</v>
      </c>
      <c r="R199" s="100">
        <f t="shared" si="77"/>
        <v>27.021447627328243</v>
      </c>
      <c r="S199" s="101">
        <f t="shared" si="78"/>
        <v>45939</v>
      </c>
      <c r="T199" s="102" t="str">
        <f t="shared" si="79"/>
        <v>Octubre</v>
      </c>
      <c r="U199" s="102" t="str">
        <f t="shared" si="80"/>
        <v>Jueves</v>
      </c>
      <c r="V199" s="102">
        <f t="shared" si="81"/>
        <v>9</v>
      </c>
      <c r="W199" s="102" t="str">
        <f t="shared" si="82"/>
        <v>Resto del mes</v>
      </c>
      <c r="X199" s="102">
        <f t="shared" si="83"/>
        <v>27</v>
      </c>
      <c r="Y199" s="102" t="str">
        <f t="shared" si="84"/>
        <v>Sí</v>
      </c>
      <c r="Z199" s="102" t="str">
        <f>CHOOSE(MATCH(B199,{"Customer Appreciation","Exclusive Offers","Flash Sale","Holiday Discounts","New Product Launch","Newsletter"},0),"Fidelizar","Vender","Vender","Vender","Lanzar","Educar")</f>
        <v>Vender</v>
      </c>
      <c r="AA199" s="102" t="str">
        <f t="shared" si="85"/>
        <v>300 a 400 mil</v>
      </c>
      <c r="AB199" s="102">
        <f>COUNTIFS($E$5:$E$493,E199,$S$5:$S$493,"&lt;"&amp;S199)+COUNTIFS($E$5:E199,E199,$S$5:S199,S199)</f>
        <v>8</v>
      </c>
      <c r="AC199" s="102">
        <f t="shared" si="86"/>
        <v>8</v>
      </c>
      <c r="AD199" s="102" t="str">
        <f t="shared" si="87"/>
        <v>Último tercio</v>
      </c>
      <c r="AE199" s="103">
        <f t="shared" si="88"/>
        <v>4.2107836899969033</v>
      </c>
      <c r="AF199" s="102" t="str">
        <f t="shared" si="89"/>
        <v xml:space="preserve">  oportunidades de ahorro  descúbrelas  solo para ti </v>
      </c>
      <c r="AG199" s="102" t="str">
        <f t="shared" si="90"/>
        <v xml:space="preserve"> no te pierdas estas ofertas únicas que tenemos para ti   entra ya  </v>
      </c>
      <c r="AH199" s="102" t="str">
        <f>IF(SUMPRODUCT(--(LEFT(IF(LEFT(LOWER(E199),1)="¡",MID(LOWER(E199),2,300),LOWER(E199)),LEN({"actualizaci","el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Sí</v>
      </c>
      <c r="AI199" s="102" t="str">
        <f>IF(OR(SUMPRODUCT(--ISNUMBER(SEARCH({"descuento","oferta","ahorr","precio"," sale ","flash","deals"},AF199)))&gt;0,SUMPRODUCT(--ISNUMBER(SEARCH({"descuento","oferta","ahorr","precio"," sale ","flash","deals"},AG199)))&gt;0),"Sí","No")</f>
        <v>Sí</v>
      </c>
      <c r="AJ199" s="102" t="str">
        <f>IF(SUMPRODUCT(--ISNUMBER(SEARCH({" hoy ","horas","tiempo limitado","antes de que","se acab","se agot","finalic","última oportunidad","oportunidad única","relámpago","express","no esperes","no volver","no parpadees"},AF199)))&gt;0,"Sí","No")</f>
        <v>No</v>
      </c>
      <c r="AK199" s="102" t="str">
        <f>IF(SUMPRODUCT(--ISNUMBER(SEARCH({" hoy ","horas","tiempo limitado","antes de que","se acab","se agot","finalic","última oportunidad","oportunidad única","relámpago","express","no esperes","no volver","no parpadees"},AG199)))&gt;0,"Sí","No")</f>
        <v>No</v>
      </c>
      <c r="AL199" s="102" t="str">
        <f t="shared" si="91"/>
        <v>Descuento sin tiempo límite</v>
      </c>
      <c r="AM199" s="102" t="str">
        <f>IF(SUMPRODUCT(--ISNUMBER(SEARCH({"0","1","2","3","4","5","6","7","8","9","favorit","maquillaje","piel","cabello","productos","belleza","regalo"},E199)))&gt;0,"Sí","No")</f>
        <v>No</v>
      </c>
      <c r="AN199" s="102" t="str">
        <f>IF(SUMPRODUCT(--ISNUMBER(SEARCH({"lo que tenemos","estas ofertas","algo especial","ofertas únicas","que preparamos","no te quedes","echa un vistazo"},F199)))&gt;0,"Sí","No")</f>
        <v>Sí</v>
      </c>
      <c r="AO199" s="102">
        <f t="shared" si="92"/>
        <v>51</v>
      </c>
      <c r="AP199" s="102">
        <f t="shared" si="93"/>
        <v>7</v>
      </c>
      <c r="AQ199" s="102">
        <f>SUMPRODUCT(LEN(E199)-LEN(SUBSTITUTE(E199,{"!","¡","?","¿",":",",",".","%","·","-",";"},"")))</f>
        <v>3</v>
      </c>
      <c r="AR199" s="102" t="str">
        <f t="shared" si="94"/>
        <v>Sí</v>
      </c>
      <c r="AS199" s="102" t="str">
        <f t="shared" si="95"/>
        <v>No</v>
      </c>
      <c r="AT199" s="102" t="str">
        <f>IF(SUMPRODUCT(--ISNUMBER(FIND({"0","1","2","3","4","5","6","7","8","9"},E199)))&gt;0,"Con cifra concreta",IF(OR(ISNUMBER(FIND("?",E199)),ISNUMBER(FIND("¿",E199))),"Pregunta abierta",IF(SUMPRODUCT(--ISNUMBER(SEARCH({" hoy ","horas","tiempo limitado","antes de que","se acab","se agot","finalic","última oportunidad","oportunidad única","relámpago","express","no esperes","no volver","no parpadees"," ya ","últimas horas","últimas unidades"," ahora "},AF199)))&gt;0,"Solo urgencia, sin cifra",IF(SUMPRODUCT(--ISNUMBER(SEARCH({"recompensa","sorpresa","regalo","lealtad","detalle","gracias","pensamos en ti","para ti"},E199)))&gt;0,"Recompensa o sorpresa","Otro: beneficio o novedad"))))</f>
        <v>Recompensa o sorpresa</v>
      </c>
    </row>
    <row r="200" spans="1:46" x14ac:dyDescent="0.2">
      <c r="A200" s="104" t="s">
        <v>1071</v>
      </c>
      <c r="B200" s="104" t="s">
        <v>278</v>
      </c>
      <c r="C200" s="104" t="s">
        <v>830</v>
      </c>
      <c r="D200" s="104" t="s">
        <v>950</v>
      </c>
      <c r="E200" s="104" t="s">
        <v>368</v>
      </c>
      <c r="F200" s="104" t="s">
        <v>471</v>
      </c>
      <c r="G200" s="105">
        <v>479420</v>
      </c>
      <c r="H200" s="105">
        <v>45887</v>
      </c>
      <c r="I200" s="105">
        <v>21915</v>
      </c>
      <c r="J200" s="106">
        <v>8</v>
      </c>
      <c r="K200" s="106">
        <v>0.56000000000000005</v>
      </c>
      <c r="L200" s="107">
        <v>26768.13</v>
      </c>
      <c r="M200" s="108">
        <f t="shared" si="72"/>
        <v>9.5713570564432029</v>
      </c>
      <c r="N200" s="108">
        <f t="shared" si="73"/>
        <v>4.5711484710692085</v>
      </c>
      <c r="O200" s="108">
        <f t="shared" si="74"/>
        <v>47.758624447011137</v>
      </c>
      <c r="P200" s="108">
        <f t="shared" si="75"/>
        <v>55.834404071586505</v>
      </c>
      <c r="Q200" s="108">
        <f t="shared" si="76"/>
        <v>23.315840784070005</v>
      </c>
      <c r="R200" s="108">
        <f t="shared" si="77"/>
        <v>29.458247936272421</v>
      </c>
      <c r="S200" s="101">
        <f t="shared" si="78"/>
        <v>45901</v>
      </c>
      <c r="T200" s="102" t="str">
        <f t="shared" si="79"/>
        <v>Septiembre</v>
      </c>
      <c r="U200" s="102" t="str">
        <f t="shared" si="80"/>
        <v>Lunes</v>
      </c>
      <c r="V200" s="102">
        <f t="shared" si="81"/>
        <v>14</v>
      </c>
      <c r="W200" s="102" t="str">
        <f t="shared" si="82"/>
        <v>Quincena</v>
      </c>
      <c r="X200" s="102">
        <f t="shared" si="83"/>
        <v>29</v>
      </c>
      <c r="Y200" s="102" t="str">
        <f t="shared" si="84"/>
        <v>Sí</v>
      </c>
      <c r="Z200" s="102" t="str">
        <f>CHOOSE(MATCH(B200,{"Customer Appreciation","Exclusive Offers","Flash Sale","Holiday Discounts","New Product Launch","Newsletter"},0),"Fidelizar","Vender","Vender","Vender","Lanzar","Educar")</f>
        <v>Lanzar</v>
      </c>
      <c r="AA200" s="102" t="str">
        <f t="shared" si="85"/>
        <v>Más de 400 mil</v>
      </c>
      <c r="AB200" s="102">
        <f>COUNTIFS($E$5:$E$493,E200,$S$5:$S$493,"&lt;"&amp;S200)+COUNTIFS($E$5:E200,E200,$S$5:S200,S200)</f>
        <v>11</v>
      </c>
      <c r="AC200" s="102">
        <f t="shared" si="86"/>
        <v>33</v>
      </c>
      <c r="AD200" s="102" t="str">
        <f t="shared" si="87"/>
        <v>Primer tercio</v>
      </c>
      <c r="AE200" s="103">
        <f t="shared" si="88"/>
        <v>-13.744483727626802</v>
      </c>
      <c r="AF200" s="102" t="str">
        <f t="shared" si="89"/>
        <v xml:space="preserve"> presentamos  nuestro último lanzamiento de belleza  imperdible  </v>
      </c>
      <c r="AG200" s="102" t="str">
        <f t="shared" si="90"/>
        <v xml:space="preserve"> una innovación que cambiará tu rutina   sé de los primeros  </v>
      </c>
      <c r="AH200" s="102" t="str">
        <f>IF(SUMPRODUCT(--(LEFT(IF(LEFT(LOWER(E200),1)="¡",MID(LOWER(E200),2,300),LOWER(E200)),LEN({"actualizaci","el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Sí</v>
      </c>
      <c r="AI200" s="102" t="str">
        <f>IF(OR(SUMPRODUCT(--ISNUMBER(SEARCH({"descuento","oferta","ahorr","precio"," sale ","flash","deals"},AF200)))&gt;0,SUMPRODUCT(--ISNUMBER(SEARCH({"descuento","oferta","ahorr","precio"," sale ","flash","deals"},AG200)))&gt;0),"Sí","No")</f>
        <v>No</v>
      </c>
      <c r="AJ200" s="102" t="str">
        <f>IF(SUMPRODUCT(--ISNUMBER(SEARCH({" hoy ","horas","tiempo limitado","antes de que","se acab","se agot","finalic","última oportunidad","oportunidad única","relámpago","express","no esperes","no volver","no parpadees"},AF200)))&gt;0,"Sí","No")</f>
        <v>No</v>
      </c>
      <c r="AK200" s="102" t="str">
        <f>IF(SUMPRODUCT(--ISNUMBER(SEARCH({" hoy ","horas","tiempo limitado","antes de que","se acab","se agot","finalic","última oportunidad","oportunidad única","relámpago","express","no esperes","no volver","no parpadees"},AG200)))&gt;0,"Sí","No")</f>
        <v>No</v>
      </c>
      <c r="AL200" s="102" t="str">
        <f t="shared" si="91"/>
        <v>Sin descuento</v>
      </c>
      <c r="AM200" s="102" t="str">
        <f>IF(SUMPRODUCT(--ISNUMBER(SEARCH({"0","1","2","3","4","5","6","7","8","9","favorit","maquillaje","piel","cabello","productos","belleza","regalo"},E200)))&gt;0,"Sí","No")</f>
        <v>Sí</v>
      </c>
      <c r="AN200" s="102" t="str">
        <f>IF(SUMPRODUCT(--ISNUMBER(SEARCH({"lo que tenemos","estas ofertas","algo especial","ofertas únicas","que preparamos","no te quedes","echa un vistazo"},F200)))&gt;0,"Sí","No")</f>
        <v>No</v>
      </c>
      <c r="AO200" s="102">
        <f t="shared" si="92"/>
        <v>63</v>
      </c>
      <c r="AP200" s="102">
        <f t="shared" si="93"/>
        <v>7</v>
      </c>
      <c r="AQ200" s="102">
        <f>SUMPRODUCT(LEN(E200)-LEN(SUBSTITUTE(E200,{"!","¡","?","¿",":",",",".","%","·","-",";"},"")))</f>
        <v>3</v>
      </c>
      <c r="AR200" s="102" t="str">
        <f t="shared" si="94"/>
        <v>No</v>
      </c>
      <c r="AS200" s="102" t="str">
        <f t="shared" si="95"/>
        <v>No</v>
      </c>
      <c r="AT200" s="102" t="str">
        <f>IF(SUMPRODUCT(--ISNUMBER(FIND({"0","1","2","3","4","5","6","7","8","9"},E200)))&gt;0,"Con cifra concreta",IF(OR(ISNUMBER(FIND("?",E200)),ISNUMBER(FIND("¿",E200))),"Pregunta abierta",IF(SUMPRODUCT(--ISNUMBER(SEARCH({" hoy ","horas","tiempo limitado","antes de que","se acab","se agot","finalic","última oportunidad","oportunidad única","relámpago","express","no esperes","no volver","no parpadees"," ya ","últimas horas","últimas unidades"," ahora "},AF200)))&gt;0,"Solo urgencia, sin cifra",IF(SUMPRODUCT(--ISNUMBER(SEARCH({"recompensa","sorpresa","regalo","lealtad","detalle","gracias","pensamos en ti","para ti"},E200)))&gt;0,"Recompensa o sorpresa","Otro: beneficio o novedad"))))</f>
        <v>Otro: beneficio o novedad</v>
      </c>
    </row>
    <row r="201" spans="1:46" x14ac:dyDescent="0.2">
      <c r="A201" s="96" t="s">
        <v>1072</v>
      </c>
      <c r="B201" s="96" t="s">
        <v>277</v>
      </c>
      <c r="C201" s="96" t="s">
        <v>976</v>
      </c>
      <c r="D201" s="96" t="s">
        <v>751</v>
      </c>
      <c r="E201" s="96" t="s">
        <v>476</v>
      </c>
      <c r="F201" s="96" t="s">
        <v>477</v>
      </c>
      <c r="G201" s="97">
        <v>299360</v>
      </c>
      <c r="H201" s="97">
        <v>30095</v>
      </c>
      <c r="I201" s="97">
        <v>9041</v>
      </c>
      <c r="J201" s="98">
        <v>1.73</v>
      </c>
      <c r="K201" s="98">
        <v>2.46</v>
      </c>
      <c r="L201" s="99">
        <v>95924.7</v>
      </c>
      <c r="M201" s="100">
        <f t="shared" si="72"/>
        <v>10.053113308391234</v>
      </c>
      <c r="N201" s="100">
        <f t="shared" si="73"/>
        <v>3.0201095670764295</v>
      </c>
      <c r="O201" s="100">
        <f t="shared" si="74"/>
        <v>30.041535138727365</v>
      </c>
      <c r="P201" s="100">
        <f t="shared" si="75"/>
        <v>320.43258952431853</v>
      </c>
      <c r="Q201" s="100">
        <f t="shared" si="76"/>
        <v>21.434915192427972</v>
      </c>
      <c r="R201" s="100">
        <f t="shared" si="77"/>
        <v>30.71114383300629</v>
      </c>
      <c r="S201" s="101">
        <f t="shared" si="78"/>
        <v>45892</v>
      </c>
      <c r="T201" s="102" t="str">
        <f t="shared" si="79"/>
        <v>Agosto</v>
      </c>
      <c r="U201" s="102" t="str">
        <f t="shared" si="80"/>
        <v>Sábado</v>
      </c>
      <c r="V201" s="102">
        <f t="shared" si="81"/>
        <v>11</v>
      </c>
      <c r="W201" s="102" t="str">
        <f t="shared" si="82"/>
        <v>Resto del mes</v>
      </c>
      <c r="X201" s="102">
        <f t="shared" si="83"/>
        <v>25</v>
      </c>
      <c r="Y201" s="102" t="str">
        <f t="shared" si="84"/>
        <v>Sí</v>
      </c>
      <c r="Z201" s="102" t="str">
        <f>CHOOSE(MATCH(B201,{"Customer Appreciation","Exclusive Offers","Flash Sale","Holiday Discounts","New Product Launch","Newsletter"},0),"Fidelizar","Vender","Vender","Vender","Lanzar","Educar")</f>
        <v>Vender</v>
      </c>
      <c r="AA201" s="102" t="str">
        <f t="shared" si="85"/>
        <v>200 a 300 mil</v>
      </c>
      <c r="AB201" s="102">
        <f>COUNTIFS($E$5:$E$493,E201,$S$5:$S$493,"&lt;"&amp;S201)+COUNTIFS($E$5:E201,E201,$S$5:S201,S201)</f>
        <v>4</v>
      </c>
      <c r="AC201" s="102">
        <f t="shared" si="86"/>
        <v>10</v>
      </c>
      <c r="AD201" s="102" t="str">
        <f t="shared" si="87"/>
        <v>Medio</v>
      </c>
      <c r="AE201" s="103">
        <f t="shared" si="88"/>
        <v>-11.381801884036738</v>
      </c>
      <c r="AF201" s="102" t="str">
        <f t="shared" si="89"/>
        <v xml:space="preserve">  ofertas de temporada  listas para ti  regalos perfectos </v>
      </c>
      <c r="AG201" s="102" t="str">
        <f t="shared" si="90"/>
        <v xml:space="preserve"> los mejores productos para tus celebraciones te esperan   descubre  </v>
      </c>
      <c r="AH201" s="102" t="str">
        <f>IF(SUMPRODUCT(--(LEFT(IF(LEFT(LOWER(E201),1)="¡",MID(LOWER(E201),2,300),LOWER(E201)),LEN({"actualizaci","el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Sí</v>
      </c>
      <c r="AI201" s="102" t="str">
        <f>IF(OR(SUMPRODUCT(--ISNUMBER(SEARCH({"descuento","oferta","ahorr","precio"," sale ","flash","deals"},AF201)))&gt;0,SUMPRODUCT(--ISNUMBER(SEARCH({"descuento","oferta","ahorr","precio"," sale ","flash","deals"},AG201)))&gt;0),"Sí","No")</f>
        <v>Sí</v>
      </c>
      <c r="AJ201" s="102" t="str">
        <f>IF(SUMPRODUCT(--ISNUMBER(SEARCH({" hoy ","horas","tiempo limitado","antes de que","se acab","se agot","finalic","última oportunidad","oportunidad única","relámpago","express","no esperes","no volver","no parpadees"},AF201)))&gt;0,"Sí","No")</f>
        <v>No</v>
      </c>
      <c r="AK201" s="102" t="str">
        <f>IF(SUMPRODUCT(--ISNUMBER(SEARCH({" hoy ","horas","tiempo limitado","antes de que","se acab","se agot","finalic","última oportunidad","oportunidad única","relámpago","express","no esperes","no volver","no parpadees"},AG201)))&gt;0,"Sí","No")</f>
        <v>No</v>
      </c>
      <c r="AL201" s="102" t="str">
        <f t="shared" si="91"/>
        <v>Descuento sin tiempo límite</v>
      </c>
      <c r="AM201" s="102" t="str">
        <f>IF(SUMPRODUCT(--ISNUMBER(SEARCH({"0","1","2","3","4","5","6","7","8","9","favorit","maquillaje","piel","cabello","productos","belleza","regalo"},E201)))&gt;0,"Sí","No")</f>
        <v>Sí</v>
      </c>
      <c r="AN201" s="102" t="str">
        <f>IF(SUMPRODUCT(--ISNUMBER(SEARCH({"lo que tenemos","estas ofertas","algo especial","ofertas únicas","que preparamos","no te quedes","echa un vistazo"},F201)))&gt;0,"Sí","No")</f>
        <v>No</v>
      </c>
      <c r="AO201" s="102">
        <f t="shared" si="92"/>
        <v>56</v>
      </c>
      <c r="AP201" s="102">
        <f t="shared" si="93"/>
        <v>8</v>
      </c>
      <c r="AQ201" s="102">
        <f>SUMPRODUCT(LEN(E201)-LEN(SUBSTITUTE(E201,{"!","¡","?","¿",":",",",".","%","·","-",";"},"")))</f>
        <v>3</v>
      </c>
      <c r="AR201" s="102" t="str">
        <f t="shared" si="94"/>
        <v>Sí</v>
      </c>
      <c r="AS201" s="102" t="str">
        <f t="shared" si="95"/>
        <v>No</v>
      </c>
      <c r="AT201" s="102" t="str">
        <f>IF(SUMPRODUCT(--ISNUMBER(FIND({"0","1","2","3","4","5","6","7","8","9"},E201)))&gt;0,"Con cifra concreta",IF(OR(ISNUMBER(FIND("?",E201)),ISNUMBER(FIND("¿",E201))),"Pregunta abierta",IF(SUMPRODUCT(--ISNUMBER(SEARCH({" hoy ","horas","tiempo limitado","antes de que","se acab","se agot","finalic","última oportunidad","oportunidad única","relámpago","express","no esperes","no volver","no parpadees"," ya ","últimas horas","últimas unidades"," ahora "},AF201)))&gt;0,"Solo urgencia, sin cifra",IF(SUMPRODUCT(--ISNUMBER(SEARCH({"recompensa","sorpresa","regalo","lealtad","detalle","gracias","pensamos en ti","para ti"},E201)))&gt;0,"Recompensa o sorpresa","Otro: beneficio o novedad"))))</f>
        <v>Recompensa o sorpresa</v>
      </c>
    </row>
    <row r="202" spans="1:46" x14ac:dyDescent="0.2">
      <c r="A202" s="104" t="s">
        <v>1073</v>
      </c>
      <c r="B202" s="104" t="s">
        <v>278</v>
      </c>
      <c r="C202" s="104" t="s">
        <v>742</v>
      </c>
      <c r="D202" s="104" t="s">
        <v>702</v>
      </c>
      <c r="E202" s="104" t="s">
        <v>367</v>
      </c>
      <c r="F202" s="104" t="s">
        <v>458</v>
      </c>
      <c r="G202" s="105">
        <v>280741</v>
      </c>
      <c r="H202" s="105">
        <v>77826</v>
      </c>
      <c r="I202" s="105">
        <v>53457</v>
      </c>
      <c r="J202" s="106">
        <v>0.81</v>
      </c>
      <c r="K202" s="106">
        <v>1.3</v>
      </c>
      <c r="L202" s="107">
        <v>40128.46</v>
      </c>
      <c r="M202" s="108">
        <f t="shared" si="72"/>
        <v>27.721636668673259</v>
      </c>
      <c r="N202" s="108">
        <f t="shared" si="73"/>
        <v>19.041394025097865</v>
      </c>
      <c r="O202" s="108">
        <f t="shared" si="74"/>
        <v>68.687842109320798</v>
      </c>
      <c r="P202" s="108">
        <f t="shared" si="75"/>
        <v>142.9376542792111</v>
      </c>
      <c r="Q202" s="108">
        <f t="shared" si="76"/>
        <v>36.132518317209367</v>
      </c>
      <c r="R202" s="108">
        <f t="shared" si="77"/>
        <v>29.458247936272421</v>
      </c>
      <c r="S202" s="101">
        <f t="shared" si="78"/>
        <v>45948</v>
      </c>
      <c r="T202" s="102" t="str">
        <f t="shared" si="79"/>
        <v>Octubre</v>
      </c>
      <c r="U202" s="102" t="str">
        <f t="shared" si="80"/>
        <v>Sábado</v>
      </c>
      <c r="V202" s="102">
        <f t="shared" si="81"/>
        <v>16</v>
      </c>
      <c r="W202" s="102" t="str">
        <f t="shared" si="82"/>
        <v>Días después del pago</v>
      </c>
      <c r="X202" s="102">
        <f t="shared" si="83"/>
        <v>27</v>
      </c>
      <c r="Y202" s="102" t="str">
        <f t="shared" si="84"/>
        <v>Sí</v>
      </c>
      <c r="Z202" s="102" t="str">
        <f>CHOOSE(MATCH(B202,{"Customer Appreciation","Exclusive Offers","Flash Sale","Holiday Discounts","New Product Launch","Newsletter"},0),"Fidelizar","Vender","Vender","Vender","Lanzar","Educar")</f>
        <v>Lanzar</v>
      </c>
      <c r="AA202" s="102" t="str">
        <f t="shared" si="85"/>
        <v>200 a 300 mil</v>
      </c>
      <c r="AB202" s="102">
        <f>COUNTIFS($E$5:$E$493,E202,$S$5:$S$493,"&lt;"&amp;S202)+COUNTIFS($E$5:E202,E202,$S$5:S202,S202)</f>
        <v>18</v>
      </c>
      <c r="AC202" s="102">
        <f t="shared" si="86"/>
        <v>25</v>
      </c>
      <c r="AD202" s="102" t="str">
        <f t="shared" si="87"/>
        <v>Último tercio</v>
      </c>
      <c r="AE202" s="103">
        <f t="shared" si="88"/>
        <v>-8.4108816485361082</v>
      </c>
      <c r="AF202" s="102" t="str">
        <f t="shared" si="89"/>
        <v xml:space="preserve">  el futuro de tu piel ha llegado  nuevo producto revolucionario </v>
      </c>
      <c r="AG202" s="102" t="str">
        <f t="shared" si="90"/>
        <v xml:space="preserve"> una fórmula revolucionaria para resultados visibles   compruébalo  </v>
      </c>
      <c r="AH202" s="102" t="str">
        <f>IF(SUMPRODUCT(--(LEFT(IF(LEFT(LOWER(E202),1)="¡",MID(LOWER(E202),2,300),LOWER(E202)),LEN({"actualizaci","el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202" s="102" t="str">
        <f>IF(OR(SUMPRODUCT(--ISNUMBER(SEARCH({"descuento","oferta","ahorr","precio"," sale ","flash","deals"},AF202)))&gt;0,SUMPRODUCT(--ISNUMBER(SEARCH({"descuento","oferta","ahorr","precio"," sale ","flash","deals"},AG202)))&gt;0),"Sí","No")</f>
        <v>No</v>
      </c>
      <c r="AJ202" s="102" t="str">
        <f>IF(SUMPRODUCT(--ISNUMBER(SEARCH({" hoy ","horas","tiempo limitado","antes de que","se acab","se agot","finalic","última oportunidad","oportunidad única","relámpago","express","no esperes","no volver","no parpadees"},AF202)))&gt;0,"Sí","No")</f>
        <v>No</v>
      </c>
      <c r="AK202" s="102" t="str">
        <f>IF(SUMPRODUCT(--ISNUMBER(SEARCH({" hoy ","horas","tiempo limitado","antes de que","se acab","se agot","finalic","última oportunidad","oportunidad única","relámpago","express","no esperes","no volver","no parpadees"},AG202)))&gt;0,"Sí","No")</f>
        <v>No</v>
      </c>
      <c r="AL202" s="102" t="str">
        <f t="shared" si="91"/>
        <v>Sin descuento</v>
      </c>
      <c r="AM202" s="102" t="str">
        <f>IF(SUMPRODUCT(--ISNUMBER(SEARCH({"0","1","2","3","4","5","6","7","8","9","favorit","maquillaje","piel","cabello","productos","belleza","regalo"},E202)))&gt;0,"Sí","No")</f>
        <v>Sí</v>
      </c>
      <c r="AN202" s="102" t="str">
        <f>IF(SUMPRODUCT(--ISNUMBER(SEARCH({"lo que tenemos","estas ofertas","algo especial","ofertas únicas","que preparamos","no te quedes","echa un vistazo"},F202)))&gt;0,"Sí","No")</f>
        <v>No</v>
      </c>
      <c r="AO202" s="102">
        <f t="shared" si="92"/>
        <v>63</v>
      </c>
      <c r="AP202" s="102">
        <f t="shared" si="93"/>
        <v>10</v>
      </c>
      <c r="AQ202" s="102">
        <f>SUMPRODUCT(LEN(E202)-LEN(SUBSTITUTE(E202,{"!","¡","?","¿",":",",",".","%","·","-",";"},"")))</f>
        <v>2</v>
      </c>
      <c r="AR202" s="102" t="str">
        <f t="shared" si="94"/>
        <v>No</v>
      </c>
      <c r="AS202" s="102" t="str">
        <f t="shared" si="95"/>
        <v>No</v>
      </c>
      <c r="AT202" s="102" t="str">
        <f>IF(SUMPRODUCT(--ISNUMBER(FIND({"0","1","2","3","4","5","6","7","8","9"},E202)))&gt;0,"Con cifra concreta",IF(OR(ISNUMBER(FIND("?",E202)),ISNUMBER(FIND("¿",E202))),"Pregunta abierta",IF(SUMPRODUCT(--ISNUMBER(SEARCH({" hoy ","horas","tiempo limitado","antes de que","se acab","se agot","finalic","última oportunidad","oportunidad única","relámpago","express","no esperes","no volver","no parpadees"," ya ","últimas horas","últimas unidades"," ahora "},AF202)))&gt;0,"Solo urgencia, sin cifra",IF(SUMPRODUCT(--ISNUMBER(SEARCH({"recompensa","sorpresa","regalo","lealtad","detalle","gracias","pensamos en ti","para ti"},E202)))&gt;0,"Recompensa o sorpresa","Otro: beneficio o novedad"))))</f>
        <v>Otro: beneficio o novedad</v>
      </c>
    </row>
    <row r="203" spans="1:46" x14ac:dyDescent="0.2">
      <c r="A203" s="96" t="s">
        <v>1074</v>
      </c>
      <c r="B203" s="96" t="s">
        <v>279</v>
      </c>
      <c r="C203" s="96" t="s">
        <v>773</v>
      </c>
      <c r="D203" s="96" t="s">
        <v>707</v>
      </c>
      <c r="E203" s="96" t="s">
        <v>472</v>
      </c>
      <c r="F203" s="96" t="s">
        <v>473</v>
      </c>
      <c r="G203" s="97">
        <v>46413</v>
      </c>
      <c r="H203" s="97">
        <v>4367</v>
      </c>
      <c r="I203" s="97">
        <v>1110</v>
      </c>
      <c r="J203" s="98">
        <v>6.96</v>
      </c>
      <c r="K203" s="98">
        <v>3.33</v>
      </c>
      <c r="L203" s="99">
        <v>96098.06</v>
      </c>
      <c r="M203" s="100">
        <f t="shared" si="72"/>
        <v>9.4090017882920733</v>
      </c>
      <c r="N203" s="100">
        <f t="shared" si="73"/>
        <v>2.3915713269989012</v>
      </c>
      <c r="O203" s="100">
        <f t="shared" si="74"/>
        <v>25.417907029997711</v>
      </c>
      <c r="P203" s="100">
        <f t="shared" si="75"/>
        <v>2070.4987826686488</v>
      </c>
      <c r="Q203" s="100">
        <f t="shared" si="76"/>
        <v>22.891293825435607</v>
      </c>
      <c r="R203" s="100">
        <f t="shared" si="77"/>
        <v>27.75136451093497</v>
      </c>
      <c r="S203" s="101">
        <f t="shared" si="78"/>
        <v>45909</v>
      </c>
      <c r="T203" s="102" t="str">
        <f t="shared" si="79"/>
        <v>Septiembre</v>
      </c>
      <c r="U203" s="102" t="str">
        <f t="shared" si="80"/>
        <v>Martes</v>
      </c>
      <c r="V203" s="102">
        <f t="shared" si="81"/>
        <v>13</v>
      </c>
      <c r="W203" s="102" t="str">
        <f t="shared" si="82"/>
        <v>Resto del mes</v>
      </c>
      <c r="X203" s="102">
        <f t="shared" si="83"/>
        <v>28</v>
      </c>
      <c r="Y203" s="102" t="str">
        <f t="shared" si="84"/>
        <v>Sí</v>
      </c>
      <c r="Z203" s="102" t="str">
        <f>CHOOSE(MATCH(B203,{"Customer Appreciation","Exclusive Offers","Flash Sale","Holiday Discounts","New Product Launch","Newsletter"},0),"Fidelizar","Vender","Vender","Vender","Lanzar","Educar")</f>
        <v>Educar</v>
      </c>
      <c r="AA203" s="102" t="str">
        <f t="shared" si="85"/>
        <v>Menos de 100 mil</v>
      </c>
      <c r="AB203" s="102">
        <f>COUNTIFS($E$5:$E$493,E203,$S$5:$S$493,"&lt;"&amp;S203)+COUNTIFS($E$5:E203,E203,$S$5:S203,S203)</f>
        <v>12</v>
      </c>
      <c r="AC203" s="102">
        <f t="shared" si="86"/>
        <v>22</v>
      </c>
      <c r="AD203" s="102" t="str">
        <f t="shared" si="87"/>
        <v>Medio</v>
      </c>
      <c r="AE203" s="103">
        <f t="shared" si="88"/>
        <v>-13.482292037143534</v>
      </c>
      <c r="AF203" s="102" t="str">
        <f t="shared" si="89"/>
        <v xml:space="preserve"> tu dosis semanal de belleza  novedades y tips </v>
      </c>
      <c r="AG203" s="102" t="str">
        <f t="shared" si="90"/>
        <v xml:space="preserve"> novedades  tips y más para tu rutina diaria   entra ya  </v>
      </c>
      <c r="AH203" s="102" t="str">
        <f>IF(SUMPRODUCT(--(LEFT(IF(LEFT(LOWER(E203),1)="¡",MID(LOWER(E203),2,300),LOWER(E203)),LEN({"actualizaci","el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203" s="102" t="str">
        <f>IF(OR(SUMPRODUCT(--ISNUMBER(SEARCH({"descuento","oferta","ahorr","precio"," sale ","flash","deals"},AF203)))&gt;0,SUMPRODUCT(--ISNUMBER(SEARCH({"descuento","oferta","ahorr","precio"," sale ","flash","deals"},AG203)))&gt;0),"Sí","No")</f>
        <v>No</v>
      </c>
      <c r="AJ203" s="102" t="str">
        <f>IF(SUMPRODUCT(--ISNUMBER(SEARCH({" hoy ","horas","tiempo limitado","antes de que","se acab","se agot","finalic","última oportunidad","oportunidad única","relámpago","express","no esperes","no volver","no parpadees"},AF203)))&gt;0,"Sí","No")</f>
        <v>No</v>
      </c>
      <c r="AK203" s="102" t="str">
        <f>IF(SUMPRODUCT(--ISNUMBER(SEARCH({" hoy ","horas","tiempo limitado","antes de que","se acab","se agot","finalic","última oportunidad","oportunidad única","relámpago","express","no esperes","no volver","no parpadees"},AG203)))&gt;0,"Sí","No")</f>
        <v>No</v>
      </c>
      <c r="AL203" s="102" t="str">
        <f t="shared" si="91"/>
        <v>Sin descuento</v>
      </c>
      <c r="AM203" s="102" t="str">
        <f>IF(SUMPRODUCT(--ISNUMBER(SEARCH({"0","1","2","3","4","5","6","7","8","9","favorit","maquillaje","piel","cabello","productos","belleza","regalo"},E203)))&gt;0,"Sí","No")</f>
        <v>Sí</v>
      </c>
      <c r="AN203" s="102" t="str">
        <f>IF(SUMPRODUCT(--ISNUMBER(SEARCH({"lo que tenemos","estas ofertas","algo especial","ofertas únicas","que preparamos","no te quedes","echa un vistazo"},F203)))&gt;0,"Sí","No")</f>
        <v>No</v>
      </c>
      <c r="AO203" s="102">
        <f t="shared" si="92"/>
        <v>45</v>
      </c>
      <c r="AP203" s="102">
        <f t="shared" si="93"/>
        <v>8</v>
      </c>
      <c r="AQ203" s="102">
        <f>SUMPRODUCT(LEN(E203)-LEN(SUBSTITUTE(E203,{"!","¡","?","¿",":",",",".","%","·","-",";"},"")))</f>
        <v>1</v>
      </c>
      <c r="AR203" s="102" t="str">
        <f t="shared" si="94"/>
        <v>Sí</v>
      </c>
      <c r="AS203" s="102" t="str">
        <f t="shared" si="95"/>
        <v>No</v>
      </c>
      <c r="AT203" s="102" t="str">
        <f>IF(SUMPRODUCT(--ISNUMBER(FIND({"0","1","2","3","4","5","6","7","8","9"},E203)))&gt;0,"Con cifra concreta",IF(OR(ISNUMBER(FIND("?",E203)),ISNUMBER(FIND("¿",E203))),"Pregunta abierta",IF(SUMPRODUCT(--ISNUMBER(SEARCH({" hoy ","horas","tiempo limitado","antes de que","se acab","se agot","finalic","última oportunidad","oportunidad única","relámpago","express","no esperes","no volver","no parpadees"," ya ","últimas horas","últimas unidades"," ahora "},AF203)))&gt;0,"Solo urgencia, sin cifra",IF(SUMPRODUCT(--ISNUMBER(SEARCH({"recompensa","sorpresa","regalo","lealtad","detalle","gracias","pensamos en ti","para ti"},E203)))&gt;0,"Recompensa o sorpresa","Otro: beneficio o novedad"))))</f>
        <v>Otro: beneficio o novedad</v>
      </c>
    </row>
    <row r="204" spans="1:46" x14ac:dyDescent="0.2">
      <c r="A204" s="104" t="s">
        <v>1075</v>
      </c>
      <c r="B204" s="104" t="s">
        <v>274</v>
      </c>
      <c r="C204" s="104" t="s">
        <v>980</v>
      </c>
      <c r="D204" s="104" t="s">
        <v>824</v>
      </c>
      <c r="E204" s="104" t="s">
        <v>999</v>
      </c>
      <c r="F204" s="104" t="s">
        <v>1000</v>
      </c>
      <c r="G204" s="105">
        <v>31912</v>
      </c>
      <c r="H204" s="105">
        <v>7619</v>
      </c>
      <c r="I204" s="105">
        <v>4289</v>
      </c>
      <c r="J204" s="106">
        <v>0.6</v>
      </c>
      <c r="K204" s="106">
        <v>3.32</v>
      </c>
      <c r="L204" s="107">
        <v>43449.04</v>
      </c>
      <c r="M204" s="108">
        <f t="shared" si="72"/>
        <v>23.87503133617448</v>
      </c>
      <c r="N204" s="108">
        <f t="shared" si="73"/>
        <v>13.440085234394585</v>
      </c>
      <c r="O204" s="108">
        <f t="shared" si="74"/>
        <v>56.293476834230219</v>
      </c>
      <c r="P204" s="108">
        <f t="shared" si="75"/>
        <v>1361.5266984206569</v>
      </c>
      <c r="Q204" s="108">
        <f t="shared" si="76"/>
        <v>21.495532447877647</v>
      </c>
      <c r="R204" s="108">
        <f t="shared" si="77"/>
        <v>31.113650744455075</v>
      </c>
      <c r="S204" s="101">
        <f t="shared" si="78"/>
        <v>45875</v>
      </c>
      <c r="T204" s="102" t="str">
        <f t="shared" si="79"/>
        <v>Agosto</v>
      </c>
      <c r="U204" s="102" t="str">
        <f t="shared" si="80"/>
        <v>Miércoles</v>
      </c>
      <c r="V204" s="102">
        <f t="shared" si="81"/>
        <v>10</v>
      </c>
      <c r="W204" s="102" t="str">
        <f t="shared" si="82"/>
        <v>Resto del mes</v>
      </c>
      <c r="X204" s="102">
        <f t="shared" si="83"/>
        <v>28</v>
      </c>
      <c r="Y204" s="102" t="str">
        <f t="shared" si="84"/>
        <v>Sí</v>
      </c>
      <c r="Z204" s="102" t="str">
        <f>CHOOSE(MATCH(B204,{"Customer Appreciation","Exclusive Offers","Flash Sale","Holiday Discounts","New Product Launch","Newsletter"},0),"Fidelizar","Vender","Vender","Vender","Lanzar","Educar")</f>
        <v>Fidelizar</v>
      </c>
      <c r="AA204" s="102" t="str">
        <f t="shared" si="85"/>
        <v>Menos de 100 mil</v>
      </c>
      <c r="AB204" s="102">
        <f>COUNTIFS($E$5:$E$493,E204,$S$5:$S$493,"&lt;"&amp;S204)+COUNTIFS($E$5:E204,E204,$S$5:S204,S204)</f>
        <v>1</v>
      </c>
      <c r="AC204" s="102">
        <f t="shared" si="86"/>
        <v>6</v>
      </c>
      <c r="AD204" s="102" t="str">
        <f t="shared" si="87"/>
        <v/>
      </c>
      <c r="AE204" s="103">
        <f t="shared" si="88"/>
        <v>2.3794988882968333</v>
      </c>
      <c r="AF204" s="102" t="str">
        <f t="shared" si="89"/>
        <v xml:space="preserve">  gracias por elegir l'oréal  tu belleza  nuestra inspiración </v>
      </c>
      <c r="AG204" s="102" t="str">
        <f t="shared" si="90"/>
        <v xml:space="preserve"> queremos celebrar tu preferencia con estas ofertas   descúbrelas  </v>
      </c>
      <c r="AH204" s="102" t="str">
        <f>IF(SUMPRODUCT(--(LEFT(IF(LEFT(LOWER(E204),1)="¡",MID(LOWER(E204),2,300),LOWER(E204)),LEN({"actualizaci","el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204" s="102" t="str">
        <f>IF(OR(SUMPRODUCT(--ISNUMBER(SEARCH({"descuento","oferta","ahorr","precio"," sale ","flash","deals"},AF204)))&gt;0,SUMPRODUCT(--ISNUMBER(SEARCH({"descuento","oferta","ahorr","precio"," sale ","flash","deals"},AG204)))&gt;0),"Sí","No")</f>
        <v>Sí</v>
      </c>
      <c r="AJ204" s="102" t="str">
        <f>IF(SUMPRODUCT(--ISNUMBER(SEARCH({" hoy ","horas","tiempo limitado","antes de que","se acab","se agot","finalic","última oportunidad","oportunidad única","relámpago","express","no esperes","no volver","no parpadees"},AF204)))&gt;0,"Sí","No")</f>
        <v>No</v>
      </c>
      <c r="AK204" s="102" t="str">
        <f>IF(SUMPRODUCT(--ISNUMBER(SEARCH({" hoy ","horas","tiempo limitado","antes de que","se acab","se agot","finalic","última oportunidad","oportunidad única","relámpago","express","no esperes","no volver","no parpadees"},AG204)))&gt;0,"Sí","No")</f>
        <v>No</v>
      </c>
      <c r="AL204" s="102" t="str">
        <f t="shared" si="91"/>
        <v>Descuento sin tiempo límite</v>
      </c>
      <c r="AM204" s="102" t="str">
        <f>IF(SUMPRODUCT(--ISNUMBER(SEARCH({"0","1","2","3","4","5","6","7","8","9","favorit","maquillaje","piel","cabello","productos","belleza","regalo"},E204)))&gt;0,"Sí","No")</f>
        <v>Sí</v>
      </c>
      <c r="AN204" s="102" t="str">
        <f>IF(SUMPRODUCT(--ISNUMBER(SEARCH({"lo que tenemos","estas ofertas","algo especial","ofertas únicas","que preparamos","no te quedes","echa un vistazo"},F204)))&gt;0,"Sí","No")</f>
        <v>Sí</v>
      </c>
      <c r="AO204" s="102">
        <f t="shared" si="92"/>
        <v>60</v>
      </c>
      <c r="AP204" s="102">
        <f t="shared" si="93"/>
        <v>8</v>
      </c>
      <c r="AQ204" s="102">
        <f>SUMPRODUCT(LEN(E204)-LEN(SUBSTITUTE(E204,{"!","¡","?","¿",":",",",".","%","·","-",";"},"")))</f>
        <v>3</v>
      </c>
      <c r="AR204" s="102" t="str">
        <f t="shared" si="94"/>
        <v>Sí</v>
      </c>
      <c r="AS204" s="102" t="str">
        <f t="shared" si="95"/>
        <v>No</v>
      </c>
      <c r="AT204" s="102" t="str">
        <f>IF(SUMPRODUCT(--ISNUMBER(FIND({"0","1","2","3","4","5","6","7","8","9"},E204)))&gt;0,"Con cifra concreta",IF(OR(ISNUMBER(FIND("?",E204)),ISNUMBER(FIND("¿",E204))),"Pregunta abierta",IF(SUMPRODUCT(--ISNUMBER(SEARCH({" hoy ","horas","tiempo limitado","antes de que","se acab","se agot","finalic","última oportunidad","oportunidad única","relámpago","express","no esperes","no volver","no parpadees"," ya ","últimas horas","últimas unidades"," ahora "},AF204)))&gt;0,"Solo urgencia, sin cifra",IF(SUMPRODUCT(--ISNUMBER(SEARCH({"recompensa","sorpresa","regalo","lealtad","detalle","gracias","pensamos en ti","para ti"},E204)))&gt;0,"Recompensa o sorpresa","Otro: beneficio o novedad"))))</f>
        <v>Recompensa o sorpresa</v>
      </c>
    </row>
    <row r="205" spans="1:46" x14ac:dyDescent="0.2">
      <c r="A205" s="96" t="s">
        <v>1076</v>
      </c>
      <c r="B205" s="96" t="s">
        <v>277</v>
      </c>
      <c r="C205" s="96" t="s">
        <v>815</v>
      </c>
      <c r="D205" s="96" t="s">
        <v>764</v>
      </c>
      <c r="E205" s="96" t="s">
        <v>469</v>
      </c>
      <c r="F205" s="96" t="s">
        <v>470</v>
      </c>
      <c r="G205" s="97">
        <v>94593</v>
      </c>
      <c r="H205" s="97">
        <v>8911</v>
      </c>
      <c r="I205" s="97">
        <v>5335</v>
      </c>
      <c r="J205" s="98">
        <v>6.41</v>
      </c>
      <c r="K205" s="98">
        <v>3.28</v>
      </c>
      <c r="L205" s="99">
        <v>50640.31</v>
      </c>
      <c r="M205" s="100">
        <f t="shared" si="72"/>
        <v>9.4203588003340624</v>
      </c>
      <c r="N205" s="100">
        <f t="shared" si="73"/>
        <v>5.6399522163373614</v>
      </c>
      <c r="O205" s="100">
        <f t="shared" si="74"/>
        <v>59.869823813264503</v>
      </c>
      <c r="P205" s="100">
        <f t="shared" si="75"/>
        <v>535.34944446206373</v>
      </c>
      <c r="Q205" s="100">
        <f t="shared" si="76"/>
        <v>29.233022524783024</v>
      </c>
      <c r="R205" s="100">
        <f t="shared" si="77"/>
        <v>30.71114383300629</v>
      </c>
      <c r="S205" s="101">
        <f t="shared" si="78"/>
        <v>45959</v>
      </c>
      <c r="T205" s="102" t="str">
        <f t="shared" si="79"/>
        <v>Octubre</v>
      </c>
      <c r="U205" s="102" t="str">
        <f t="shared" si="80"/>
        <v>Miércoles</v>
      </c>
      <c r="V205" s="102">
        <f t="shared" si="81"/>
        <v>15</v>
      </c>
      <c r="W205" s="102" t="str">
        <f t="shared" si="82"/>
        <v>Resto del mes</v>
      </c>
      <c r="X205" s="102">
        <f t="shared" si="83"/>
        <v>27</v>
      </c>
      <c r="Y205" s="102" t="str">
        <f t="shared" si="84"/>
        <v>Sí</v>
      </c>
      <c r="Z205" s="102" t="str">
        <f>CHOOSE(MATCH(B205,{"Customer Appreciation","Exclusive Offers","Flash Sale","Holiday Discounts","New Product Launch","Newsletter"},0),"Fidelizar","Vender","Vender","Vender","Lanzar","Educar")</f>
        <v>Vender</v>
      </c>
      <c r="AA205" s="102" t="str">
        <f t="shared" si="85"/>
        <v>Menos de 100 mil</v>
      </c>
      <c r="AB205" s="102">
        <f>COUNTIFS($E$5:$E$493,E205,$S$5:$S$493,"&lt;"&amp;S205)+COUNTIFS($E$5:E205,E205,$S$5:S205,S205)</f>
        <v>18</v>
      </c>
      <c r="AC205" s="102">
        <f t="shared" si="86"/>
        <v>20</v>
      </c>
      <c r="AD205" s="102" t="str">
        <f t="shared" si="87"/>
        <v>Último tercio</v>
      </c>
      <c r="AE205" s="103">
        <f t="shared" si="88"/>
        <v>-19.81266372444896</v>
      </c>
      <c r="AF205" s="102" t="str">
        <f t="shared" si="89"/>
        <v xml:space="preserve">  celebra con nosotros  descuentos festivos para regalar </v>
      </c>
      <c r="AG205" s="102" t="str">
        <f t="shared" si="90"/>
        <v xml:space="preserve"> regalos perfectos y ofertas que te encantarán   descubre más  </v>
      </c>
      <c r="AH205" s="102" t="str">
        <f>IF(SUMPRODUCT(--(LEFT(IF(LEFT(LOWER(E205),1)="¡",MID(LOWER(E205),2,300),LOWER(E205)),LEN({"actualizaci","el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205" s="102" t="str">
        <f>IF(OR(SUMPRODUCT(--ISNUMBER(SEARCH({"descuento","oferta","ahorr","precio"," sale ","flash","deals"},AF205)))&gt;0,SUMPRODUCT(--ISNUMBER(SEARCH({"descuento","oferta","ahorr","precio"," sale ","flash","deals"},AG205)))&gt;0),"Sí","No")</f>
        <v>Sí</v>
      </c>
      <c r="AJ205" s="102" t="str">
        <f>IF(SUMPRODUCT(--ISNUMBER(SEARCH({" hoy ","horas","tiempo limitado","antes de que","se acab","se agot","finalic","última oportunidad","oportunidad única","relámpago","express","no esperes","no volver","no parpadees"},AF205)))&gt;0,"Sí","No")</f>
        <v>No</v>
      </c>
      <c r="AK205" s="102" t="str">
        <f>IF(SUMPRODUCT(--ISNUMBER(SEARCH({" hoy ","horas","tiempo limitado","antes de que","se acab","se agot","finalic","última oportunidad","oportunidad única","relámpago","express","no esperes","no volver","no parpadees"},AG205)))&gt;0,"Sí","No")</f>
        <v>No</v>
      </c>
      <c r="AL205" s="102" t="str">
        <f t="shared" si="91"/>
        <v>Descuento sin tiempo límite</v>
      </c>
      <c r="AM205" s="102" t="str">
        <f>IF(SUMPRODUCT(--ISNUMBER(SEARCH({"0","1","2","3","4","5","6","7","8","9","favorit","maquillaje","piel","cabello","productos","belleza","regalo"},E205)))&gt;0,"Sí","No")</f>
        <v>No</v>
      </c>
      <c r="AN205" s="102" t="str">
        <f>IF(SUMPRODUCT(--ISNUMBER(SEARCH({"lo que tenemos","estas ofertas","algo especial","ofertas únicas","que preparamos","no te quedes","echa un vistazo"},F205)))&gt;0,"Sí","No")</f>
        <v>No</v>
      </c>
      <c r="AO205" s="102">
        <f t="shared" si="92"/>
        <v>55</v>
      </c>
      <c r="AP205" s="102">
        <f t="shared" si="93"/>
        <v>7</v>
      </c>
      <c r="AQ205" s="102">
        <f>SUMPRODUCT(LEN(E205)-LEN(SUBSTITUTE(E205,{"!","¡","?","¿",":",",",".","%","·","-",";"},"")))</f>
        <v>2</v>
      </c>
      <c r="AR205" s="102" t="str">
        <f t="shared" si="94"/>
        <v>Sí</v>
      </c>
      <c r="AS205" s="102" t="str">
        <f t="shared" si="95"/>
        <v>No</v>
      </c>
      <c r="AT205" s="102" t="str">
        <f>IF(SUMPRODUCT(--ISNUMBER(FIND({"0","1","2","3","4","5","6","7","8","9"},E205)))&gt;0,"Con cifra concreta",IF(OR(ISNUMBER(FIND("?",E205)),ISNUMBER(FIND("¿",E205))),"Pregunta abierta",IF(SUMPRODUCT(--ISNUMBER(SEARCH({" hoy ","horas","tiempo limitado","antes de que","se acab","se agot","finalic","última oportunidad","oportunidad única","relámpago","express","no esperes","no volver","no parpadees"," ya ","últimas horas","últimas unidades"," ahora "},AF205)))&gt;0,"Solo urgencia, sin cifra",IF(SUMPRODUCT(--ISNUMBER(SEARCH({"recompensa","sorpresa","regalo","lealtad","detalle","gracias","pensamos en ti","para ti"},E205)))&gt;0,"Recompensa o sorpresa","Otro: beneficio o novedad"))))</f>
        <v>Otro: beneficio o novedad</v>
      </c>
    </row>
    <row r="206" spans="1:46" x14ac:dyDescent="0.2">
      <c r="A206" s="104" t="s">
        <v>1077</v>
      </c>
      <c r="B206" s="104" t="s">
        <v>279</v>
      </c>
      <c r="C206" s="104" t="s">
        <v>869</v>
      </c>
      <c r="D206" s="104" t="s">
        <v>821</v>
      </c>
      <c r="E206" s="104" t="s">
        <v>369</v>
      </c>
      <c r="F206" s="104" t="s">
        <v>457</v>
      </c>
      <c r="G206" s="105">
        <v>188795</v>
      </c>
      <c r="H206" s="105">
        <v>93623</v>
      </c>
      <c r="I206" s="105">
        <v>32398</v>
      </c>
      <c r="J206" s="106">
        <v>9.5299999999999994</v>
      </c>
      <c r="K206" s="106">
        <v>2.5299999999999998</v>
      </c>
      <c r="L206" s="107">
        <v>6538.92</v>
      </c>
      <c r="M206" s="108">
        <f t="shared" si="72"/>
        <v>49.589766678142958</v>
      </c>
      <c r="N206" s="108">
        <f t="shared" si="73"/>
        <v>17.160412087184511</v>
      </c>
      <c r="O206" s="108">
        <f t="shared" si="74"/>
        <v>34.604744560631467</v>
      </c>
      <c r="P206" s="108">
        <f t="shared" si="75"/>
        <v>34.635027410683549</v>
      </c>
      <c r="Q206" s="108">
        <f t="shared" si="76"/>
        <v>36.827379346292652</v>
      </c>
      <c r="R206" s="108">
        <f t="shared" si="77"/>
        <v>27.75136451093497</v>
      </c>
      <c r="S206" s="101">
        <f t="shared" si="78"/>
        <v>45917</v>
      </c>
      <c r="T206" s="102" t="str">
        <f t="shared" si="79"/>
        <v>Septiembre</v>
      </c>
      <c r="U206" s="102" t="str">
        <f t="shared" si="80"/>
        <v>Miércoles</v>
      </c>
      <c r="V206" s="102">
        <f t="shared" si="81"/>
        <v>8</v>
      </c>
      <c r="W206" s="102" t="str">
        <f t="shared" si="82"/>
        <v>Días después del pago</v>
      </c>
      <c r="X206" s="102">
        <f t="shared" si="83"/>
        <v>26</v>
      </c>
      <c r="Y206" s="102" t="str">
        <f t="shared" si="84"/>
        <v>Sí</v>
      </c>
      <c r="Z206" s="102" t="str">
        <f>CHOOSE(MATCH(B206,{"Customer Appreciation","Exclusive Offers","Flash Sale","Holiday Discounts","New Product Launch","Newsletter"},0),"Fidelizar","Vender","Vender","Vender","Lanzar","Educar")</f>
        <v>Educar</v>
      </c>
      <c r="AA206" s="102" t="str">
        <f t="shared" si="85"/>
        <v>100 a 200 mil</v>
      </c>
      <c r="AB206" s="102">
        <f>COUNTIFS($E$5:$E$493,E206,$S$5:$S$493,"&lt;"&amp;S206)+COUNTIFS($E$5:E206,E206,$S$5:S206,S206)</f>
        <v>11</v>
      </c>
      <c r="AC206" s="102">
        <f t="shared" si="86"/>
        <v>19</v>
      </c>
      <c r="AD206" s="102" t="str">
        <f t="shared" si="87"/>
        <v>Medio</v>
      </c>
      <c r="AE206" s="103">
        <f t="shared" si="88"/>
        <v>12.762387331850306</v>
      </c>
      <c r="AF206" s="102" t="str">
        <f t="shared" si="89"/>
        <v xml:space="preserve"> lo último en l'oréal  mantente informad@ de las novedades </v>
      </c>
      <c r="AG206" s="102" t="str">
        <f t="shared" si="90"/>
        <v xml:space="preserve"> descubre las novedades y tips de la semana   entra ya  </v>
      </c>
      <c r="AH206" s="102" t="str">
        <f>IF(SUMPRODUCT(--(LEFT(IF(LEFT(LOWER(E206),1)="¡",MID(LOWER(E206),2,300),LOWER(E206)),LEN({"actualizaci","el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206" s="102" t="str">
        <f>IF(OR(SUMPRODUCT(--ISNUMBER(SEARCH({"descuento","oferta","ahorr","precio"," sale ","flash","deals"},AF206)))&gt;0,SUMPRODUCT(--ISNUMBER(SEARCH({"descuento","oferta","ahorr","precio"," sale ","flash","deals"},AG206)))&gt;0),"Sí","No")</f>
        <v>No</v>
      </c>
      <c r="AJ206" s="102" t="str">
        <f>IF(SUMPRODUCT(--ISNUMBER(SEARCH({" hoy ","horas","tiempo limitado","antes de que","se acab","se agot","finalic","última oportunidad","oportunidad única","relámpago","express","no esperes","no volver","no parpadees"},AF206)))&gt;0,"Sí","No")</f>
        <v>No</v>
      </c>
      <c r="AK206" s="102" t="str">
        <f>IF(SUMPRODUCT(--ISNUMBER(SEARCH({" hoy ","horas","tiempo limitado","antes de que","se acab","se agot","finalic","última oportunidad","oportunidad única","relámpago","express","no esperes","no volver","no parpadees"},AG206)))&gt;0,"Sí","No")</f>
        <v>No</v>
      </c>
      <c r="AL206" s="102" t="str">
        <f t="shared" si="91"/>
        <v>Sin descuento</v>
      </c>
      <c r="AM206" s="102" t="str">
        <f>IF(SUMPRODUCT(--ISNUMBER(SEARCH({"0","1","2","3","4","5","6","7","8","9","favorit","maquillaje","piel","cabello","productos","belleza","regalo"},E206)))&gt;0,"Sí","No")</f>
        <v>No</v>
      </c>
      <c r="AN206" s="102" t="str">
        <f>IF(SUMPRODUCT(--ISNUMBER(SEARCH({"lo que tenemos","estas ofertas","algo especial","ofertas únicas","que preparamos","no te quedes","echa un vistazo"},F206)))&gt;0,"Sí","No")</f>
        <v>No</v>
      </c>
      <c r="AO206" s="102">
        <f t="shared" si="92"/>
        <v>57</v>
      </c>
      <c r="AP206" s="102">
        <f t="shared" si="93"/>
        <v>9</v>
      </c>
      <c r="AQ206" s="102">
        <f>SUMPRODUCT(LEN(E206)-LEN(SUBSTITUTE(E206,{"!","¡","?","¿",":",",",".","%","·","-",";"},"")))</f>
        <v>1</v>
      </c>
      <c r="AR206" s="102" t="str">
        <f t="shared" si="94"/>
        <v>Sí</v>
      </c>
      <c r="AS206" s="102" t="str">
        <f t="shared" si="95"/>
        <v>No</v>
      </c>
      <c r="AT206" s="102" t="str">
        <f>IF(SUMPRODUCT(--ISNUMBER(FIND({"0","1","2","3","4","5","6","7","8","9"},E206)))&gt;0,"Con cifra concreta",IF(OR(ISNUMBER(FIND("?",E206)),ISNUMBER(FIND("¿",E206))),"Pregunta abierta",IF(SUMPRODUCT(--ISNUMBER(SEARCH({" hoy ","horas","tiempo limitado","antes de que","se acab","se agot","finalic","última oportunidad","oportunidad única","relámpago","express","no esperes","no volver","no parpadees"," ya ","últimas horas","últimas unidades"," ahora "},AF206)))&gt;0,"Solo urgencia, sin cifra",IF(SUMPRODUCT(--ISNUMBER(SEARCH({"recompensa","sorpresa","regalo","lealtad","detalle","gracias","pensamos en ti","para ti"},E206)))&gt;0,"Recompensa o sorpresa","Otro: beneficio o novedad"))))</f>
        <v>Otro: beneficio o novedad</v>
      </c>
    </row>
    <row r="207" spans="1:46" x14ac:dyDescent="0.2">
      <c r="A207" s="96" t="s">
        <v>1078</v>
      </c>
      <c r="B207" s="96" t="s">
        <v>278</v>
      </c>
      <c r="C207" s="96" t="s">
        <v>928</v>
      </c>
      <c r="D207" s="96" t="s">
        <v>715</v>
      </c>
      <c r="E207" s="96" t="s">
        <v>368</v>
      </c>
      <c r="F207" s="96" t="s">
        <v>471</v>
      </c>
      <c r="G207" s="97">
        <v>433888</v>
      </c>
      <c r="H207" s="97">
        <v>97086</v>
      </c>
      <c r="I207" s="97">
        <v>2073</v>
      </c>
      <c r="J207" s="98">
        <v>1.59</v>
      </c>
      <c r="K207" s="98">
        <v>3.16</v>
      </c>
      <c r="L207" s="99">
        <v>17255.62</v>
      </c>
      <c r="M207" s="100">
        <f t="shared" si="72"/>
        <v>22.375820488236595</v>
      </c>
      <c r="N207" s="100">
        <f t="shared" si="73"/>
        <v>0.47777306586031415</v>
      </c>
      <c r="O207" s="100">
        <f t="shared" si="74"/>
        <v>2.1352203201285458</v>
      </c>
      <c r="P207" s="100">
        <f t="shared" si="75"/>
        <v>39.769756250460944</v>
      </c>
      <c r="Q207" s="100">
        <f t="shared" si="76"/>
        <v>23.315840784070005</v>
      </c>
      <c r="R207" s="100">
        <f t="shared" si="77"/>
        <v>29.458247936272421</v>
      </c>
      <c r="S207" s="101">
        <f t="shared" si="78"/>
        <v>45883</v>
      </c>
      <c r="T207" s="102" t="str">
        <f t="shared" si="79"/>
        <v>Agosto</v>
      </c>
      <c r="U207" s="102" t="str">
        <f t="shared" si="80"/>
        <v>Jueves</v>
      </c>
      <c r="V207" s="102">
        <f t="shared" si="81"/>
        <v>11</v>
      </c>
      <c r="W207" s="102" t="str">
        <f t="shared" si="82"/>
        <v>Quincena</v>
      </c>
      <c r="X207" s="102">
        <f t="shared" si="83"/>
        <v>23</v>
      </c>
      <c r="Y207" s="102" t="str">
        <f t="shared" si="84"/>
        <v>Sí</v>
      </c>
      <c r="Z207" s="102" t="str">
        <f>CHOOSE(MATCH(B207,{"Customer Appreciation","Exclusive Offers","Flash Sale","Holiday Discounts","New Product Launch","Newsletter"},0),"Fidelizar","Vender","Vender","Vender","Lanzar","Educar")</f>
        <v>Lanzar</v>
      </c>
      <c r="AA207" s="102" t="str">
        <f t="shared" si="85"/>
        <v>Más de 400 mil</v>
      </c>
      <c r="AB207" s="102">
        <f>COUNTIFS($E$5:$E$493,E207,$S$5:$S$493,"&lt;"&amp;S207)+COUNTIFS($E$5:E207,E207,$S$5:S207,S207)</f>
        <v>6</v>
      </c>
      <c r="AC207" s="102">
        <f t="shared" si="86"/>
        <v>33</v>
      </c>
      <c r="AD207" s="102" t="str">
        <f t="shared" si="87"/>
        <v>Primer tercio</v>
      </c>
      <c r="AE207" s="103">
        <f t="shared" si="88"/>
        <v>-0.94002029583340985</v>
      </c>
      <c r="AF207" s="102" t="str">
        <f t="shared" si="89"/>
        <v xml:space="preserve"> presentamos  nuestro último lanzamiento de belleza  imperdible  </v>
      </c>
      <c r="AG207" s="102" t="str">
        <f t="shared" si="90"/>
        <v xml:space="preserve"> una innovación que cambiará tu rutina   sé de los primeros  </v>
      </c>
      <c r="AH207" s="102" t="str">
        <f>IF(SUMPRODUCT(--(LEFT(IF(LEFT(LOWER(E207),1)="¡",MID(LOWER(E207),2,300),LOWER(E207)),LEN({"actualizaci","el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Sí</v>
      </c>
      <c r="AI207" s="102" t="str">
        <f>IF(OR(SUMPRODUCT(--ISNUMBER(SEARCH({"descuento","oferta","ahorr","precio"," sale ","flash","deals"},AF207)))&gt;0,SUMPRODUCT(--ISNUMBER(SEARCH({"descuento","oferta","ahorr","precio"," sale ","flash","deals"},AG207)))&gt;0),"Sí","No")</f>
        <v>No</v>
      </c>
      <c r="AJ207" s="102" t="str">
        <f>IF(SUMPRODUCT(--ISNUMBER(SEARCH({" hoy ","horas","tiempo limitado","antes de que","se acab","se agot","finalic","última oportunidad","oportunidad única","relámpago","express","no esperes","no volver","no parpadees"},AF207)))&gt;0,"Sí","No")</f>
        <v>No</v>
      </c>
      <c r="AK207" s="102" t="str">
        <f>IF(SUMPRODUCT(--ISNUMBER(SEARCH({" hoy ","horas","tiempo limitado","antes de que","se acab","se agot","finalic","última oportunidad","oportunidad única","relámpago","express","no esperes","no volver","no parpadees"},AG207)))&gt;0,"Sí","No")</f>
        <v>No</v>
      </c>
      <c r="AL207" s="102" t="str">
        <f t="shared" si="91"/>
        <v>Sin descuento</v>
      </c>
      <c r="AM207" s="102" t="str">
        <f>IF(SUMPRODUCT(--ISNUMBER(SEARCH({"0","1","2","3","4","5","6","7","8","9","favorit","maquillaje","piel","cabello","productos","belleza","regalo"},E207)))&gt;0,"Sí","No")</f>
        <v>Sí</v>
      </c>
      <c r="AN207" s="102" t="str">
        <f>IF(SUMPRODUCT(--ISNUMBER(SEARCH({"lo que tenemos","estas ofertas","algo especial","ofertas únicas","que preparamos","no te quedes","echa un vistazo"},F207)))&gt;0,"Sí","No")</f>
        <v>No</v>
      </c>
      <c r="AO207" s="102">
        <f t="shared" si="92"/>
        <v>63</v>
      </c>
      <c r="AP207" s="102">
        <f t="shared" si="93"/>
        <v>7</v>
      </c>
      <c r="AQ207" s="102">
        <f>SUMPRODUCT(LEN(E207)-LEN(SUBSTITUTE(E207,{"!","¡","?","¿",":",",",".","%","·","-",";"},"")))</f>
        <v>3</v>
      </c>
      <c r="AR207" s="102" t="str">
        <f t="shared" si="94"/>
        <v>No</v>
      </c>
      <c r="AS207" s="102" t="str">
        <f t="shared" si="95"/>
        <v>No</v>
      </c>
      <c r="AT207" s="102" t="str">
        <f>IF(SUMPRODUCT(--ISNUMBER(FIND({"0","1","2","3","4","5","6","7","8","9"},E207)))&gt;0,"Con cifra concreta",IF(OR(ISNUMBER(FIND("?",E207)),ISNUMBER(FIND("¿",E207))),"Pregunta abierta",IF(SUMPRODUCT(--ISNUMBER(SEARCH({" hoy ","horas","tiempo limitado","antes de que","se acab","se agot","finalic","última oportunidad","oportunidad única","relámpago","express","no esperes","no volver","no parpadees"," ya ","últimas horas","últimas unidades"," ahora "},AF207)))&gt;0,"Solo urgencia, sin cifra",IF(SUMPRODUCT(--ISNUMBER(SEARCH({"recompensa","sorpresa","regalo","lealtad","detalle","gracias","pensamos en ti","para ti"},E207)))&gt;0,"Recompensa o sorpresa","Otro: beneficio o novedad"))))</f>
        <v>Otro: beneficio o novedad</v>
      </c>
    </row>
    <row r="208" spans="1:46" x14ac:dyDescent="0.2">
      <c r="A208" s="104" t="s">
        <v>1079</v>
      </c>
      <c r="B208" s="104" t="s">
        <v>275</v>
      </c>
      <c r="C208" s="104" t="s">
        <v>944</v>
      </c>
      <c r="D208" s="104" t="s">
        <v>794</v>
      </c>
      <c r="E208" s="104" t="s">
        <v>465</v>
      </c>
      <c r="F208" s="104" t="s">
        <v>466</v>
      </c>
      <c r="G208" s="105">
        <v>113457</v>
      </c>
      <c r="H208" s="105">
        <v>43924</v>
      </c>
      <c r="I208" s="105">
        <v>18730</v>
      </c>
      <c r="J208" s="106">
        <v>9.11</v>
      </c>
      <c r="K208" s="106">
        <v>0.63</v>
      </c>
      <c r="L208" s="107">
        <v>21704.29</v>
      </c>
      <c r="M208" s="108">
        <f t="shared" si="72"/>
        <v>38.7142265351631</v>
      </c>
      <c r="N208" s="108">
        <f t="shared" si="73"/>
        <v>16.508456948447428</v>
      </c>
      <c r="O208" s="108">
        <f t="shared" si="74"/>
        <v>42.641835898369912</v>
      </c>
      <c r="P208" s="108">
        <f t="shared" si="75"/>
        <v>191.29969944560497</v>
      </c>
      <c r="Q208" s="108">
        <f t="shared" si="76"/>
        <v>33.047230763392911</v>
      </c>
      <c r="R208" s="108">
        <f t="shared" si="77"/>
        <v>27.021447627328243</v>
      </c>
      <c r="S208" s="101">
        <f t="shared" si="78"/>
        <v>45943</v>
      </c>
      <c r="T208" s="102" t="str">
        <f t="shared" si="79"/>
        <v>Octubre</v>
      </c>
      <c r="U208" s="102" t="str">
        <f t="shared" si="80"/>
        <v>Lunes</v>
      </c>
      <c r="V208" s="102">
        <f t="shared" si="81"/>
        <v>12</v>
      </c>
      <c r="W208" s="102" t="str">
        <f t="shared" si="82"/>
        <v>Resto del mes</v>
      </c>
      <c r="X208" s="102">
        <f t="shared" si="83"/>
        <v>23</v>
      </c>
      <c r="Y208" s="102" t="str">
        <f t="shared" si="84"/>
        <v>Sí</v>
      </c>
      <c r="Z208" s="102" t="str">
        <f>CHOOSE(MATCH(B208,{"Customer Appreciation","Exclusive Offers","Flash Sale","Holiday Discounts","New Product Launch","Newsletter"},0),"Fidelizar","Vender","Vender","Vender","Lanzar","Educar")</f>
        <v>Vender</v>
      </c>
      <c r="AA208" s="102" t="str">
        <f t="shared" si="85"/>
        <v>100 a 200 mil</v>
      </c>
      <c r="AB208" s="102">
        <f>COUNTIFS($E$5:$E$493,E208,$S$5:$S$493,"&lt;"&amp;S208)+COUNTIFS($E$5:E208,E208,$S$5:S208,S208)</f>
        <v>15</v>
      </c>
      <c r="AC208" s="102">
        <f t="shared" si="86"/>
        <v>22</v>
      </c>
      <c r="AD208" s="102" t="str">
        <f t="shared" si="87"/>
        <v>Último tercio</v>
      </c>
      <c r="AE208" s="103">
        <f t="shared" si="88"/>
        <v>5.6669957717701891</v>
      </c>
      <c r="AF208" s="102" t="str">
        <f t="shared" si="89"/>
        <v xml:space="preserve">  ofertas exclusivas  solo para nuestra comunidad vip </v>
      </c>
      <c r="AG208" s="102" t="str">
        <f t="shared" si="90"/>
        <v xml:space="preserve"> productos premium con descuentos únicos   acceso limitado  </v>
      </c>
      <c r="AH208" s="102" t="str">
        <f>IF(SUMPRODUCT(--(LEFT(IF(LEFT(LOWER(E208),1)="¡",MID(LOWER(E208),2,300),LOWER(E208)),LEN({"actualizaci","el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208" s="102" t="str">
        <f>IF(OR(SUMPRODUCT(--ISNUMBER(SEARCH({"descuento","oferta","ahorr","precio"," sale ","flash","deals"},AF208)))&gt;0,SUMPRODUCT(--ISNUMBER(SEARCH({"descuento","oferta","ahorr","precio"," sale ","flash","deals"},AG208)))&gt;0),"Sí","No")</f>
        <v>Sí</v>
      </c>
      <c r="AJ208" s="102" t="str">
        <f>IF(SUMPRODUCT(--ISNUMBER(SEARCH({" hoy ","horas","tiempo limitado","antes de que","se acab","se agot","finalic","última oportunidad","oportunidad única","relámpago","express","no esperes","no volver","no parpadees"},AF208)))&gt;0,"Sí","No")</f>
        <v>No</v>
      </c>
      <c r="AK208" s="102" t="str">
        <f>IF(SUMPRODUCT(--ISNUMBER(SEARCH({" hoy ","horas","tiempo limitado","antes de que","se acab","se agot","finalic","última oportunidad","oportunidad única","relámpago","express","no esperes","no volver","no parpadees"},AG208)))&gt;0,"Sí","No")</f>
        <v>No</v>
      </c>
      <c r="AL208" s="102" t="str">
        <f t="shared" si="91"/>
        <v>Descuento sin tiempo límite</v>
      </c>
      <c r="AM208" s="102" t="str">
        <f>IF(SUMPRODUCT(--ISNUMBER(SEARCH({"0","1","2","3","4","5","6","7","8","9","favorit","maquillaje","piel","cabello","productos","belleza","regalo"},E208)))&gt;0,"Sí","No")</f>
        <v>No</v>
      </c>
      <c r="AN208" s="102" t="str">
        <f>IF(SUMPRODUCT(--ISNUMBER(SEARCH({"lo que tenemos","estas ofertas","algo especial","ofertas únicas","que preparamos","no te quedes","echa un vistazo"},F208)))&gt;0,"Sí","No")</f>
        <v>No</v>
      </c>
      <c r="AO208" s="102">
        <f t="shared" si="92"/>
        <v>52</v>
      </c>
      <c r="AP208" s="102">
        <f t="shared" si="93"/>
        <v>7</v>
      </c>
      <c r="AQ208" s="102">
        <f>SUMPRODUCT(LEN(E208)-LEN(SUBSTITUTE(E208,{"!","¡","?","¿",":",",",".","%","·","-",";"},"")))</f>
        <v>2</v>
      </c>
      <c r="AR208" s="102" t="str">
        <f t="shared" si="94"/>
        <v>Sí</v>
      </c>
      <c r="AS208" s="102" t="str">
        <f t="shared" si="95"/>
        <v>No</v>
      </c>
      <c r="AT208" s="102" t="str">
        <f>IF(SUMPRODUCT(--ISNUMBER(FIND({"0","1","2","3","4","5","6","7","8","9"},E208)))&gt;0,"Con cifra concreta",IF(OR(ISNUMBER(FIND("?",E208)),ISNUMBER(FIND("¿",E208))),"Pregunta abierta",IF(SUMPRODUCT(--ISNUMBER(SEARCH({" hoy ","horas","tiempo limitado","antes de que","se acab","se agot","finalic","última oportunidad","oportunidad única","relámpago","express","no esperes","no volver","no parpadees"," ya ","últimas horas","últimas unidades"," ahora "},AF208)))&gt;0,"Solo urgencia, sin cifra",IF(SUMPRODUCT(--ISNUMBER(SEARCH({"recompensa","sorpresa","regalo","lealtad","detalle","gracias","pensamos en ti","para ti"},E208)))&gt;0,"Recompensa o sorpresa","Otro: beneficio o novedad"))))</f>
        <v>Otro: beneficio o novedad</v>
      </c>
    </row>
    <row r="209" spans="1:46" x14ac:dyDescent="0.2">
      <c r="A209" s="96" t="s">
        <v>1080</v>
      </c>
      <c r="B209" s="96" t="s">
        <v>278</v>
      </c>
      <c r="C209" s="96" t="s">
        <v>889</v>
      </c>
      <c r="D209" s="96" t="s">
        <v>761</v>
      </c>
      <c r="E209" s="96" t="s">
        <v>467</v>
      </c>
      <c r="F209" s="96" t="s">
        <v>468</v>
      </c>
      <c r="G209" s="97">
        <v>77676</v>
      </c>
      <c r="H209" s="97">
        <v>14945</v>
      </c>
      <c r="I209" s="97">
        <v>2618</v>
      </c>
      <c r="J209" s="98">
        <v>1.75</v>
      </c>
      <c r="K209" s="98">
        <v>3.45</v>
      </c>
      <c r="L209" s="99">
        <v>16419.43</v>
      </c>
      <c r="M209" s="100">
        <f t="shared" si="72"/>
        <v>19.24017714609403</v>
      </c>
      <c r="N209" s="100">
        <f t="shared" si="73"/>
        <v>3.3704104227818119</v>
      </c>
      <c r="O209" s="100">
        <f t="shared" si="74"/>
        <v>17.517564402810304</v>
      </c>
      <c r="P209" s="100">
        <f t="shared" si="75"/>
        <v>211.38356763994025</v>
      </c>
      <c r="Q209" s="100">
        <f t="shared" si="76"/>
        <v>30.93688234168668</v>
      </c>
      <c r="R209" s="100">
        <f t="shared" si="77"/>
        <v>29.458247936272421</v>
      </c>
      <c r="S209" s="101">
        <f t="shared" si="78"/>
        <v>45908</v>
      </c>
      <c r="T209" s="102" t="str">
        <f t="shared" si="79"/>
        <v>Septiembre</v>
      </c>
      <c r="U209" s="102" t="str">
        <f t="shared" si="80"/>
        <v>Lunes</v>
      </c>
      <c r="V209" s="102">
        <f t="shared" si="81"/>
        <v>10</v>
      </c>
      <c r="W209" s="102" t="str">
        <f t="shared" si="82"/>
        <v>Resto del mes</v>
      </c>
      <c r="X209" s="102">
        <f t="shared" si="83"/>
        <v>28</v>
      </c>
      <c r="Y209" s="102" t="str">
        <f t="shared" si="84"/>
        <v>Sí</v>
      </c>
      <c r="Z209" s="102" t="str">
        <f>CHOOSE(MATCH(B209,{"Customer Appreciation","Exclusive Offers","Flash Sale","Holiday Discounts","New Product Launch","Newsletter"},0),"Fidelizar","Vender","Vender","Vender","Lanzar","Educar")</f>
        <v>Lanzar</v>
      </c>
      <c r="AA209" s="102" t="str">
        <f t="shared" si="85"/>
        <v>Menos de 100 mil</v>
      </c>
      <c r="AB209" s="102">
        <f>COUNTIFS($E$5:$E$493,E209,$S$5:$S$493,"&lt;"&amp;S209)+COUNTIFS($E$5:E209,E209,$S$5:S209,S209)</f>
        <v>9</v>
      </c>
      <c r="AC209" s="102">
        <f t="shared" si="86"/>
        <v>22</v>
      </c>
      <c r="AD209" s="102" t="str">
        <f t="shared" si="87"/>
        <v>Medio</v>
      </c>
      <c r="AE209" s="103">
        <f t="shared" si="88"/>
        <v>-11.696705195592649</v>
      </c>
      <c r="AF209" s="102" t="str">
        <f t="shared" si="89"/>
        <v xml:space="preserve">  lo nuevo de l'oréal  te va a encantar  innovación en belleza </v>
      </c>
      <c r="AG209" s="102" t="str">
        <f t="shared" si="90"/>
        <v xml:space="preserve"> prepárate para experimentar la innovación en tu belleza   descúbrela  </v>
      </c>
      <c r="AH209" s="102" t="str">
        <f>IF(SUMPRODUCT(--(LEFT(IF(LEFT(LOWER(E209),1)="¡",MID(LOWER(E209),2,300),LOWER(E209)),LEN({"actualizaci","el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209" s="102" t="str">
        <f>IF(OR(SUMPRODUCT(--ISNUMBER(SEARCH({"descuento","oferta","ahorr","precio"," sale ","flash","deals"},AF209)))&gt;0,SUMPRODUCT(--ISNUMBER(SEARCH({"descuento","oferta","ahorr","precio"," sale ","flash","deals"},AG209)))&gt;0),"Sí","No")</f>
        <v>No</v>
      </c>
      <c r="AJ209" s="102" t="str">
        <f>IF(SUMPRODUCT(--ISNUMBER(SEARCH({" hoy ","horas","tiempo limitado","antes de que","se acab","se agot","finalic","última oportunidad","oportunidad única","relámpago","express","no esperes","no volver","no parpadees"},AF209)))&gt;0,"Sí","No")</f>
        <v>No</v>
      </c>
      <c r="AK209" s="102" t="str">
        <f>IF(SUMPRODUCT(--ISNUMBER(SEARCH({" hoy ","horas","tiempo limitado","antes de que","se acab","se agot","finalic","última oportunidad","oportunidad única","relámpago","express","no esperes","no volver","no parpadees"},AG209)))&gt;0,"Sí","No")</f>
        <v>No</v>
      </c>
      <c r="AL209" s="102" t="str">
        <f t="shared" si="91"/>
        <v>Sin descuento</v>
      </c>
      <c r="AM209" s="102" t="str">
        <f>IF(SUMPRODUCT(--ISNUMBER(SEARCH({"0","1","2","3","4","5","6","7","8","9","favorit","maquillaje","piel","cabello","productos","belleza","regalo"},E209)))&gt;0,"Sí","No")</f>
        <v>Sí</v>
      </c>
      <c r="AN209" s="102" t="str">
        <f>IF(SUMPRODUCT(--ISNUMBER(SEARCH({"lo que tenemos","estas ofertas","algo especial","ofertas únicas","que preparamos","no te quedes","echa un vistazo"},F209)))&gt;0,"Sí","No")</f>
        <v>No</v>
      </c>
      <c r="AO209" s="102">
        <f t="shared" si="92"/>
        <v>61</v>
      </c>
      <c r="AP209" s="102">
        <f t="shared" si="93"/>
        <v>11</v>
      </c>
      <c r="AQ209" s="102">
        <f>SUMPRODUCT(LEN(E209)-LEN(SUBSTITUTE(E209,{"!","¡","?","¿",":",",",".","%","·","-",";"},"")))</f>
        <v>3</v>
      </c>
      <c r="AR209" s="102" t="str">
        <f t="shared" si="94"/>
        <v>No</v>
      </c>
      <c r="AS209" s="102" t="str">
        <f t="shared" si="95"/>
        <v>No</v>
      </c>
      <c r="AT209" s="102" t="str">
        <f>IF(SUMPRODUCT(--ISNUMBER(FIND({"0","1","2","3","4","5","6","7","8","9"},E209)))&gt;0,"Con cifra concreta",IF(OR(ISNUMBER(FIND("?",E209)),ISNUMBER(FIND("¿",E209))),"Pregunta abierta",IF(SUMPRODUCT(--ISNUMBER(SEARCH({" hoy ","horas","tiempo limitado","antes de que","se acab","se agot","finalic","última oportunidad","oportunidad única","relámpago","express","no esperes","no volver","no parpadees"," ya ","últimas horas","últimas unidades"," ahora "},AF209)))&gt;0,"Solo urgencia, sin cifra",IF(SUMPRODUCT(--ISNUMBER(SEARCH({"recompensa","sorpresa","regalo","lealtad","detalle","gracias","pensamos en ti","para ti"},E209)))&gt;0,"Recompensa o sorpresa","Otro: beneficio o novedad"))))</f>
        <v>Otro: beneficio o novedad</v>
      </c>
    </row>
    <row r="210" spans="1:46" x14ac:dyDescent="0.2">
      <c r="A210" s="104" t="s">
        <v>1081</v>
      </c>
      <c r="B210" s="104" t="s">
        <v>279</v>
      </c>
      <c r="C210" s="104" t="s">
        <v>891</v>
      </c>
      <c r="D210" s="104" t="s">
        <v>786</v>
      </c>
      <c r="E210" s="104" t="s">
        <v>463</v>
      </c>
      <c r="F210" s="104" t="s">
        <v>464</v>
      </c>
      <c r="G210" s="105">
        <v>118023</v>
      </c>
      <c r="H210" s="105">
        <v>36553</v>
      </c>
      <c r="I210" s="105">
        <v>22402</v>
      </c>
      <c r="J210" s="106">
        <v>6.54</v>
      </c>
      <c r="K210" s="106">
        <v>3.73</v>
      </c>
      <c r="L210" s="107">
        <v>8275.61</v>
      </c>
      <c r="M210" s="108">
        <f t="shared" si="72"/>
        <v>30.971081907763743</v>
      </c>
      <c r="N210" s="108">
        <f t="shared" si="73"/>
        <v>18.981046067291967</v>
      </c>
      <c r="O210" s="108">
        <f t="shared" si="74"/>
        <v>61.286351325472602</v>
      </c>
      <c r="P210" s="108">
        <f t="shared" si="75"/>
        <v>70.118620946764622</v>
      </c>
      <c r="Q210" s="108">
        <f t="shared" si="76"/>
        <v>33.412775116147934</v>
      </c>
      <c r="R210" s="108">
        <f t="shared" si="77"/>
        <v>27.75136451093497</v>
      </c>
      <c r="S210" s="101">
        <f t="shared" si="78"/>
        <v>45888</v>
      </c>
      <c r="T210" s="102" t="str">
        <f t="shared" si="79"/>
        <v>Agosto</v>
      </c>
      <c r="U210" s="102" t="str">
        <f t="shared" si="80"/>
        <v>Martes</v>
      </c>
      <c r="V210" s="102">
        <f t="shared" si="81"/>
        <v>15</v>
      </c>
      <c r="W210" s="102" t="str">
        <f t="shared" si="82"/>
        <v>Días después del pago</v>
      </c>
      <c r="X210" s="102">
        <f t="shared" si="83"/>
        <v>29</v>
      </c>
      <c r="Y210" s="102" t="str">
        <f t="shared" si="84"/>
        <v>Sí</v>
      </c>
      <c r="Z210" s="102" t="str">
        <f>CHOOSE(MATCH(B210,{"Customer Appreciation","Exclusive Offers","Flash Sale","Holiday Discounts","New Product Launch","Newsletter"},0),"Fidelizar","Vender","Vender","Vender","Lanzar","Educar")</f>
        <v>Educar</v>
      </c>
      <c r="AA210" s="102" t="str">
        <f t="shared" si="85"/>
        <v>100 a 200 mil</v>
      </c>
      <c r="AB210" s="102">
        <f>COUNTIFS($E$5:$E$493,E210,$S$5:$S$493,"&lt;"&amp;S210)+COUNTIFS($E$5:E210,E210,$S$5:S210,S210)</f>
        <v>6</v>
      </c>
      <c r="AC210" s="102">
        <f t="shared" si="86"/>
        <v>25</v>
      </c>
      <c r="AD210" s="102" t="str">
        <f t="shared" si="87"/>
        <v>Primer tercio</v>
      </c>
      <c r="AE210" s="103">
        <f t="shared" si="88"/>
        <v>-2.4416932083841907</v>
      </c>
      <c r="AF210" s="102" t="str">
        <f t="shared" si="89"/>
        <v xml:space="preserve"> tu dosis de belleza   no te lo pierdas  tips y trucos </v>
      </c>
      <c r="AG210" s="102" t="str">
        <f t="shared" si="90"/>
        <v xml:space="preserve"> consejos expertos  tendencias y más en tu bandeja de entrada   descúbrelo  </v>
      </c>
      <c r="AH210" s="102" t="str">
        <f>IF(SUMPRODUCT(--(LEFT(IF(LEFT(LOWER(E210),1)="¡",MID(LOWER(E210),2,300),LOWER(E210)),LEN({"actualizaci","el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210" s="102" t="str">
        <f>IF(OR(SUMPRODUCT(--ISNUMBER(SEARCH({"descuento","oferta","ahorr","precio"," sale ","flash","deals"},AF210)))&gt;0,SUMPRODUCT(--ISNUMBER(SEARCH({"descuento","oferta","ahorr","precio"," sale ","flash","deals"},AG210)))&gt;0),"Sí","No")</f>
        <v>No</v>
      </c>
      <c r="AJ210" s="102" t="str">
        <f>IF(SUMPRODUCT(--ISNUMBER(SEARCH({" hoy ","horas","tiempo limitado","antes de que","se acab","se agot","finalic","última oportunidad","oportunidad única","relámpago","express","no esperes","no volver","no parpadees"},AF210)))&gt;0,"Sí","No")</f>
        <v>No</v>
      </c>
      <c r="AK210" s="102" t="str">
        <f>IF(SUMPRODUCT(--ISNUMBER(SEARCH({" hoy ","horas","tiempo limitado","antes de que","se acab","se agot","finalic","última oportunidad","oportunidad única","relámpago","express","no esperes","no volver","no parpadees"},AG210)))&gt;0,"Sí","No")</f>
        <v>No</v>
      </c>
      <c r="AL210" s="102" t="str">
        <f t="shared" si="91"/>
        <v>Sin descuento</v>
      </c>
      <c r="AM210" s="102" t="str">
        <f>IF(SUMPRODUCT(--ISNUMBER(SEARCH({"0","1","2","3","4","5","6","7","8","9","favorit","maquillaje","piel","cabello","productos","belleza","regalo"},E210)))&gt;0,"Sí","No")</f>
        <v>Sí</v>
      </c>
      <c r="AN210" s="102" t="str">
        <f>IF(SUMPRODUCT(--ISNUMBER(SEARCH({"lo que tenemos","estas ofertas","algo especial","ofertas únicas","que preparamos","no te quedes","echa un vistazo"},F210)))&gt;0,"Sí","No")</f>
        <v>No</v>
      </c>
      <c r="AO210" s="102">
        <f t="shared" si="92"/>
        <v>53</v>
      </c>
      <c r="AP210" s="102">
        <f t="shared" si="93"/>
        <v>11</v>
      </c>
      <c r="AQ210" s="102">
        <f>SUMPRODUCT(LEN(E210)-LEN(SUBSTITUTE(E210,{"!","¡","?","¿",":",",",".","%","·","-",";"},"")))</f>
        <v>3</v>
      </c>
      <c r="AR210" s="102" t="str">
        <f t="shared" si="94"/>
        <v>No</v>
      </c>
      <c r="AS210" s="102" t="str">
        <f t="shared" si="95"/>
        <v>No</v>
      </c>
      <c r="AT210" s="102" t="str">
        <f>IF(SUMPRODUCT(--ISNUMBER(FIND({"0","1","2","3","4","5","6","7","8","9"},E210)))&gt;0,"Con cifra concreta",IF(OR(ISNUMBER(FIND("?",E210)),ISNUMBER(FIND("¿",E210))),"Pregunta abierta",IF(SUMPRODUCT(--ISNUMBER(SEARCH({" hoy ","horas","tiempo limitado","antes de que","se acab","se agot","finalic","última oportunidad","oportunidad única","relámpago","express","no esperes","no volver","no parpadees"," ya ","últimas horas","últimas unidades"," ahora "},AF210)))&gt;0,"Solo urgencia, sin cifra",IF(SUMPRODUCT(--ISNUMBER(SEARCH({"recompensa","sorpresa","regalo","lealtad","detalle","gracias","pensamos en ti","para ti"},E210)))&gt;0,"Recompensa o sorpresa","Otro: beneficio o novedad"))))</f>
        <v>Otro: beneficio o novedad</v>
      </c>
    </row>
    <row r="211" spans="1:46" x14ac:dyDescent="0.2">
      <c r="A211" s="96" t="s">
        <v>1082</v>
      </c>
      <c r="B211" s="96" t="s">
        <v>279</v>
      </c>
      <c r="C211" s="96" t="s">
        <v>915</v>
      </c>
      <c r="D211" s="96" t="s">
        <v>769</v>
      </c>
      <c r="E211" s="96" t="s">
        <v>369</v>
      </c>
      <c r="F211" s="96" t="s">
        <v>457</v>
      </c>
      <c r="G211" s="97">
        <v>49035</v>
      </c>
      <c r="H211" s="97">
        <v>19515</v>
      </c>
      <c r="I211" s="97">
        <v>7262</v>
      </c>
      <c r="J211" s="98">
        <v>6.77</v>
      </c>
      <c r="K211" s="98">
        <v>3.85</v>
      </c>
      <c r="L211" s="99">
        <v>89191.22</v>
      </c>
      <c r="M211" s="100">
        <f t="shared" si="72"/>
        <v>39.798103395533801</v>
      </c>
      <c r="N211" s="100">
        <f t="shared" si="73"/>
        <v>14.809829713469972</v>
      </c>
      <c r="O211" s="100">
        <f t="shared" si="74"/>
        <v>37.212400717396875</v>
      </c>
      <c r="P211" s="100">
        <f t="shared" si="75"/>
        <v>1818.929744060365</v>
      </c>
      <c r="Q211" s="100">
        <f t="shared" si="76"/>
        <v>36.827379346292652</v>
      </c>
      <c r="R211" s="100">
        <f t="shared" si="77"/>
        <v>27.75136451093497</v>
      </c>
      <c r="S211" s="101">
        <f t="shared" si="78"/>
        <v>45954</v>
      </c>
      <c r="T211" s="102" t="str">
        <f t="shared" si="79"/>
        <v>Octubre</v>
      </c>
      <c r="U211" s="102" t="str">
        <f t="shared" si="80"/>
        <v>Viernes</v>
      </c>
      <c r="V211" s="102">
        <f t="shared" si="81"/>
        <v>13</v>
      </c>
      <c r="W211" s="102" t="str">
        <f t="shared" si="82"/>
        <v>Resto del mes</v>
      </c>
      <c r="X211" s="102">
        <f t="shared" si="83"/>
        <v>29</v>
      </c>
      <c r="Y211" s="102" t="str">
        <f t="shared" si="84"/>
        <v>Sí</v>
      </c>
      <c r="Z211" s="102" t="str">
        <f>CHOOSE(MATCH(B211,{"Customer Appreciation","Exclusive Offers","Flash Sale","Holiday Discounts","New Product Launch","Newsletter"},0),"Fidelizar","Vender","Vender","Vender","Lanzar","Educar")</f>
        <v>Educar</v>
      </c>
      <c r="AA211" s="102" t="str">
        <f t="shared" si="85"/>
        <v>Menos de 100 mil</v>
      </c>
      <c r="AB211" s="102">
        <f>COUNTIFS($E$5:$E$493,E211,$S$5:$S$493,"&lt;"&amp;S211)+COUNTIFS($E$5:E211,E211,$S$5:S211,S211)</f>
        <v>14</v>
      </c>
      <c r="AC211" s="102">
        <f t="shared" si="86"/>
        <v>19</v>
      </c>
      <c r="AD211" s="102" t="str">
        <f t="shared" si="87"/>
        <v>Último tercio</v>
      </c>
      <c r="AE211" s="103">
        <f t="shared" si="88"/>
        <v>2.9707240492411486</v>
      </c>
      <c r="AF211" s="102" t="str">
        <f t="shared" si="89"/>
        <v xml:space="preserve"> lo último en l'oréal  mantente informad@ de las novedades </v>
      </c>
      <c r="AG211" s="102" t="str">
        <f t="shared" si="90"/>
        <v xml:space="preserve"> descubre las novedades y tips de la semana   entra ya  </v>
      </c>
      <c r="AH211" s="102" t="str">
        <f>IF(SUMPRODUCT(--(LEFT(IF(LEFT(LOWER(E211),1)="¡",MID(LOWER(E211),2,300),LOWER(E211)),LEN({"actualizaci","el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211" s="102" t="str">
        <f>IF(OR(SUMPRODUCT(--ISNUMBER(SEARCH({"descuento","oferta","ahorr","precio"," sale ","flash","deals"},AF211)))&gt;0,SUMPRODUCT(--ISNUMBER(SEARCH({"descuento","oferta","ahorr","precio"," sale ","flash","deals"},AG211)))&gt;0),"Sí","No")</f>
        <v>No</v>
      </c>
      <c r="AJ211" s="102" t="str">
        <f>IF(SUMPRODUCT(--ISNUMBER(SEARCH({" hoy ","horas","tiempo limitado","antes de que","se acab","se agot","finalic","última oportunidad","oportunidad única","relámpago","express","no esperes","no volver","no parpadees"},AF211)))&gt;0,"Sí","No")</f>
        <v>No</v>
      </c>
      <c r="AK211" s="102" t="str">
        <f>IF(SUMPRODUCT(--ISNUMBER(SEARCH({" hoy ","horas","tiempo limitado","antes de que","se acab","se agot","finalic","última oportunidad","oportunidad única","relámpago","express","no esperes","no volver","no parpadees"},AG211)))&gt;0,"Sí","No")</f>
        <v>No</v>
      </c>
      <c r="AL211" s="102" t="str">
        <f t="shared" si="91"/>
        <v>Sin descuento</v>
      </c>
      <c r="AM211" s="102" t="str">
        <f>IF(SUMPRODUCT(--ISNUMBER(SEARCH({"0","1","2","3","4","5","6","7","8","9","favorit","maquillaje","piel","cabello","productos","belleza","regalo"},E211)))&gt;0,"Sí","No")</f>
        <v>No</v>
      </c>
      <c r="AN211" s="102" t="str">
        <f>IF(SUMPRODUCT(--ISNUMBER(SEARCH({"lo que tenemos","estas ofertas","algo especial","ofertas únicas","que preparamos","no te quedes","echa un vistazo"},F211)))&gt;0,"Sí","No")</f>
        <v>No</v>
      </c>
      <c r="AO211" s="102">
        <f t="shared" si="92"/>
        <v>57</v>
      </c>
      <c r="AP211" s="102">
        <f t="shared" si="93"/>
        <v>9</v>
      </c>
      <c r="AQ211" s="102">
        <f>SUMPRODUCT(LEN(E211)-LEN(SUBSTITUTE(E211,{"!","¡","?","¿",":",",",".","%","·","-",";"},"")))</f>
        <v>1</v>
      </c>
      <c r="AR211" s="102" t="str">
        <f t="shared" si="94"/>
        <v>Sí</v>
      </c>
      <c r="AS211" s="102" t="str">
        <f t="shared" si="95"/>
        <v>No</v>
      </c>
      <c r="AT211" s="102" t="str">
        <f>IF(SUMPRODUCT(--ISNUMBER(FIND({"0","1","2","3","4","5","6","7","8","9"},E211)))&gt;0,"Con cifra concreta",IF(OR(ISNUMBER(FIND("?",E211)),ISNUMBER(FIND("¿",E211))),"Pregunta abierta",IF(SUMPRODUCT(--ISNUMBER(SEARCH({" hoy ","horas","tiempo limitado","antes de que","se acab","se agot","finalic","última oportunidad","oportunidad única","relámpago","express","no esperes","no volver","no parpadees"," ya ","últimas horas","últimas unidades"," ahora "},AF211)))&gt;0,"Solo urgencia, sin cifra",IF(SUMPRODUCT(--ISNUMBER(SEARCH({"recompensa","sorpresa","regalo","lealtad","detalle","gracias","pensamos en ti","para ti"},E211)))&gt;0,"Recompensa o sorpresa","Otro: beneficio o novedad"))))</f>
        <v>Otro: beneficio o novedad</v>
      </c>
    </row>
    <row r="212" spans="1:46" x14ac:dyDescent="0.2">
      <c r="A212" s="104" t="s">
        <v>1083</v>
      </c>
      <c r="B212" s="104" t="s">
        <v>276</v>
      </c>
      <c r="C212" s="104" t="s">
        <v>917</v>
      </c>
      <c r="D212" s="104" t="s">
        <v>774</v>
      </c>
      <c r="E212" s="104" t="s">
        <v>450</v>
      </c>
      <c r="F212" s="104" t="s">
        <v>451</v>
      </c>
      <c r="G212" s="105">
        <v>234681</v>
      </c>
      <c r="H212" s="105">
        <v>117215</v>
      </c>
      <c r="I212" s="105">
        <v>11265</v>
      </c>
      <c r="J212" s="106">
        <v>3.22</v>
      </c>
      <c r="K212" s="106">
        <v>1.77</v>
      </c>
      <c r="L212" s="107">
        <v>10274.450000000001</v>
      </c>
      <c r="M212" s="108">
        <f t="shared" si="72"/>
        <v>49.946523152705161</v>
      </c>
      <c r="N212" s="108">
        <f t="shared" si="73"/>
        <v>4.8001329464251477</v>
      </c>
      <c r="O212" s="108">
        <f t="shared" si="74"/>
        <v>9.6105447255044147</v>
      </c>
      <c r="P212" s="108">
        <f t="shared" si="75"/>
        <v>43.78049352099233</v>
      </c>
      <c r="Q212" s="108">
        <f t="shared" si="76"/>
        <v>41.593592985418489</v>
      </c>
      <c r="R212" s="108">
        <f t="shared" si="77"/>
        <v>29.440902453236173</v>
      </c>
      <c r="S212" s="101">
        <f t="shared" si="78"/>
        <v>45916</v>
      </c>
      <c r="T212" s="102" t="str">
        <f t="shared" si="79"/>
        <v>Septiembre</v>
      </c>
      <c r="U212" s="102" t="str">
        <f t="shared" si="80"/>
        <v>Martes</v>
      </c>
      <c r="V212" s="102">
        <f t="shared" si="81"/>
        <v>11</v>
      </c>
      <c r="W212" s="102" t="str">
        <f t="shared" si="82"/>
        <v>Quincena</v>
      </c>
      <c r="X212" s="102">
        <f t="shared" si="83"/>
        <v>27</v>
      </c>
      <c r="Y212" s="102" t="str">
        <f t="shared" si="84"/>
        <v>Sí</v>
      </c>
      <c r="Z212" s="102" t="str">
        <f>CHOOSE(MATCH(B212,{"Customer Appreciation","Exclusive Offers","Flash Sale","Holiday Discounts","New Product Launch","Newsletter"},0),"Fidelizar","Vender","Vender","Vender","Lanzar","Educar")</f>
        <v>Vender</v>
      </c>
      <c r="AA212" s="102" t="str">
        <f t="shared" si="85"/>
        <v>200 a 300 mil</v>
      </c>
      <c r="AB212" s="102">
        <f>COUNTIFS($E$5:$E$493,E212,$S$5:$S$493,"&lt;"&amp;S212)+COUNTIFS($E$5:E212,E212,$S$5:S212,S212)</f>
        <v>11</v>
      </c>
      <c r="AC212" s="102">
        <f t="shared" si="86"/>
        <v>21</v>
      </c>
      <c r="AD212" s="102" t="str">
        <f t="shared" si="87"/>
        <v>Medio</v>
      </c>
      <c r="AE212" s="103">
        <f t="shared" si="88"/>
        <v>8.3529301672866723</v>
      </c>
      <c r="AF212" s="102" t="str">
        <f t="shared" si="89"/>
        <v xml:space="preserve">  ahorra ya  flash sale  hasta 50% en tus favoritos </v>
      </c>
      <c r="AG212" s="102" t="str">
        <f t="shared" si="90"/>
        <v xml:space="preserve"> edición limitada  maquillaje  cuidado de piel y más   corre  </v>
      </c>
      <c r="AH212" s="102" t="str">
        <f>IF(SUMPRODUCT(--(LEFT(IF(LEFT(LOWER(E212),1)="¡",MID(LOWER(E212),2,300),LOWER(E212)),LEN({"actualizaci","el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212" s="102" t="str">
        <f>IF(OR(SUMPRODUCT(--ISNUMBER(SEARCH({"descuento","oferta","ahorr","precio"," sale ","flash","deals"},AF212)))&gt;0,SUMPRODUCT(--ISNUMBER(SEARCH({"descuento","oferta","ahorr","precio"," sale ","flash","deals"},AG212)))&gt;0),"Sí","No")</f>
        <v>Sí</v>
      </c>
      <c r="AJ212" s="102" t="str">
        <f>IF(SUMPRODUCT(--ISNUMBER(SEARCH({" hoy ","horas","tiempo limitado","antes de que","se acab","se agot","finalic","última oportunidad","oportunidad única","relámpago","express","no esperes","no volver","no parpadees"},AF212)))&gt;0,"Sí","No")</f>
        <v>No</v>
      </c>
      <c r="AK212" s="102" t="str">
        <f>IF(SUMPRODUCT(--ISNUMBER(SEARCH({" hoy ","horas","tiempo limitado","antes de que","se acab","se agot","finalic","última oportunidad","oportunidad única","relámpago","express","no esperes","no volver","no parpadees"},AG212)))&gt;0,"Sí","No")</f>
        <v>No</v>
      </c>
      <c r="AL212" s="102" t="str">
        <f t="shared" si="91"/>
        <v>Descuento sin tiempo límite</v>
      </c>
      <c r="AM212" s="102" t="str">
        <f>IF(SUMPRODUCT(--ISNUMBER(SEARCH({"0","1","2","3","4","5","6","7","8","9","favorit","maquillaje","piel","cabello","productos","belleza","regalo"},E212)))&gt;0,"Sí","No")</f>
        <v>Sí</v>
      </c>
      <c r="AN212" s="102" t="str">
        <f>IF(SUMPRODUCT(--ISNUMBER(SEARCH({"lo que tenemos","estas ofertas","algo especial","ofertas únicas","que preparamos","no te quedes","echa un vistazo"},F212)))&gt;0,"Sí","No")</f>
        <v>No</v>
      </c>
      <c r="AO212" s="102">
        <f t="shared" si="92"/>
        <v>50</v>
      </c>
      <c r="AP212" s="102">
        <f t="shared" si="93"/>
        <v>9</v>
      </c>
      <c r="AQ212" s="102">
        <f>SUMPRODUCT(LEN(E212)-LEN(SUBSTITUTE(E212,{"!","¡","?","¿",":",",",".","%","·","-",";"},"")))</f>
        <v>4</v>
      </c>
      <c r="AR212" s="102" t="str">
        <f t="shared" si="94"/>
        <v>No</v>
      </c>
      <c r="AS212" s="102" t="str">
        <f t="shared" si="95"/>
        <v>No</v>
      </c>
      <c r="AT212" s="102" t="str">
        <f>IF(SUMPRODUCT(--ISNUMBER(FIND({"0","1","2","3","4","5","6","7","8","9"},E212)))&gt;0,"Con cifra concreta",IF(OR(ISNUMBER(FIND("?",E212)),ISNUMBER(FIND("¿",E212))),"Pregunta abierta",IF(SUMPRODUCT(--ISNUMBER(SEARCH({" hoy ","horas","tiempo limitado","antes de que","se acab","se agot","finalic","última oportunidad","oportunidad única","relámpago","express","no esperes","no volver","no parpadees"," ya ","últimas horas","últimas unidades"," ahora "},AF212)))&gt;0,"Solo urgencia, sin cifra",IF(SUMPRODUCT(--ISNUMBER(SEARCH({"recompensa","sorpresa","regalo","lealtad","detalle","gracias","pensamos en ti","para ti"},E212)))&gt;0,"Recompensa o sorpresa","Otro: beneficio o novedad"))))</f>
        <v>Con cifra concreta</v>
      </c>
    </row>
    <row r="213" spans="1:46" x14ac:dyDescent="0.2">
      <c r="A213" s="96" t="s">
        <v>1084</v>
      </c>
      <c r="B213" s="96" t="s">
        <v>277</v>
      </c>
      <c r="C213" s="96" t="s">
        <v>830</v>
      </c>
      <c r="D213" s="96" t="s">
        <v>950</v>
      </c>
      <c r="E213" s="96" t="s">
        <v>469</v>
      </c>
      <c r="F213" s="96" t="s">
        <v>470</v>
      </c>
      <c r="G213" s="97">
        <v>122646</v>
      </c>
      <c r="H213" s="97">
        <v>7420</v>
      </c>
      <c r="I213" s="97">
        <v>4278</v>
      </c>
      <c r="J213" s="98">
        <v>4.53</v>
      </c>
      <c r="K213" s="98">
        <v>3.72</v>
      </c>
      <c r="L213" s="99">
        <v>11585.62</v>
      </c>
      <c r="M213" s="100">
        <f t="shared" si="72"/>
        <v>6.0499323255548489</v>
      </c>
      <c r="N213" s="100">
        <f t="shared" si="73"/>
        <v>3.4880876669438869</v>
      </c>
      <c r="O213" s="100">
        <f t="shared" si="74"/>
        <v>57.654986522911059</v>
      </c>
      <c r="P213" s="100">
        <f t="shared" si="75"/>
        <v>94.463904244736881</v>
      </c>
      <c r="Q213" s="100">
        <f t="shared" si="76"/>
        <v>29.233022524783024</v>
      </c>
      <c r="R213" s="100">
        <f t="shared" si="77"/>
        <v>30.71114383300629</v>
      </c>
      <c r="S213" s="101">
        <f t="shared" si="78"/>
        <v>45901</v>
      </c>
      <c r="T213" s="102" t="str">
        <f t="shared" si="79"/>
        <v>Septiembre</v>
      </c>
      <c r="U213" s="102" t="str">
        <f t="shared" si="80"/>
        <v>Lunes</v>
      </c>
      <c r="V213" s="102">
        <f t="shared" si="81"/>
        <v>14</v>
      </c>
      <c r="W213" s="102" t="str">
        <f t="shared" si="82"/>
        <v>Quincena</v>
      </c>
      <c r="X213" s="102">
        <f t="shared" si="83"/>
        <v>29</v>
      </c>
      <c r="Y213" s="102" t="str">
        <f t="shared" si="84"/>
        <v>Sí</v>
      </c>
      <c r="Z213" s="102" t="str">
        <f>CHOOSE(MATCH(B213,{"Customer Appreciation","Exclusive Offers","Flash Sale","Holiday Discounts","New Product Launch","Newsletter"},0),"Fidelizar","Vender","Vender","Vender","Lanzar","Educar")</f>
        <v>Vender</v>
      </c>
      <c r="AA213" s="102" t="str">
        <f t="shared" si="85"/>
        <v>100 a 200 mil</v>
      </c>
      <c r="AB213" s="102">
        <f>COUNTIFS($E$5:$E$493,E213,$S$5:$S$493,"&lt;"&amp;S213)+COUNTIFS($E$5:E213,E213,$S$5:S213,S213)</f>
        <v>7</v>
      </c>
      <c r="AC213" s="102">
        <f t="shared" si="86"/>
        <v>20</v>
      </c>
      <c r="AD213" s="102" t="str">
        <f t="shared" si="87"/>
        <v>Medio</v>
      </c>
      <c r="AE213" s="103">
        <f t="shared" si="88"/>
        <v>-23.183090199228175</v>
      </c>
      <c r="AF213" s="102" t="str">
        <f t="shared" si="89"/>
        <v xml:space="preserve">  celebra con nosotros  descuentos festivos para regalar </v>
      </c>
      <c r="AG213" s="102" t="str">
        <f t="shared" si="90"/>
        <v xml:space="preserve"> regalos perfectos y ofertas que te encantarán   descubre más  </v>
      </c>
      <c r="AH213" s="102" t="str">
        <f>IF(SUMPRODUCT(--(LEFT(IF(LEFT(LOWER(E213),1)="¡",MID(LOWER(E213),2,300),LOWER(E213)),LEN({"actualizaci","el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213" s="102" t="str">
        <f>IF(OR(SUMPRODUCT(--ISNUMBER(SEARCH({"descuento","oferta","ahorr","precio"," sale ","flash","deals"},AF213)))&gt;0,SUMPRODUCT(--ISNUMBER(SEARCH({"descuento","oferta","ahorr","precio"," sale ","flash","deals"},AG213)))&gt;0),"Sí","No")</f>
        <v>Sí</v>
      </c>
      <c r="AJ213" s="102" t="str">
        <f>IF(SUMPRODUCT(--ISNUMBER(SEARCH({" hoy ","horas","tiempo limitado","antes de que","se acab","se agot","finalic","última oportunidad","oportunidad única","relámpago","express","no esperes","no volver","no parpadees"},AF213)))&gt;0,"Sí","No")</f>
        <v>No</v>
      </c>
      <c r="AK213" s="102" t="str">
        <f>IF(SUMPRODUCT(--ISNUMBER(SEARCH({" hoy ","horas","tiempo limitado","antes de que","se acab","se agot","finalic","última oportunidad","oportunidad única","relámpago","express","no esperes","no volver","no parpadees"},AG213)))&gt;0,"Sí","No")</f>
        <v>No</v>
      </c>
      <c r="AL213" s="102" t="str">
        <f t="shared" si="91"/>
        <v>Descuento sin tiempo límite</v>
      </c>
      <c r="AM213" s="102" t="str">
        <f>IF(SUMPRODUCT(--ISNUMBER(SEARCH({"0","1","2","3","4","5","6","7","8","9","favorit","maquillaje","piel","cabello","productos","belleza","regalo"},E213)))&gt;0,"Sí","No")</f>
        <v>No</v>
      </c>
      <c r="AN213" s="102" t="str">
        <f>IF(SUMPRODUCT(--ISNUMBER(SEARCH({"lo que tenemos","estas ofertas","algo especial","ofertas únicas","que preparamos","no te quedes","echa un vistazo"},F213)))&gt;0,"Sí","No")</f>
        <v>No</v>
      </c>
      <c r="AO213" s="102">
        <f t="shared" si="92"/>
        <v>55</v>
      </c>
      <c r="AP213" s="102">
        <f t="shared" si="93"/>
        <v>7</v>
      </c>
      <c r="AQ213" s="102">
        <f>SUMPRODUCT(LEN(E213)-LEN(SUBSTITUTE(E213,{"!","¡","?","¿",":",",",".","%","·","-",";"},"")))</f>
        <v>2</v>
      </c>
      <c r="AR213" s="102" t="str">
        <f t="shared" si="94"/>
        <v>Sí</v>
      </c>
      <c r="AS213" s="102" t="str">
        <f t="shared" si="95"/>
        <v>No</v>
      </c>
      <c r="AT213" s="102" t="str">
        <f>IF(SUMPRODUCT(--ISNUMBER(FIND({"0","1","2","3","4","5","6","7","8","9"},E213)))&gt;0,"Con cifra concreta",IF(OR(ISNUMBER(FIND("?",E213)),ISNUMBER(FIND("¿",E213))),"Pregunta abierta",IF(SUMPRODUCT(--ISNUMBER(SEARCH({" hoy ","horas","tiempo limitado","antes de que","se acab","se agot","finalic","última oportunidad","oportunidad única","relámpago","express","no esperes","no volver","no parpadees"," ya ","últimas horas","últimas unidades"," ahora "},AF213)))&gt;0,"Solo urgencia, sin cifra",IF(SUMPRODUCT(--ISNUMBER(SEARCH({"recompensa","sorpresa","regalo","lealtad","detalle","gracias","pensamos en ti","para ti"},E213)))&gt;0,"Recompensa o sorpresa","Otro: beneficio o novedad"))))</f>
        <v>Otro: beneficio o novedad</v>
      </c>
    </row>
    <row r="214" spans="1:46" x14ac:dyDescent="0.2">
      <c r="A214" s="104" t="s">
        <v>1085</v>
      </c>
      <c r="B214" s="104" t="s">
        <v>276</v>
      </c>
      <c r="C214" s="104" t="s">
        <v>742</v>
      </c>
      <c r="D214" s="104" t="s">
        <v>702</v>
      </c>
      <c r="E214" s="104" t="s">
        <v>483</v>
      </c>
      <c r="F214" s="104" t="s">
        <v>484</v>
      </c>
      <c r="G214" s="105">
        <v>337548</v>
      </c>
      <c r="H214" s="105">
        <v>33010</v>
      </c>
      <c r="I214" s="105">
        <v>22370</v>
      </c>
      <c r="J214" s="106">
        <v>6.13</v>
      </c>
      <c r="K214" s="106">
        <v>2.4900000000000002</v>
      </c>
      <c r="L214" s="107">
        <v>97545.9</v>
      </c>
      <c r="M214" s="108">
        <f t="shared" si="72"/>
        <v>9.7793498998660926</v>
      </c>
      <c r="N214" s="108">
        <f t="shared" si="73"/>
        <v>6.6272056122388525</v>
      </c>
      <c r="O214" s="108">
        <f t="shared" si="74"/>
        <v>67.767343229324453</v>
      </c>
      <c r="P214" s="108">
        <f t="shared" si="75"/>
        <v>288.98378897223506</v>
      </c>
      <c r="Q214" s="108">
        <f t="shared" si="76"/>
        <v>17.395911943759799</v>
      </c>
      <c r="R214" s="108">
        <f t="shared" si="77"/>
        <v>29.440902453236173</v>
      </c>
      <c r="S214" s="101">
        <f t="shared" si="78"/>
        <v>45948</v>
      </c>
      <c r="T214" s="102" t="str">
        <f t="shared" si="79"/>
        <v>Octubre</v>
      </c>
      <c r="U214" s="102" t="str">
        <f t="shared" si="80"/>
        <v>Sábado</v>
      </c>
      <c r="V214" s="102">
        <f t="shared" si="81"/>
        <v>16</v>
      </c>
      <c r="W214" s="102" t="str">
        <f t="shared" si="82"/>
        <v>Días después del pago</v>
      </c>
      <c r="X214" s="102">
        <f t="shared" si="83"/>
        <v>27</v>
      </c>
      <c r="Y214" s="102" t="str">
        <f t="shared" si="84"/>
        <v>Sí</v>
      </c>
      <c r="Z214" s="102" t="str">
        <f>CHOOSE(MATCH(B214,{"Customer Appreciation","Exclusive Offers","Flash Sale","Holiday Discounts","New Product Launch","Newsletter"},0),"Fidelizar","Vender","Vender","Vender","Lanzar","Educar")</f>
        <v>Vender</v>
      </c>
      <c r="AA214" s="102" t="str">
        <f t="shared" si="85"/>
        <v>300 a 400 mil</v>
      </c>
      <c r="AB214" s="102">
        <f>COUNTIFS($E$5:$E$493,E214,$S$5:$S$493,"&lt;"&amp;S214)+COUNTIFS($E$5:E214,E214,$S$5:S214,S214)</f>
        <v>8</v>
      </c>
      <c r="AC214" s="102">
        <f t="shared" si="86"/>
        <v>9</v>
      </c>
      <c r="AD214" s="102" t="str">
        <f t="shared" si="87"/>
        <v>Último tercio</v>
      </c>
      <c r="AE214" s="103">
        <f t="shared" si="88"/>
        <v>-7.6165620438937065</v>
      </c>
      <c r="AF214" s="102" t="str">
        <f t="shared" si="89"/>
        <v xml:space="preserve">  gran oferta  por tiempo limitado  no te lo pierdas </v>
      </c>
      <c r="AG214" s="102" t="str">
        <f t="shared" si="90"/>
        <v xml:space="preserve"> aprovecha los descuentos en tus productos esenciales   compra ahora  </v>
      </c>
      <c r="AH214" s="102" t="str">
        <f>IF(SUMPRODUCT(--(LEFT(IF(LEFT(LOWER(E214),1)="¡",MID(LOWER(E214),2,300),LOWER(E214)),LEN({"actualizaci","el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Sí</v>
      </c>
      <c r="AI214" s="102" t="str">
        <f>IF(OR(SUMPRODUCT(--ISNUMBER(SEARCH({"descuento","oferta","ahorr","precio"," sale ","flash","deals"},AF214)))&gt;0,SUMPRODUCT(--ISNUMBER(SEARCH({"descuento","oferta","ahorr","precio"," sale ","flash","deals"},AG214)))&gt;0),"Sí","No")</f>
        <v>Sí</v>
      </c>
      <c r="AJ214" s="102" t="str">
        <f>IF(SUMPRODUCT(--ISNUMBER(SEARCH({" hoy ","horas","tiempo limitado","antes de que","se acab","se agot","finalic","última oportunidad","oportunidad única","relámpago","express","no esperes","no volver","no parpadees"},AF214)))&gt;0,"Sí","No")</f>
        <v>Sí</v>
      </c>
      <c r="AK214" s="102" t="str">
        <f>IF(SUMPRODUCT(--ISNUMBER(SEARCH({" hoy ","horas","tiempo limitado","antes de que","se acab","se agot","finalic","última oportunidad","oportunidad única","relámpago","express","no esperes","no volver","no parpadees"},AG214)))&gt;0,"Sí","No")</f>
        <v>No</v>
      </c>
      <c r="AL214" s="102" t="str">
        <f t="shared" si="91"/>
        <v>Descuento con tiempo límite en el asunto</v>
      </c>
      <c r="AM214" s="102" t="str">
        <f>IF(SUMPRODUCT(--ISNUMBER(SEARCH({"0","1","2","3","4","5","6","7","8","9","favorit","maquillaje","piel","cabello","productos","belleza","regalo"},E214)))&gt;0,"Sí","No")</f>
        <v>No</v>
      </c>
      <c r="AN214" s="102" t="str">
        <f>IF(SUMPRODUCT(--ISNUMBER(SEARCH({"lo que tenemos","estas ofertas","algo especial","ofertas únicas","que preparamos","no te quedes","echa un vistazo"},F214)))&gt;0,"Sí","No")</f>
        <v>No</v>
      </c>
      <c r="AO214" s="102">
        <f t="shared" si="92"/>
        <v>51</v>
      </c>
      <c r="AP214" s="102">
        <f t="shared" si="93"/>
        <v>9</v>
      </c>
      <c r="AQ214" s="102">
        <f>SUMPRODUCT(LEN(E214)-LEN(SUBSTITUTE(E214,{"!","¡","?","¿",":",",",".","%","·","-",";"},"")))</f>
        <v>3</v>
      </c>
      <c r="AR214" s="102" t="str">
        <f t="shared" si="94"/>
        <v>Sí</v>
      </c>
      <c r="AS214" s="102" t="str">
        <f t="shared" si="95"/>
        <v>No</v>
      </c>
      <c r="AT214" s="102" t="str">
        <f>IF(SUMPRODUCT(--ISNUMBER(FIND({"0","1","2","3","4","5","6","7","8","9"},E214)))&gt;0,"Con cifra concreta",IF(OR(ISNUMBER(FIND("?",E214)),ISNUMBER(FIND("¿",E214))),"Pregunta abierta",IF(SUMPRODUCT(--ISNUMBER(SEARCH({" hoy ","horas","tiempo limitado","antes de que","se acab","se agot","finalic","última oportunidad","oportunidad única","relámpago","express","no esperes","no volver","no parpadees"," ya ","últimas horas","últimas unidades"," ahora "},AF214)))&gt;0,"Solo urgencia, sin cifra",IF(SUMPRODUCT(--ISNUMBER(SEARCH({"recompensa","sorpresa","regalo","lealtad","detalle","gracias","pensamos en ti","para ti"},E214)))&gt;0,"Recompensa o sorpresa","Otro: beneficio o novedad"))))</f>
        <v>Solo urgencia, sin cifra</v>
      </c>
    </row>
    <row r="215" spans="1:46" x14ac:dyDescent="0.2">
      <c r="A215" s="96" t="s">
        <v>1086</v>
      </c>
      <c r="B215" s="96" t="s">
        <v>274</v>
      </c>
      <c r="C215" s="96" t="s">
        <v>773</v>
      </c>
      <c r="D215" s="96" t="s">
        <v>707</v>
      </c>
      <c r="E215" s="96" t="s">
        <v>371</v>
      </c>
      <c r="F215" s="96" t="s">
        <v>452</v>
      </c>
      <c r="G215" s="97">
        <v>304009</v>
      </c>
      <c r="H215" s="97">
        <v>121604</v>
      </c>
      <c r="I215" s="97">
        <v>56850</v>
      </c>
      <c r="J215" s="98">
        <v>1.88</v>
      </c>
      <c r="K215" s="98">
        <v>0.86</v>
      </c>
      <c r="L215" s="99">
        <v>28854.98</v>
      </c>
      <c r="M215" s="100">
        <f t="shared" si="72"/>
        <v>40.000131575052059</v>
      </c>
      <c r="N215" s="100">
        <f t="shared" si="73"/>
        <v>18.700104273228753</v>
      </c>
      <c r="O215" s="100">
        <f t="shared" si="74"/>
        <v>46.75010690437815</v>
      </c>
      <c r="P215" s="100">
        <f t="shared" si="75"/>
        <v>94.914887388202317</v>
      </c>
      <c r="Q215" s="100">
        <f t="shared" si="76"/>
        <v>40.72142758959253</v>
      </c>
      <c r="R215" s="100">
        <f t="shared" si="77"/>
        <v>31.113650744455075</v>
      </c>
      <c r="S215" s="101">
        <f t="shared" si="78"/>
        <v>45909</v>
      </c>
      <c r="T215" s="102" t="str">
        <f t="shared" si="79"/>
        <v>Septiembre</v>
      </c>
      <c r="U215" s="102" t="str">
        <f t="shared" si="80"/>
        <v>Martes</v>
      </c>
      <c r="V215" s="102">
        <f t="shared" si="81"/>
        <v>13</v>
      </c>
      <c r="W215" s="102" t="str">
        <f t="shared" si="82"/>
        <v>Resto del mes</v>
      </c>
      <c r="X215" s="102">
        <f t="shared" si="83"/>
        <v>28</v>
      </c>
      <c r="Y215" s="102" t="str">
        <f t="shared" si="84"/>
        <v>Sí</v>
      </c>
      <c r="Z215" s="102" t="str">
        <f>CHOOSE(MATCH(B215,{"Customer Appreciation","Exclusive Offers","Flash Sale","Holiday Discounts","New Product Launch","Newsletter"},0),"Fidelizar","Vender","Vender","Vender","Lanzar","Educar")</f>
        <v>Fidelizar</v>
      </c>
      <c r="AA215" s="102" t="str">
        <f t="shared" si="85"/>
        <v>300 a 400 mil</v>
      </c>
      <c r="AB215" s="102">
        <f>COUNTIFS($E$5:$E$493,E215,$S$5:$S$493,"&lt;"&amp;S215)+COUNTIFS($E$5:E215,E215,$S$5:S215,S215)</f>
        <v>8</v>
      </c>
      <c r="AC215" s="102">
        <f t="shared" si="86"/>
        <v>16</v>
      </c>
      <c r="AD215" s="102" t="str">
        <f t="shared" si="87"/>
        <v>Medio</v>
      </c>
      <c r="AE215" s="103">
        <f t="shared" si="88"/>
        <v>-0.72129601454047076</v>
      </c>
      <c r="AF215" s="102" t="str">
        <f t="shared" si="89"/>
        <v xml:space="preserve">  tu lealtad tiene recompensa  descúbrela  sorpresas para ti </v>
      </c>
      <c r="AG215" s="102" t="str">
        <f t="shared" si="90"/>
        <v xml:space="preserve"> ofertas exclusivas para nuestros clientes más especiales   no te las pierdas  </v>
      </c>
      <c r="AH215" s="102" t="str">
        <f>IF(SUMPRODUCT(--(LEFT(IF(LEFT(LOWER(E215),1)="¡",MID(LOWER(E215),2,300),LOWER(E215)),LEN({"actualizaci","el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215" s="102" t="str">
        <f>IF(OR(SUMPRODUCT(--ISNUMBER(SEARCH({"descuento","oferta","ahorr","precio"," sale ","flash","deals"},AF215)))&gt;0,SUMPRODUCT(--ISNUMBER(SEARCH({"descuento","oferta","ahorr","precio"," sale ","flash","deals"},AG215)))&gt;0),"Sí","No")</f>
        <v>Sí</v>
      </c>
      <c r="AJ215" s="102" t="str">
        <f>IF(SUMPRODUCT(--ISNUMBER(SEARCH({" hoy ","horas","tiempo limitado","antes de que","se acab","se agot","finalic","última oportunidad","oportunidad única","relámpago","express","no esperes","no volver","no parpadees"},AF215)))&gt;0,"Sí","No")</f>
        <v>No</v>
      </c>
      <c r="AK215" s="102" t="str">
        <f>IF(SUMPRODUCT(--ISNUMBER(SEARCH({" hoy ","horas","tiempo limitado","antes de que","se acab","se agot","finalic","última oportunidad","oportunidad única","relámpago","express","no esperes","no volver","no parpadees"},AG215)))&gt;0,"Sí","No")</f>
        <v>No</v>
      </c>
      <c r="AL215" s="102" t="str">
        <f t="shared" si="91"/>
        <v>Descuento sin tiempo límite</v>
      </c>
      <c r="AM215" s="102" t="str">
        <f>IF(SUMPRODUCT(--ISNUMBER(SEARCH({"0","1","2","3","4","5","6","7","8","9","favorit","maquillaje","piel","cabello","productos","belleza","regalo"},E215)))&gt;0,"Sí","No")</f>
        <v>No</v>
      </c>
      <c r="AN215" s="102" t="str">
        <f>IF(SUMPRODUCT(--ISNUMBER(SEARCH({"lo que tenemos","estas ofertas","algo especial","ofertas únicas","que preparamos","no te quedes","echa un vistazo"},F215)))&gt;0,"Sí","No")</f>
        <v>No</v>
      </c>
      <c r="AO215" s="102">
        <f t="shared" si="92"/>
        <v>59</v>
      </c>
      <c r="AP215" s="102">
        <f t="shared" si="93"/>
        <v>8</v>
      </c>
      <c r="AQ215" s="102">
        <f>SUMPRODUCT(LEN(E215)-LEN(SUBSTITUTE(E215,{"!","¡","?","¿",":",",",".","%","·","-",";"},"")))</f>
        <v>3</v>
      </c>
      <c r="AR215" s="102" t="str">
        <f t="shared" si="94"/>
        <v>Sí</v>
      </c>
      <c r="AS215" s="102" t="str">
        <f t="shared" si="95"/>
        <v>No</v>
      </c>
      <c r="AT215" s="102" t="str">
        <f>IF(SUMPRODUCT(--ISNUMBER(FIND({"0","1","2","3","4","5","6","7","8","9"},E215)))&gt;0,"Con cifra concreta",IF(OR(ISNUMBER(FIND("?",E215)),ISNUMBER(FIND("¿",E215))),"Pregunta abierta",IF(SUMPRODUCT(--ISNUMBER(SEARCH({" hoy ","horas","tiempo limitado","antes de que","se acab","se agot","finalic","última oportunidad","oportunidad única","relámpago","express","no esperes","no volver","no parpadees"," ya ","últimas horas","últimas unidades"," ahora "},AF215)))&gt;0,"Solo urgencia, sin cifra",IF(SUMPRODUCT(--ISNUMBER(SEARCH({"recompensa","sorpresa","regalo","lealtad","detalle","gracias","pensamos en ti","para ti"},E215)))&gt;0,"Recompensa o sorpresa","Otro: beneficio o novedad"))))</f>
        <v>Recompensa o sorpresa</v>
      </c>
    </row>
    <row r="216" spans="1:46" x14ac:dyDescent="0.2">
      <c r="A216" s="104" t="s">
        <v>1087</v>
      </c>
      <c r="B216" s="104" t="s">
        <v>274</v>
      </c>
      <c r="C216" s="104" t="s">
        <v>980</v>
      </c>
      <c r="D216" s="104" t="s">
        <v>824</v>
      </c>
      <c r="E216" s="104" t="s">
        <v>453</v>
      </c>
      <c r="F216" s="104" t="s">
        <v>454</v>
      </c>
      <c r="G216" s="105">
        <v>39162</v>
      </c>
      <c r="H216" s="105">
        <v>11993</v>
      </c>
      <c r="I216" s="105">
        <v>3902</v>
      </c>
      <c r="J216" s="106">
        <v>3.75</v>
      </c>
      <c r="K216" s="106">
        <v>0.95</v>
      </c>
      <c r="L216" s="107">
        <v>76480.75</v>
      </c>
      <c r="M216" s="108">
        <f t="shared" si="72"/>
        <v>30.624074357795823</v>
      </c>
      <c r="N216" s="108">
        <f t="shared" si="73"/>
        <v>9.963740360553599</v>
      </c>
      <c r="O216" s="108">
        <f t="shared" si="74"/>
        <v>32.535645793379473</v>
      </c>
      <c r="P216" s="108">
        <f t="shared" si="75"/>
        <v>1952.932689852408</v>
      </c>
      <c r="Q216" s="108">
        <f t="shared" si="76"/>
        <v>39.210446566150395</v>
      </c>
      <c r="R216" s="108">
        <f t="shared" si="77"/>
        <v>31.113650744455075</v>
      </c>
      <c r="S216" s="101">
        <f t="shared" si="78"/>
        <v>45875</v>
      </c>
      <c r="T216" s="102" t="str">
        <f t="shared" si="79"/>
        <v>Agosto</v>
      </c>
      <c r="U216" s="102" t="str">
        <f t="shared" si="80"/>
        <v>Miércoles</v>
      </c>
      <c r="V216" s="102">
        <f t="shared" si="81"/>
        <v>10</v>
      </c>
      <c r="W216" s="102" t="str">
        <f t="shared" si="82"/>
        <v>Resto del mes</v>
      </c>
      <c r="X216" s="102">
        <f t="shared" si="83"/>
        <v>28</v>
      </c>
      <c r="Y216" s="102" t="str">
        <f t="shared" si="84"/>
        <v>Sí</v>
      </c>
      <c r="Z216" s="102" t="str">
        <f>CHOOSE(MATCH(B216,{"Customer Appreciation","Exclusive Offers","Flash Sale","Holiday Discounts","New Product Launch","Newsletter"},0),"Fidelizar","Vender","Vender","Vender","Lanzar","Educar")</f>
        <v>Fidelizar</v>
      </c>
      <c r="AA216" s="102" t="str">
        <f t="shared" si="85"/>
        <v>Menos de 100 mil</v>
      </c>
      <c r="AB216" s="102">
        <f>COUNTIFS($E$5:$E$493,E216,$S$5:$S$493,"&lt;"&amp;S216)+COUNTIFS($E$5:E216,E216,$S$5:S216,S216)</f>
        <v>1</v>
      </c>
      <c r="AC216" s="102">
        <f t="shared" si="86"/>
        <v>20</v>
      </c>
      <c r="AD216" s="102" t="str">
        <f t="shared" si="87"/>
        <v>Primer tercio</v>
      </c>
      <c r="AE216" s="103">
        <f t="shared" si="88"/>
        <v>-8.5863722083545717</v>
      </c>
      <c r="AF216" s="102" t="str">
        <f t="shared" si="89"/>
        <v xml:space="preserve">  pensamos en ti  descubre estas sorpresas exclusivas </v>
      </c>
      <c r="AG216" s="102" t="str">
        <f t="shared" si="90"/>
        <v xml:space="preserve"> ofertas exclusivas por tu lealtad a l'oréal   aprovecha  </v>
      </c>
      <c r="AH216" s="102" t="str">
        <f>IF(SUMPRODUCT(--(LEFT(IF(LEFT(LOWER(E216),1)="¡",MID(LOWER(E216),2,300),LOWER(E216)),LEN({"actualizaci","el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216" s="102" t="str">
        <f>IF(OR(SUMPRODUCT(--ISNUMBER(SEARCH({"descuento","oferta","ahorr","precio"," sale ","flash","deals"},AF216)))&gt;0,SUMPRODUCT(--ISNUMBER(SEARCH({"descuento","oferta","ahorr","precio"," sale ","flash","deals"},AG216)))&gt;0),"Sí","No")</f>
        <v>Sí</v>
      </c>
      <c r="AJ216" s="102" t="str">
        <f>IF(SUMPRODUCT(--ISNUMBER(SEARCH({" hoy ","horas","tiempo limitado","antes de que","se acab","se agot","finalic","última oportunidad","oportunidad única","relámpago","express","no esperes","no volver","no parpadees"},AF216)))&gt;0,"Sí","No")</f>
        <v>No</v>
      </c>
      <c r="AK216" s="102" t="str">
        <f>IF(SUMPRODUCT(--ISNUMBER(SEARCH({" hoy ","horas","tiempo limitado","antes de que","se acab","se agot","finalic","última oportunidad","oportunidad única","relámpago","express","no esperes","no volver","no parpadees"},AG216)))&gt;0,"Sí","No")</f>
        <v>No</v>
      </c>
      <c r="AL216" s="102" t="str">
        <f t="shared" si="91"/>
        <v>Descuento sin tiempo límite</v>
      </c>
      <c r="AM216" s="102" t="str">
        <f>IF(SUMPRODUCT(--ISNUMBER(SEARCH({"0","1","2","3","4","5","6","7","8","9","favorit","maquillaje","piel","cabello","productos","belleza","regalo"},E216)))&gt;0,"Sí","No")</f>
        <v>No</v>
      </c>
      <c r="AN216" s="102" t="str">
        <f>IF(SUMPRODUCT(--ISNUMBER(SEARCH({"lo que tenemos","estas ofertas","algo especial","ofertas únicas","que preparamos","no te quedes","echa un vistazo"},F216)))&gt;0,"Sí","No")</f>
        <v>No</v>
      </c>
      <c r="AO216" s="102">
        <f t="shared" si="92"/>
        <v>52</v>
      </c>
      <c r="AP216" s="102">
        <f t="shared" si="93"/>
        <v>7</v>
      </c>
      <c r="AQ216" s="102">
        <f>SUMPRODUCT(LEN(E216)-LEN(SUBSTITUTE(E216,{"!","¡","?","¿",":",",",".","%","·","-",";"},"")))</f>
        <v>2</v>
      </c>
      <c r="AR216" s="102" t="str">
        <f t="shared" si="94"/>
        <v>Sí</v>
      </c>
      <c r="AS216" s="102" t="str">
        <f t="shared" si="95"/>
        <v>No</v>
      </c>
      <c r="AT216" s="102" t="str">
        <f>IF(SUMPRODUCT(--ISNUMBER(FIND({"0","1","2","3","4","5","6","7","8","9"},E216)))&gt;0,"Con cifra concreta",IF(OR(ISNUMBER(FIND("?",E216)),ISNUMBER(FIND("¿",E216))),"Pregunta abierta",IF(SUMPRODUCT(--ISNUMBER(SEARCH({" hoy ","horas","tiempo limitado","antes de que","se acab","se agot","finalic","última oportunidad","oportunidad única","relámpago","express","no esperes","no volver","no parpadees"," ya ","últimas horas","últimas unidades"," ahora "},AF216)))&gt;0,"Solo urgencia, sin cifra",IF(SUMPRODUCT(--ISNUMBER(SEARCH({"recompensa","sorpresa","regalo","lealtad","detalle","gracias","pensamos en ti","para ti"},E216)))&gt;0,"Recompensa o sorpresa","Otro: beneficio o novedad"))))</f>
        <v>Recompensa o sorpresa</v>
      </c>
    </row>
    <row r="217" spans="1:46" x14ac:dyDescent="0.2">
      <c r="A217" s="96" t="s">
        <v>1088</v>
      </c>
      <c r="B217" s="96" t="s">
        <v>276</v>
      </c>
      <c r="C217" s="96" t="s">
        <v>815</v>
      </c>
      <c r="D217" s="96" t="s">
        <v>764</v>
      </c>
      <c r="E217" s="96" t="s">
        <v>450</v>
      </c>
      <c r="F217" s="96" t="s">
        <v>451</v>
      </c>
      <c r="G217" s="97">
        <v>298300</v>
      </c>
      <c r="H217" s="97">
        <v>116016</v>
      </c>
      <c r="I217" s="97">
        <v>52495</v>
      </c>
      <c r="J217" s="98">
        <v>9.3000000000000007</v>
      </c>
      <c r="K217" s="98">
        <v>1.22</v>
      </c>
      <c r="L217" s="99">
        <v>96530.31</v>
      </c>
      <c r="M217" s="100">
        <f t="shared" si="72"/>
        <v>38.892390211196783</v>
      </c>
      <c r="N217" s="100">
        <f t="shared" si="73"/>
        <v>17.598055648675832</v>
      </c>
      <c r="O217" s="100">
        <f t="shared" si="74"/>
        <v>45.248069231830087</v>
      </c>
      <c r="P217" s="100">
        <f t="shared" si="75"/>
        <v>323.60144150184379</v>
      </c>
      <c r="Q217" s="100">
        <f t="shared" si="76"/>
        <v>41.593592985418489</v>
      </c>
      <c r="R217" s="100">
        <f t="shared" si="77"/>
        <v>29.440902453236173</v>
      </c>
      <c r="S217" s="101">
        <f t="shared" si="78"/>
        <v>45959</v>
      </c>
      <c r="T217" s="102" t="str">
        <f t="shared" si="79"/>
        <v>Octubre</v>
      </c>
      <c r="U217" s="102" t="str">
        <f t="shared" si="80"/>
        <v>Miércoles</v>
      </c>
      <c r="V217" s="102">
        <f t="shared" si="81"/>
        <v>15</v>
      </c>
      <c r="W217" s="102" t="str">
        <f t="shared" si="82"/>
        <v>Resto del mes</v>
      </c>
      <c r="X217" s="102">
        <f t="shared" si="83"/>
        <v>27</v>
      </c>
      <c r="Y217" s="102" t="str">
        <f t="shared" si="84"/>
        <v>Sí</v>
      </c>
      <c r="Z217" s="102" t="str">
        <f>CHOOSE(MATCH(B217,{"Customer Appreciation","Exclusive Offers","Flash Sale","Holiday Discounts","New Product Launch","Newsletter"},0),"Fidelizar","Vender","Vender","Vender","Lanzar","Educar")</f>
        <v>Vender</v>
      </c>
      <c r="AA217" s="102" t="str">
        <f t="shared" si="85"/>
        <v>200 a 300 mil</v>
      </c>
      <c r="AB217" s="102">
        <f>COUNTIFS($E$5:$E$493,E217,$S$5:$S$493,"&lt;"&amp;S217)+COUNTIFS($E$5:E217,E217,$S$5:S217,S217)</f>
        <v>20</v>
      </c>
      <c r="AC217" s="102">
        <f t="shared" si="86"/>
        <v>21</v>
      </c>
      <c r="AD217" s="102" t="str">
        <f t="shared" si="87"/>
        <v>Último tercio</v>
      </c>
      <c r="AE217" s="103">
        <f t="shared" si="88"/>
        <v>-2.7012027742217057</v>
      </c>
      <c r="AF217" s="102" t="str">
        <f t="shared" si="89"/>
        <v xml:space="preserve">  ahorra ya  flash sale  hasta 50% en tus favoritos </v>
      </c>
      <c r="AG217" s="102" t="str">
        <f t="shared" si="90"/>
        <v xml:space="preserve"> edición limitada  maquillaje  cuidado de piel y más   corre  </v>
      </c>
      <c r="AH217" s="102" t="str">
        <f>IF(SUMPRODUCT(--(LEFT(IF(LEFT(LOWER(E217),1)="¡",MID(LOWER(E217),2,300),LOWER(E217)),LEN({"actualizaci","el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217" s="102" t="str">
        <f>IF(OR(SUMPRODUCT(--ISNUMBER(SEARCH({"descuento","oferta","ahorr","precio"," sale ","flash","deals"},AF217)))&gt;0,SUMPRODUCT(--ISNUMBER(SEARCH({"descuento","oferta","ahorr","precio"," sale ","flash","deals"},AG217)))&gt;0),"Sí","No")</f>
        <v>Sí</v>
      </c>
      <c r="AJ217" s="102" t="str">
        <f>IF(SUMPRODUCT(--ISNUMBER(SEARCH({" hoy ","horas","tiempo limitado","antes de que","se acab","se agot","finalic","última oportunidad","oportunidad única","relámpago","express","no esperes","no volver","no parpadees"},AF217)))&gt;0,"Sí","No")</f>
        <v>No</v>
      </c>
      <c r="AK217" s="102" t="str">
        <f>IF(SUMPRODUCT(--ISNUMBER(SEARCH({" hoy ","horas","tiempo limitado","antes de que","se acab","se agot","finalic","última oportunidad","oportunidad única","relámpago","express","no esperes","no volver","no parpadees"},AG217)))&gt;0,"Sí","No")</f>
        <v>No</v>
      </c>
      <c r="AL217" s="102" t="str">
        <f t="shared" si="91"/>
        <v>Descuento sin tiempo límite</v>
      </c>
      <c r="AM217" s="102" t="str">
        <f>IF(SUMPRODUCT(--ISNUMBER(SEARCH({"0","1","2","3","4","5","6","7","8","9","favorit","maquillaje","piel","cabello","productos","belleza","regalo"},E217)))&gt;0,"Sí","No")</f>
        <v>Sí</v>
      </c>
      <c r="AN217" s="102" t="str">
        <f>IF(SUMPRODUCT(--ISNUMBER(SEARCH({"lo que tenemos","estas ofertas","algo especial","ofertas únicas","que preparamos","no te quedes","echa un vistazo"},F217)))&gt;0,"Sí","No")</f>
        <v>No</v>
      </c>
      <c r="AO217" s="102">
        <f t="shared" si="92"/>
        <v>50</v>
      </c>
      <c r="AP217" s="102">
        <f t="shared" si="93"/>
        <v>9</v>
      </c>
      <c r="AQ217" s="102">
        <f>SUMPRODUCT(LEN(E217)-LEN(SUBSTITUTE(E217,{"!","¡","?","¿",":",",",".","%","·","-",";"},"")))</f>
        <v>4</v>
      </c>
      <c r="AR217" s="102" t="str">
        <f t="shared" si="94"/>
        <v>No</v>
      </c>
      <c r="AS217" s="102" t="str">
        <f t="shared" si="95"/>
        <v>No</v>
      </c>
      <c r="AT217" s="102" t="str">
        <f>IF(SUMPRODUCT(--ISNUMBER(FIND({"0","1","2","3","4","5","6","7","8","9"},E217)))&gt;0,"Con cifra concreta",IF(OR(ISNUMBER(FIND("?",E217)),ISNUMBER(FIND("¿",E217))),"Pregunta abierta",IF(SUMPRODUCT(--ISNUMBER(SEARCH({" hoy ","horas","tiempo limitado","antes de que","se acab","se agot","finalic","última oportunidad","oportunidad única","relámpago","express","no esperes","no volver","no parpadees"," ya ","últimas horas","últimas unidades"," ahora "},AF217)))&gt;0,"Solo urgencia, sin cifra",IF(SUMPRODUCT(--ISNUMBER(SEARCH({"recompensa","sorpresa","regalo","lealtad","detalle","gracias","pensamos en ti","para ti"},E217)))&gt;0,"Recompensa o sorpresa","Otro: beneficio o novedad"))))</f>
        <v>Con cifra concreta</v>
      </c>
    </row>
    <row r="218" spans="1:46" x14ac:dyDescent="0.2">
      <c r="A218" s="104" t="s">
        <v>1089</v>
      </c>
      <c r="B218" s="104" t="s">
        <v>278</v>
      </c>
      <c r="C218" s="104" t="s">
        <v>889</v>
      </c>
      <c r="D218" s="104" t="s">
        <v>761</v>
      </c>
      <c r="E218" s="104" t="s">
        <v>368</v>
      </c>
      <c r="F218" s="104" t="s">
        <v>471</v>
      </c>
      <c r="G218" s="105">
        <v>255676</v>
      </c>
      <c r="H218" s="105">
        <v>65759</v>
      </c>
      <c r="I218" s="105">
        <v>43916</v>
      </c>
      <c r="J218" s="106">
        <v>1.1100000000000001</v>
      </c>
      <c r="K218" s="106">
        <v>4.18</v>
      </c>
      <c r="L218" s="107">
        <v>93228.56</v>
      </c>
      <c r="M218" s="108">
        <f t="shared" si="72"/>
        <v>25.719660820726233</v>
      </c>
      <c r="N218" s="108">
        <f t="shared" si="73"/>
        <v>17.176426414681082</v>
      </c>
      <c r="O218" s="108">
        <f t="shared" si="74"/>
        <v>66.783254003254314</v>
      </c>
      <c r="P218" s="108">
        <f t="shared" si="75"/>
        <v>364.63555437350396</v>
      </c>
      <c r="Q218" s="108">
        <f t="shared" si="76"/>
        <v>23.315840784070005</v>
      </c>
      <c r="R218" s="108">
        <f t="shared" si="77"/>
        <v>29.458247936272421</v>
      </c>
      <c r="S218" s="101">
        <f t="shared" si="78"/>
        <v>45908</v>
      </c>
      <c r="T218" s="102" t="str">
        <f t="shared" si="79"/>
        <v>Septiembre</v>
      </c>
      <c r="U218" s="102" t="str">
        <f t="shared" si="80"/>
        <v>Lunes</v>
      </c>
      <c r="V218" s="102">
        <f t="shared" si="81"/>
        <v>10</v>
      </c>
      <c r="W218" s="102" t="str">
        <f t="shared" si="82"/>
        <v>Resto del mes</v>
      </c>
      <c r="X218" s="102">
        <f t="shared" si="83"/>
        <v>28</v>
      </c>
      <c r="Y218" s="102" t="str">
        <f t="shared" si="84"/>
        <v>Sí</v>
      </c>
      <c r="Z218" s="102" t="str">
        <f>CHOOSE(MATCH(B218,{"Customer Appreciation","Exclusive Offers","Flash Sale","Holiday Discounts","New Product Launch","Newsletter"},0),"Fidelizar","Vender","Vender","Vender","Lanzar","Educar")</f>
        <v>Lanzar</v>
      </c>
      <c r="AA218" s="102" t="str">
        <f t="shared" si="85"/>
        <v>200 a 300 mil</v>
      </c>
      <c r="AB218" s="102">
        <f>COUNTIFS($E$5:$E$493,E218,$S$5:$S$493,"&lt;"&amp;S218)+COUNTIFS($E$5:E218,E218,$S$5:S218,S218)</f>
        <v>12</v>
      </c>
      <c r="AC218" s="102">
        <f t="shared" si="86"/>
        <v>33</v>
      </c>
      <c r="AD218" s="102" t="str">
        <f t="shared" si="87"/>
        <v>Medio</v>
      </c>
      <c r="AE218" s="103">
        <f t="shared" si="88"/>
        <v>2.4038200366562279</v>
      </c>
      <c r="AF218" s="102" t="str">
        <f t="shared" si="89"/>
        <v xml:space="preserve"> presentamos  nuestro último lanzamiento de belleza  imperdible  </v>
      </c>
      <c r="AG218" s="102" t="str">
        <f t="shared" si="90"/>
        <v xml:space="preserve"> una innovación que cambiará tu rutina   sé de los primeros  </v>
      </c>
      <c r="AH218" s="102" t="str">
        <f>IF(SUMPRODUCT(--(LEFT(IF(LEFT(LOWER(E218),1)="¡",MID(LOWER(E218),2,300),LOWER(E218)),LEN({"actualizaci","el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Sí</v>
      </c>
      <c r="AI218" s="102" t="str">
        <f>IF(OR(SUMPRODUCT(--ISNUMBER(SEARCH({"descuento","oferta","ahorr","precio"," sale ","flash","deals"},AF218)))&gt;0,SUMPRODUCT(--ISNUMBER(SEARCH({"descuento","oferta","ahorr","precio"," sale ","flash","deals"},AG218)))&gt;0),"Sí","No")</f>
        <v>No</v>
      </c>
      <c r="AJ218" s="102" t="str">
        <f>IF(SUMPRODUCT(--ISNUMBER(SEARCH({" hoy ","horas","tiempo limitado","antes de que","se acab","se agot","finalic","última oportunidad","oportunidad única","relámpago","express","no esperes","no volver","no parpadees"},AF218)))&gt;0,"Sí","No")</f>
        <v>No</v>
      </c>
      <c r="AK218" s="102" t="str">
        <f>IF(SUMPRODUCT(--ISNUMBER(SEARCH({" hoy ","horas","tiempo limitado","antes de que","se acab","se agot","finalic","última oportunidad","oportunidad única","relámpago","express","no esperes","no volver","no parpadees"},AG218)))&gt;0,"Sí","No")</f>
        <v>No</v>
      </c>
      <c r="AL218" s="102" t="str">
        <f t="shared" si="91"/>
        <v>Sin descuento</v>
      </c>
      <c r="AM218" s="102" t="str">
        <f>IF(SUMPRODUCT(--ISNUMBER(SEARCH({"0","1","2","3","4","5","6","7","8","9","favorit","maquillaje","piel","cabello","productos","belleza","regalo"},E218)))&gt;0,"Sí","No")</f>
        <v>Sí</v>
      </c>
      <c r="AN218" s="102" t="str">
        <f>IF(SUMPRODUCT(--ISNUMBER(SEARCH({"lo que tenemos","estas ofertas","algo especial","ofertas únicas","que preparamos","no te quedes","echa un vistazo"},F218)))&gt;0,"Sí","No")</f>
        <v>No</v>
      </c>
      <c r="AO218" s="102">
        <f t="shared" si="92"/>
        <v>63</v>
      </c>
      <c r="AP218" s="102">
        <f t="shared" si="93"/>
        <v>7</v>
      </c>
      <c r="AQ218" s="102">
        <f>SUMPRODUCT(LEN(E218)-LEN(SUBSTITUTE(E218,{"!","¡","?","¿",":",",",".","%","·","-",";"},"")))</f>
        <v>3</v>
      </c>
      <c r="AR218" s="102" t="str">
        <f t="shared" si="94"/>
        <v>No</v>
      </c>
      <c r="AS218" s="102" t="str">
        <f t="shared" si="95"/>
        <v>No</v>
      </c>
      <c r="AT218" s="102" t="str">
        <f>IF(SUMPRODUCT(--ISNUMBER(FIND({"0","1","2","3","4","5","6","7","8","9"},E218)))&gt;0,"Con cifra concreta",IF(OR(ISNUMBER(FIND("?",E218)),ISNUMBER(FIND("¿",E218))),"Pregunta abierta",IF(SUMPRODUCT(--ISNUMBER(SEARCH({" hoy ","horas","tiempo limitado","antes de que","se acab","se agot","finalic","última oportunidad","oportunidad única","relámpago","express","no esperes","no volver","no parpadees"," ya ","últimas horas","últimas unidades"," ahora "},AF218)))&gt;0,"Solo urgencia, sin cifra",IF(SUMPRODUCT(--ISNUMBER(SEARCH({"recompensa","sorpresa","regalo","lealtad","detalle","gracias","pensamos en ti","para ti"},E218)))&gt;0,"Recompensa o sorpresa","Otro: beneficio o novedad"))))</f>
        <v>Otro: beneficio o novedad</v>
      </c>
    </row>
    <row r="219" spans="1:46" x14ac:dyDescent="0.2">
      <c r="A219" s="96" t="s">
        <v>1090</v>
      </c>
      <c r="B219" s="96" t="s">
        <v>278</v>
      </c>
      <c r="C219" s="96" t="s">
        <v>891</v>
      </c>
      <c r="D219" s="96" t="s">
        <v>786</v>
      </c>
      <c r="E219" s="96" t="s">
        <v>467</v>
      </c>
      <c r="F219" s="96" t="s">
        <v>468</v>
      </c>
      <c r="G219" s="97">
        <v>145271</v>
      </c>
      <c r="H219" s="97">
        <v>53205</v>
      </c>
      <c r="I219" s="97">
        <v>19681</v>
      </c>
      <c r="J219" s="98">
        <v>3.21</v>
      </c>
      <c r="K219" s="98">
        <v>4.5199999999999996</v>
      </c>
      <c r="L219" s="99">
        <v>72129.06</v>
      </c>
      <c r="M219" s="100">
        <f t="shared" si="72"/>
        <v>36.624653234300034</v>
      </c>
      <c r="N219" s="100">
        <f t="shared" si="73"/>
        <v>13.54778310881043</v>
      </c>
      <c r="O219" s="100">
        <f t="shared" si="74"/>
        <v>36.990884315383894</v>
      </c>
      <c r="P219" s="100">
        <f t="shared" si="75"/>
        <v>496.51382588403743</v>
      </c>
      <c r="Q219" s="100">
        <f t="shared" si="76"/>
        <v>30.93688234168668</v>
      </c>
      <c r="R219" s="100">
        <f t="shared" si="77"/>
        <v>29.458247936272421</v>
      </c>
      <c r="S219" s="101">
        <f t="shared" si="78"/>
        <v>45888</v>
      </c>
      <c r="T219" s="102" t="str">
        <f t="shared" si="79"/>
        <v>Agosto</v>
      </c>
      <c r="U219" s="102" t="str">
        <f t="shared" si="80"/>
        <v>Martes</v>
      </c>
      <c r="V219" s="102">
        <f t="shared" si="81"/>
        <v>15</v>
      </c>
      <c r="W219" s="102" t="str">
        <f t="shared" si="82"/>
        <v>Días después del pago</v>
      </c>
      <c r="X219" s="102">
        <f t="shared" si="83"/>
        <v>29</v>
      </c>
      <c r="Y219" s="102" t="str">
        <f t="shared" si="84"/>
        <v>Sí</v>
      </c>
      <c r="Z219" s="102" t="str">
        <f>CHOOSE(MATCH(B219,{"Customer Appreciation","Exclusive Offers","Flash Sale","Holiday Discounts","New Product Launch","Newsletter"},0),"Fidelizar","Vender","Vender","Vender","Lanzar","Educar")</f>
        <v>Lanzar</v>
      </c>
      <c r="AA219" s="102" t="str">
        <f t="shared" si="85"/>
        <v>100 a 200 mil</v>
      </c>
      <c r="AB219" s="102">
        <f>COUNTIFS($E$5:$E$493,E219,$S$5:$S$493,"&lt;"&amp;S219)+COUNTIFS($E$5:E219,E219,$S$5:S219,S219)</f>
        <v>6</v>
      </c>
      <c r="AC219" s="102">
        <f t="shared" si="86"/>
        <v>22</v>
      </c>
      <c r="AD219" s="102" t="str">
        <f t="shared" si="87"/>
        <v>Primer tercio</v>
      </c>
      <c r="AE219" s="103">
        <f t="shared" si="88"/>
        <v>5.6877708926133543</v>
      </c>
      <c r="AF219" s="102" t="str">
        <f t="shared" si="89"/>
        <v xml:space="preserve">  lo nuevo de l'oréal  te va a encantar  innovación en belleza </v>
      </c>
      <c r="AG219" s="102" t="str">
        <f t="shared" si="90"/>
        <v xml:space="preserve"> prepárate para experimentar la innovación en tu belleza   descúbrela  </v>
      </c>
      <c r="AH219" s="102" t="str">
        <f>IF(SUMPRODUCT(--(LEFT(IF(LEFT(LOWER(E219),1)="¡",MID(LOWER(E219),2,300),LOWER(E219)),LEN({"actualizaci","el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219" s="102" t="str">
        <f>IF(OR(SUMPRODUCT(--ISNUMBER(SEARCH({"descuento","oferta","ahorr","precio"," sale ","flash","deals"},AF219)))&gt;0,SUMPRODUCT(--ISNUMBER(SEARCH({"descuento","oferta","ahorr","precio"," sale ","flash","deals"},AG219)))&gt;0),"Sí","No")</f>
        <v>No</v>
      </c>
      <c r="AJ219" s="102" t="str">
        <f>IF(SUMPRODUCT(--ISNUMBER(SEARCH({" hoy ","horas","tiempo limitado","antes de que","se acab","se agot","finalic","última oportunidad","oportunidad única","relámpago","express","no esperes","no volver","no parpadees"},AF219)))&gt;0,"Sí","No")</f>
        <v>No</v>
      </c>
      <c r="AK219" s="102" t="str">
        <f>IF(SUMPRODUCT(--ISNUMBER(SEARCH({" hoy ","horas","tiempo limitado","antes de que","se acab","se agot","finalic","última oportunidad","oportunidad única","relámpago","express","no esperes","no volver","no parpadees"},AG219)))&gt;0,"Sí","No")</f>
        <v>No</v>
      </c>
      <c r="AL219" s="102" t="str">
        <f t="shared" si="91"/>
        <v>Sin descuento</v>
      </c>
      <c r="AM219" s="102" t="str">
        <f>IF(SUMPRODUCT(--ISNUMBER(SEARCH({"0","1","2","3","4","5","6","7","8","9","favorit","maquillaje","piel","cabello","productos","belleza","regalo"},E219)))&gt;0,"Sí","No")</f>
        <v>Sí</v>
      </c>
      <c r="AN219" s="102" t="str">
        <f>IF(SUMPRODUCT(--ISNUMBER(SEARCH({"lo que tenemos","estas ofertas","algo especial","ofertas únicas","que preparamos","no te quedes","echa un vistazo"},F219)))&gt;0,"Sí","No")</f>
        <v>No</v>
      </c>
      <c r="AO219" s="102">
        <f t="shared" si="92"/>
        <v>61</v>
      </c>
      <c r="AP219" s="102">
        <f t="shared" si="93"/>
        <v>11</v>
      </c>
      <c r="AQ219" s="102">
        <f>SUMPRODUCT(LEN(E219)-LEN(SUBSTITUTE(E219,{"!","¡","?","¿",":",",",".","%","·","-",";"},"")))</f>
        <v>3</v>
      </c>
      <c r="AR219" s="102" t="str">
        <f t="shared" si="94"/>
        <v>No</v>
      </c>
      <c r="AS219" s="102" t="str">
        <f t="shared" si="95"/>
        <v>No</v>
      </c>
      <c r="AT219" s="102" t="str">
        <f>IF(SUMPRODUCT(--ISNUMBER(FIND({"0","1","2","3","4","5","6","7","8","9"},E219)))&gt;0,"Con cifra concreta",IF(OR(ISNUMBER(FIND("?",E219)),ISNUMBER(FIND("¿",E219))),"Pregunta abierta",IF(SUMPRODUCT(--ISNUMBER(SEARCH({" hoy ","horas","tiempo limitado","antes de que","se acab","se agot","finalic","última oportunidad","oportunidad única","relámpago","express","no esperes","no volver","no parpadees"," ya ","últimas horas","últimas unidades"," ahora "},AF219)))&gt;0,"Solo urgencia, sin cifra",IF(SUMPRODUCT(--ISNUMBER(SEARCH({"recompensa","sorpresa","regalo","lealtad","detalle","gracias","pensamos en ti","para ti"},E219)))&gt;0,"Recompensa o sorpresa","Otro: beneficio o novedad"))))</f>
        <v>Otro: beneficio o novedad</v>
      </c>
    </row>
    <row r="220" spans="1:46" x14ac:dyDescent="0.2">
      <c r="A220" s="104" t="s">
        <v>1091</v>
      </c>
      <c r="B220" s="104" t="s">
        <v>278</v>
      </c>
      <c r="C220" s="104" t="s">
        <v>917</v>
      </c>
      <c r="D220" s="104" t="s">
        <v>774</v>
      </c>
      <c r="E220" s="104" t="s">
        <v>367</v>
      </c>
      <c r="F220" s="104" t="s">
        <v>458</v>
      </c>
      <c r="G220" s="105">
        <v>101783</v>
      </c>
      <c r="H220" s="105">
        <v>34164</v>
      </c>
      <c r="I220" s="105">
        <v>11136</v>
      </c>
      <c r="J220" s="106">
        <v>5.22</v>
      </c>
      <c r="K220" s="106">
        <v>1.97</v>
      </c>
      <c r="L220" s="107">
        <v>42048.74</v>
      </c>
      <c r="M220" s="108">
        <f t="shared" si="72"/>
        <v>33.565526659658289</v>
      </c>
      <c r="N220" s="108">
        <f t="shared" si="73"/>
        <v>10.940923336903019</v>
      </c>
      <c r="O220" s="108">
        <f t="shared" si="74"/>
        <v>32.595714787495609</v>
      </c>
      <c r="P220" s="108">
        <f t="shared" si="75"/>
        <v>413.12144464203254</v>
      </c>
      <c r="Q220" s="108">
        <f t="shared" si="76"/>
        <v>36.132518317209367</v>
      </c>
      <c r="R220" s="108">
        <f t="shared" si="77"/>
        <v>29.458247936272421</v>
      </c>
      <c r="S220" s="101">
        <f t="shared" si="78"/>
        <v>45916</v>
      </c>
      <c r="T220" s="102" t="str">
        <f t="shared" si="79"/>
        <v>Septiembre</v>
      </c>
      <c r="U220" s="102" t="str">
        <f t="shared" si="80"/>
        <v>Martes</v>
      </c>
      <c r="V220" s="102">
        <f t="shared" si="81"/>
        <v>11</v>
      </c>
      <c r="W220" s="102" t="str">
        <f t="shared" si="82"/>
        <v>Quincena</v>
      </c>
      <c r="X220" s="102">
        <f t="shared" si="83"/>
        <v>27</v>
      </c>
      <c r="Y220" s="102" t="str">
        <f t="shared" si="84"/>
        <v>Sí</v>
      </c>
      <c r="Z220" s="102" t="str">
        <f>CHOOSE(MATCH(B220,{"Customer Appreciation","Exclusive Offers","Flash Sale","Holiday Discounts","New Product Launch","Newsletter"},0),"Fidelizar","Vender","Vender","Vender","Lanzar","Educar")</f>
        <v>Lanzar</v>
      </c>
      <c r="AA220" s="102" t="str">
        <f t="shared" si="85"/>
        <v>100 a 200 mil</v>
      </c>
      <c r="AB220" s="102">
        <f>COUNTIFS($E$5:$E$493,E220,$S$5:$S$493,"&lt;"&amp;S220)+COUNTIFS($E$5:E220,E220,$S$5:S220,S220)</f>
        <v>7</v>
      </c>
      <c r="AC220" s="102">
        <f t="shared" si="86"/>
        <v>25</v>
      </c>
      <c r="AD220" s="102" t="str">
        <f t="shared" si="87"/>
        <v>Primer tercio</v>
      </c>
      <c r="AE220" s="103">
        <f t="shared" si="88"/>
        <v>-2.5669916575510783</v>
      </c>
      <c r="AF220" s="102" t="str">
        <f t="shared" si="89"/>
        <v xml:space="preserve">  el futuro de tu piel ha llegado  nuevo producto revolucionario </v>
      </c>
      <c r="AG220" s="102" t="str">
        <f t="shared" si="90"/>
        <v xml:space="preserve"> una fórmula revolucionaria para resultados visibles   compruébalo  </v>
      </c>
      <c r="AH220" s="102" t="str">
        <f>IF(SUMPRODUCT(--(LEFT(IF(LEFT(LOWER(E220),1)="¡",MID(LOWER(E220),2,300),LOWER(E220)),LEN({"actualizaci","el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220" s="102" t="str">
        <f>IF(OR(SUMPRODUCT(--ISNUMBER(SEARCH({"descuento","oferta","ahorr","precio"," sale ","flash","deals"},AF220)))&gt;0,SUMPRODUCT(--ISNUMBER(SEARCH({"descuento","oferta","ahorr","precio"," sale ","flash","deals"},AG220)))&gt;0),"Sí","No")</f>
        <v>No</v>
      </c>
      <c r="AJ220" s="102" t="str">
        <f>IF(SUMPRODUCT(--ISNUMBER(SEARCH({" hoy ","horas","tiempo limitado","antes de que","se acab","se agot","finalic","última oportunidad","oportunidad única","relámpago","express","no esperes","no volver","no parpadees"},AF220)))&gt;0,"Sí","No")</f>
        <v>No</v>
      </c>
      <c r="AK220" s="102" t="str">
        <f>IF(SUMPRODUCT(--ISNUMBER(SEARCH({" hoy ","horas","tiempo limitado","antes de que","se acab","se agot","finalic","última oportunidad","oportunidad única","relámpago","express","no esperes","no volver","no parpadees"},AG220)))&gt;0,"Sí","No")</f>
        <v>No</v>
      </c>
      <c r="AL220" s="102" t="str">
        <f t="shared" si="91"/>
        <v>Sin descuento</v>
      </c>
      <c r="AM220" s="102" t="str">
        <f>IF(SUMPRODUCT(--ISNUMBER(SEARCH({"0","1","2","3","4","5","6","7","8","9","favorit","maquillaje","piel","cabello","productos","belleza","regalo"},E220)))&gt;0,"Sí","No")</f>
        <v>Sí</v>
      </c>
      <c r="AN220" s="102" t="str">
        <f>IF(SUMPRODUCT(--ISNUMBER(SEARCH({"lo que tenemos","estas ofertas","algo especial","ofertas únicas","que preparamos","no te quedes","echa un vistazo"},F220)))&gt;0,"Sí","No")</f>
        <v>No</v>
      </c>
      <c r="AO220" s="102">
        <f t="shared" si="92"/>
        <v>63</v>
      </c>
      <c r="AP220" s="102">
        <f t="shared" si="93"/>
        <v>10</v>
      </c>
      <c r="AQ220" s="102">
        <f>SUMPRODUCT(LEN(E220)-LEN(SUBSTITUTE(E220,{"!","¡","?","¿",":",",",".","%","·","-",";"},"")))</f>
        <v>2</v>
      </c>
      <c r="AR220" s="102" t="str">
        <f t="shared" si="94"/>
        <v>No</v>
      </c>
      <c r="AS220" s="102" t="str">
        <f t="shared" si="95"/>
        <v>No</v>
      </c>
      <c r="AT220" s="102" t="str">
        <f>IF(SUMPRODUCT(--ISNUMBER(FIND({"0","1","2","3","4","5","6","7","8","9"},E220)))&gt;0,"Con cifra concreta",IF(OR(ISNUMBER(FIND("?",E220)),ISNUMBER(FIND("¿",E220))),"Pregunta abierta",IF(SUMPRODUCT(--ISNUMBER(SEARCH({" hoy ","horas","tiempo limitado","antes de que","se acab","se agot","finalic","última oportunidad","oportunidad única","relámpago","express","no esperes","no volver","no parpadees"," ya ","últimas horas","últimas unidades"," ahora "},AF220)))&gt;0,"Solo urgencia, sin cifra",IF(SUMPRODUCT(--ISNUMBER(SEARCH({"recompensa","sorpresa","regalo","lealtad","detalle","gracias","pensamos en ti","para ti"},E220)))&gt;0,"Recompensa o sorpresa","Otro: beneficio o novedad"))))</f>
        <v>Otro: beneficio o novedad</v>
      </c>
    </row>
    <row r="221" spans="1:46" x14ac:dyDescent="0.2">
      <c r="A221" s="96" t="s">
        <v>1092</v>
      </c>
      <c r="B221" s="96" t="s">
        <v>276</v>
      </c>
      <c r="C221" s="96" t="s">
        <v>923</v>
      </c>
      <c r="D221" s="96" t="s">
        <v>729</v>
      </c>
      <c r="E221" s="96" t="s">
        <v>866</v>
      </c>
      <c r="F221" s="96" t="s">
        <v>867</v>
      </c>
      <c r="G221" s="97">
        <v>61560</v>
      </c>
      <c r="H221" s="97">
        <v>12879</v>
      </c>
      <c r="I221" s="97">
        <v>4500</v>
      </c>
      <c r="J221" s="98">
        <v>9.61</v>
      </c>
      <c r="K221" s="98">
        <v>4.49</v>
      </c>
      <c r="L221" s="99">
        <v>74019.02</v>
      </c>
      <c r="M221" s="100">
        <f t="shared" si="72"/>
        <v>20.921052631578949</v>
      </c>
      <c r="N221" s="100">
        <f t="shared" si="73"/>
        <v>7.3099415204678362</v>
      </c>
      <c r="O221" s="100">
        <f t="shared" si="74"/>
        <v>34.940600978336825</v>
      </c>
      <c r="P221" s="100">
        <f t="shared" si="75"/>
        <v>1202.3882391163095</v>
      </c>
      <c r="Q221" s="100">
        <f t="shared" si="76"/>
        <v>20.679461560319073</v>
      </c>
      <c r="R221" s="100">
        <f t="shared" si="77"/>
        <v>29.440902453236173</v>
      </c>
      <c r="S221" s="101">
        <f t="shared" si="78"/>
        <v>45873</v>
      </c>
      <c r="T221" s="102" t="str">
        <f t="shared" si="79"/>
        <v>Agosto</v>
      </c>
      <c r="U221" s="102" t="str">
        <f t="shared" si="80"/>
        <v>Lunes</v>
      </c>
      <c r="V221" s="102">
        <f t="shared" si="81"/>
        <v>10</v>
      </c>
      <c r="W221" s="102" t="str">
        <f t="shared" si="82"/>
        <v>Días después del pago</v>
      </c>
      <c r="X221" s="102">
        <f t="shared" si="83"/>
        <v>24</v>
      </c>
      <c r="Y221" s="102" t="str">
        <f t="shared" si="84"/>
        <v>Sí</v>
      </c>
      <c r="Z221" s="102" t="str">
        <f>CHOOSE(MATCH(B221,{"Customer Appreciation","Exclusive Offers","Flash Sale","Holiday Discounts","New Product Launch","Newsletter"},0),"Fidelizar","Vender","Vender","Vender","Lanzar","Educar")</f>
        <v>Vender</v>
      </c>
      <c r="AA221" s="102" t="str">
        <f t="shared" si="85"/>
        <v>Menos de 100 mil</v>
      </c>
      <c r="AB221" s="102">
        <f>COUNTIFS($E$5:$E$493,E221,$S$5:$S$493,"&lt;"&amp;S221)+COUNTIFS($E$5:E221,E221,$S$5:S221,S221)</f>
        <v>1</v>
      </c>
      <c r="AC221" s="102">
        <f t="shared" si="86"/>
        <v>7</v>
      </c>
      <c r="AD221" s="102" t="str">
        <f t="shared" si="87"/>
        <v/>
      </c>
      <c r="AE221" s="103">
        <f t="shared" si="88"/>
        <v>0.24159107125987589</v>
      </c>
      <c r="AF221" s="102" t="str">
        <f t="shared" si="89"/>
        <v xml:space="preserve">  ahorra en grande  oferta relámpago  últimas unidades </v>
      </c>
      <c r="AG221" s="102" t="str">
        <f t="shared" si="90"/>
        <v xml:space="preserve"> precios irresistibles en tus productos favoritos   compra ahora  </v>
      </c>
      <c r="AH221" s="102" t="str">
        <f>IF(SUMPRODUCT(--(LEFT(IF(LEFT(LOWER(E221),1)="¡",MID(LOWER(E221),2,300),LOWER(E221)),LEN({"actualizaci","el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221" s="102" t="str">
        <f>IF(OR(SUMPRODUCT(--ISNUMBER(SEARCH({"descuento","oferta","ahorr","precio"," sale ","flash","deals"},AF221)))&gt;0,SUMPRODUCT(--ISNUMBER(SEARCH({"descuento","oferta","ahorr","precio"," sale ","flash","deals"},AG221)))&gt;0),"Sí","No")</f>
        <v>Sí</v>
      </c>
      <c r="AJ221" s="102" t="str">
        <f>IF(SUMPRODUCT(--ISNUMBER(SEARCH({" hoy ","horas","tiempo limitado","antes de que","se acab","se agot","finalic","última oportunidad","oportunidad única","relámpago","express","no esperes","no volver","no parpadees"},AF221)))&gt;0,"Sí","No")</f>
        <v>Sí</v>
      </c>
      <c r="AK221" s="102" t="str">
        <f>IF(SUMPRODUCT(--ISNUMBER(SEARCH({" hoy ","horas","tiempo limitado","antes de que","se acab","se agot","finalic","última oportunidad","oportunidad única","relámpago","express","no esperes","no volver","no parpadees"},AG221)))&gt;0,"Sí","No")</f>
        <v>No</v>
      </c>
      <c r="AL221" s="102" t="str">
        <f t="shared" si="91"/>
        <v>Descuento con tiempo límite en el asunto</v>
      </c>
      <c r="AM221" s="102" t="str">
        <f>IF(SUMPRODUCT(--ISNUMBER(SEARCH({"0","1","2","3","4","5","6","7","8","9","favorit","maquillaje","piel","cabello","productos","belleza","regalo"},E221)))&gt;0,"Sí","No")</f>
        <v>No</v>
      </c>
      <c r="AN221" s="102" t="str">
        <f>IF(SUMPRODUCT(--ISNUMBER(SEARCH({"lo que tenemos","estas ofertas","algo especial","ofertas únicas","que preparamos","no te quedes","echa un vistazo"},F221)))&gt;0,"Sí","No")</f>
        <v>No</v>
      </c>
      <c r="AO221" s="102">
        <f t="shared" si="92"/>
        <v>53</v>
      </c>
      <c r="AP221" s="102">
        <f t="shared" si="93"/>
        <v>7</v>
      </c>
      <c r="AQ221" s="102">
        <f>SUMPRODUCT(LEN(E221)-LEN(SUBSTITUTE(E221,{"!","¡","?","¿",":",",",".","%","·","-",";"},"")))</f>
        <v>3</v>
      </c>
      <c r="AR221" s="102" t="str">
        <f t="shared" si="94"/>
        <v>Sí</v>
      </c>
      <c r="AS221" s="102" t="str">
        <f t="shared" si="95"/>
        <v>No</v>
      </c>
      <c r="AT221" s="102" t="str">
        <f>IF(SUMPRODUCT(--ISNUMBER(FIND({"0","1","2","3","4","5","6","7","8","9"},E221)))&gt;0,"Con cifra concreta",IF(OR(ISNUMBER(FIND("?",E221)),ISNUMBER(FIND("¿",E221))),"Pregunta abierta",IF(SUMPRODUCT(--ISNUMBER(SEARCH({" hoy ","horas","tiempo limitado","antes de que","se acab","se agot","finalic","última oportunidad","oportunidad única","relámpago","express","no esperes","no volver","no parpadees"," ya ","últimas horas","últimas unidades"," ahora "},AF221)))&gt;0,"Solo urgencia, sin cifra",IF(SUMPRODUCT(--ISNUMBER(SEARCH({"recompensa","sorpresa","regalo","lealtad","detalle","gracias","pensamos en ti","para ti"},E221)))&gt;0,"Recompensa o sorpresa","Otro: beneficio o novedad"))))</f>
        <v>Solo urgencia, sin cifra</v>
      </c>
    </row>
    <row r="222" spans="1:46" x14ac:dyDescent="0.2">
      <c r="A222" s="104" t="s">
        <v>1093</v>
      </c>
      <c r="B222" s="104" t="s">
        <v>275</v>
      </c>
      <c r="C222" s="104" t="s">
        <v>793</v>
      </c>
      <c r="D222" s="104" t="s">
        <v>947</v>
      </c>
      <c r="E222" s="104" t="s">
        <v>455</v>
      </c>
      <c r="F222" s="104" t="s">
        <v>456</v>
      </c>
      <c r="G222" s="105">
        <v>43436</v>
      </c>
      <c r="H222" s="105">
        <v>19969</v>
      </c>
      <c r="I222" s="105">
        <v>8568</v>
      </c>
      <c r="J222" s="106">
        <v>3.71</v>
      </c>
      <c r="K222" s="106">
        <v>4.17</v>
      </c>
      <c r="L222" s="107">
        <v>20126.63</v>
      </c>
      <c r="M222" s="108">
        <f t="shared" si="72"/>
        <v>45.973386131319643</v>
      </c>
      <c r="N222" s="108">
        <f t="shared" si="73"/>
        <v>19.725573257206005</v>
      </c>
      <c r="O222" s="108">
        <f t="shared" si="74"/>
        <v>42.906505082878461</v>
      </c>
      <c r="P222" s="108">
        <f t="shared" si="75"/>
        <v>463.36287871811402</v>
      </c>
      <c r="Q222" s="108">
        <f t="shared" si="76"/>
        <v>38.720231784441999</v>
      </c>
      <c r="R222" s="108">
        <f t="shared" si="77"/>
        <v>27.021447627328243</v>
      </c>
      <c r="S222" s="101">
        <f t="shared" si="78"/>
        <v>45939</v>
      </c>
      <c r="T222" s="102" t="str">
        <f t="shared" si="79"/>
        <v>Octubre</v>
      </c>
      <c r="U222" s="102" t="str">
        <f t="shared" si="80"/>
        <v>Jueves</v>
      </c>
      <c r="V222" s="102">
        <f t="shared" si="81"/>
        <v>9</v>
      </c>
      <c r="W222" s="102" t="str">
        <f t="shared" si="82"/>
        <v>Resto del mes</v>
      </c>
      <c r="X222" s="102">
        <f t="shared" si="83"/>
        <v>27</v>
      </c>
      <c r="Y222" s="102" t="str">
        <f t="shared" si="84"/>
        <v>Sí</v>
      </c>
      <c r="Z222" s="102" t="str">
        <f>CHOOSE(MATCH(B222,{"Customer Appreciation","Exclusive Offers","Flash Sale","Holiday Discounts","New Product Launch","Newsletter"},0),"Fidelizar","Vender","Vender","Vender","Lanzar","Educar")</f>
        <v>Vender</v>
      </c>
      <c r="AA222" s="102" t="str">
        <f t="shared" si="85"/>
        <v>Menos de 100 mil</v>
      </c>
      <c r="AB222" s="102">
        <f>COUNTIFS($E$5:$E$493,E222,$S$5:$S$493,"&lt;"&amp;S222)+COUNTIFS($E$5:E222,E222,$S$5:S222,S222)</f>
        <v>10</v>
      </c>
      <c r="AC222" s="102">
        <f t="shared" si="86"/>
        <v>15</v>
      </c>
      <c r="AD222" s="102" t="str">
        <f t="shared" si="87"/>
        <v>Medio</v>
      </c>
      <c r="AE222" s="103">
        <f t="shared" si="88"/>
        <v>7.2531543468776434</v>
      </c>
      <c r="AF222" s="102" t="str">
        <f t="shared" si="89"/>
        <v xml:space="preserve">  solo un clic te separa de estas ofertas  l'oréal paris </v>
      </c>
      <c r="AG222" s="102" t="str">
        <f t="shared" si="90"/>
        <v xml:space="preserve"> descuentos irresistibles en productos seleccionados   últimas horas  </v>
      </c>
      <c r="AH222" s="102" t="str">
        <f>IF(SUMPRODUCT(--(LEFT(IF(LEFT(LOWER(E222),1)="¡",MID(LOWER(E222),2,300),LOWER(E222)),LEN({"actualizaci","el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222" s="102" t="str">
        <f>IF(OR(SUMPRODUCT(--ISNUMBER(SEARCH({"descuento","oferta","ahorr","precio"," sale ","flash","deals"},AF222)))&gt;0,SUMPRODUCT(--ISNUMBER(SEARCH({"descuento","oferta","ahorr","precio"," sale ","flash","deals"},AG222)))&gt;0),"Sí","No")</f>
        <v>Sí</v>
      </c>
      <c r="AJ222" s="102" t="str">
        <f>IF(SUMPRODUCT(--ISNUMBER(SEARCH({" hoy ","horas","tiempo limitado","antes de que","se acab","se agot","finalic","última oportunidad","oportunidad única","relámpago","express","no esperes","no volver","no parpadees"},AF222)))&gt;0,"Sí","No")</f>
        <v>No</v>
      </c>
      <c r="AK222" s="102" t="str">
        <f>IF(SUMPRODUCT(--ISNUMBER(SEARCH({" hoy ","horas","tiempo limitado","antes de que","se acab","se agot","finalic","última oportunidad","oportunidad única","relámpago","express","no esperes","no volver","no parpadees"},AG222)))&gt;0,"Sí","No")</f>
        <v>Sí</v>
      </c>
      <c r="AL222" s="102" t="str">
        <f t="shared" si="91"/>
        <v>Descuento con tiempo límite solo en el preheader</v>
      </c>
      <c r="AM222" s="102" t="str">
        <f>IF(SUMPRODUCT(--ISNUMBER(SEARCH({"0","1","2","3","4","5","6","7","8","9","favorit","maquillaje","piel","cabello","productos","belleza","regalo"},E222)))&gt;0,"Sí","No")</f>
        <v>No</v>
      </c>
      <c r="AN222" s="102" t="str">
        <f>IF(SUMPRODUCT(--ISNUMBER(SEARCH({"lo que tenemos","estas ofertas","algo especial","ofertas únicas","que preparamos","no te quedes","echa un vistazo"},F222)))&gt;0,"Sí","No")</f>
        <v>No</v>
      </c>
      <c r="AO222" s="102">
        <f t="shared" si="92"/>
        <v>55</v>
      </c>
      <c r="AP222" s="102">
        <f t="shared" si="93"/>
        <v>10</v>
      </c>
      <c r="AQ222" s="102">
        <f>SUMPRODUCT(LEN(E222)-LEN(SUBSTITUTE(E222,{"!","¡","?","¿",":",",",".","%","·","-",";"},"")))</f>
        <v>2</v>
      </c>
      <c r="AR222" s="102" t="str">
        <f t="shared" si="94"/>
        <v>No</v>
      </c>
      <c r="AS222" s="102" t="str">
        <f t="shared" si="95"/>
        <v>No</v>
      </c>
      <c r="AT222" s="102" t="str">
        <f>IF(SUMPRODUCT(--ISNUMBER(FIND({"0","1","2","3","4","5","6","7","8","9"},E222)))&gt;0,"Con cifra concreta",IF(OR(ISNUMBER(FIND("?",E222)),ISNUMBER(FIND("¿",E222))),"Pregunta abierta",IF(SUMPRODUCT(--ISNUMBER(SEARCH({" hoy ","horas","tiempo limitado","antes de que","se acab","se agot","finalic","última oportunidad","oportunidad única","relámpago","express","no esperes","no volver","no parpadees"," ya ","últimas horas","últimas unidades"," ahora "},AF222)))&gt;0,"Solo urgencia, sin cifra",IF(SUMPRODUCT(--ISNUMBER(SEARCH({"recompensa","sorpresa","regalo","lealtad","detalle","gracias","pensamos en ti","para ti"},E222)))&gt;0,"Recompensa o sorpresa","Otro: beneficio o novedad"))))</f>
        <v>Otro: beneficio o novedad</v>
      </c>
    </row>
    <row r="223" spans="1:46" x14ac:dyDescent="0.2">
      <c r="A223" s="96" t="s">
        <v>1094</v>
      </c>
      <c r="B223" s="96" t="s">
        <v>275</v>
      </c>
      <c r="C223" s="96" t="s">
        <v>830</v>
      </c>
      <c r="D223" s="96" t="s">
        <v>950</v>
      </c>
      <c r="E223" s="96" t="s">
        <v>465</v>
      </c>
      <c r="F223" s="96" t="s">
        <v>466</v>
      </c>
      <c r="G223" s="97">
        <v>407332</v>
      </c>
      <c r="H223" s="97">
        <v>176166</v>
      </c>
      <c r="I223" s="97">
        <v>34255</v>
      </c>
      <c r="J223" s="98">
        <v>3.85</v>
      </c>
      <c r="K223" s="98">
        <v>0.51</v>
      </c>
      <c r="L223" s="99">
        <v>67213.22</v>
      </c>
      <c r="M223" s="100">
        <f t="shared" si="72"/>
        <v>43.248750405074979</v>
      </c>
      <c r="N223" s="100">
        <f t="shared" si="73"/>
        <v>8.4096019954238805</v>
      </c>
      <c r="O223" s="100">
        <f t="shared" si="74"/>
        <v>19.444728267656643</v>
      </c>
      <c r="P223" s="100">
        <f t="shared" si="75"/>
        <v>165.00844519949328</v>
      </c>
      <c r="Q223" s="100">
        <f t="shared" si="76"/>
        <v>33.047230763392911</v>
      </c>
      <c r="R223" s="100">
        <f t="shared" si="77"/>
        <v>27.021447627328243</v>
      </c>
      <c r="S223" s="101">
        <f t="shared" si="78"/>
        <v>45901</v>
      </c>
      <c r="T223" s="102" t="str">
        <f t="shared" si="79"/>
        <v>Septiembre</v>
      </c>
      <c r="U223" s="102" t="str">
        <f t="shared" si="80"/>
        <v>Lunes</v>
      </c>
      <c r="V223" s="102">
        <f t="shared" si="81"/>
        <v>14</v>
      </c>
      <c r="W223" s="102" t="str">
        <f t="shared" si="82"/>
        <v>Quincena</v>
      </c>
      <c r="X223" s="102">
        <f t="shared" si="83"/>
        <v>29</v>
      </c>
      <c r="Y223" s="102" t="str">
        <f t="shared" si="84"/>
        <v>Sí</v>
      </c>
      <c r="Z223" s="102" t="str">
        <f>CHOOSE(MATCH(B223,{"Customer Appreciation","Exclusive Offers","Flash Sale","Holiday Discounts","New Product Launch","Newsletter"},0),"Fidelizar","Vender","Vender","Vender","Lanzar","Educar")</f>
        <v>Vender</v>
      </c>
      <c r="AA223" s="102" t="str">
        <f t="shared" si="85"/>
        <v>Más de 400 mil</v>
      </c>
      <c r="AB223" s="102">
        <f>COUNTIFS($E$5:$E$493,E223,$S$5:$S$493,"&lt;"&amp;S223)+COUNTIFS($E$5:E223,E223,$S$5:S223,S223)</f>
        <v>6</v>
      </c>
      <c r="AC223" s="102">
        <f t="shared" si="86"/>
        <v>22</v>
      </c>
      <c r="AD223" s="102" t="str">
        <f t="shared" si="87"/>
        <v>Primer tercio</v>
      </c>
      <c r="AE223" s="103">
        <f t="shared" si="88"/>
        <v>10.201519641682069</v>
      </c>
      <c r="AF223" s="102" t="str">
        <f t="shared" si="89"/>
        <v xml:space="preserve">  ofertas exclusivas  solo para nuestra comunidad vip </v>
      </c>
      <c r="AG223" s="102" t="str">
        <f t="shared" si="90"/>
        <v xml:space="preserve"> productos premium con descuentos únicos   acceso limitado  </v>
      </c>
      <c r="AH223" s="102" t="str">
        <f>IF(SUMPRODUCT(--(LEFT(IF(LEFT(LOWER(E223),1)="¡",MID(LOWER(E223),2,300),LOWER(E223)),LEN({"actualizaci","el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223" s="102" t="str">
        <f>IF(OR(SUMPRODUCT(--ISNUMBER(SEARCH({"descuento","oferta","ahorr","precio"," sale ","flash","deals"},AF223)))&gt;0,SUMPRODUCT(--ISNUMBER(SEARCH({"descuento","oferta","ahorr","precio"," sale ","flash","deals"},AG223)))&gt;0),"Sí","No")</f>
        <v>Sí</v>
      </c>
      <c r="AJ223" s="102" t="str">
        <f>IF(SUMPRODUCT(--ISNUMBER(SEARCH({" hoy ","horas","tiempo limitado","antes de que","se acab","se agot","finalic","última oportunidad","oportunidad única","relámpago","express","no esperes","no volver","no parpadees"},AF223)))&gt;0,"Sí","No")</f>
        <v>No</v>
      </c>
      <c r="AK223" s="102" t="str">
        <f>IF(SUMPRODUCT(--ISNUMBER(SEARCH({" hoy ","horas","tiempo limitado","antes de que","se acab","se agot","finalic","última oportunidad","oportunidad única","relámpago","express","no esperes","no volver","no parpadees"},AG223)))&gt;0,"Sí","No")</f>
        <v>No</v>
      </c>
      <c r="AL223" s="102" t="str">
        <f t="shared" si="91"/>
        <v>Descuento sin tiempo límite</v>
      </c>
      <c r="AM223" s="102" t="str">
        <f>IF(SUMPRODUCT(--ISNUMBER(SEARCH({"0","1","2","3","4","5","6","7","8","9","favorit","maquillaje","piel","cabello","productos","belleza","regalo"},E223)))&gt;0,"Sí","No")</f>
        <v>No</v>
      </c>
      <c r="AN223" s="102" t="str">
        <f>IF(SUMPRODUCT(--ISNUMBER(SEARCH({"lo que tenemos","estas ofertas","algo especial","ofertas únicas","que preparamos","no te quedes","echa un vistazo"},F223)))&gt;0,"Sí","No")</f>
        <v>No</v>
      </c>
      <c r="AO223" s="102">
        <f t="shared" si="92"/>
        <v>52</v>
      </c>
      <c r="AP223" s="102">
        <f t="shared" si="93"/>
        <v>7</v>
      </c>
      <c r="AQ223" s="102">
        <f>SUMPRODUCT(LEN(E223)-LEN(SUBSTITUTE(E223,{"!","¡","?","¿",":",",",".","%","·","-",";"},"")))</f>
        <v>2</v>
      </c>
      <c r="AR223" s="102" t="str">
        <f t="shared" si="94"/>
        <v>Sí</v>
      </c>
      <c r="AS223" s="102" t="str">
        <f t="shared" si="95"/>
        <v>No</v>
      </c>
      <c r="AT223" s="102" t="str">
        <f>IF(SUMPRODUCT(--ISNUMBER(FIND({"0","1","2","3","4","5","6","7","8","9"},E223)))&gt;0,"Con cifra concreta",IF(OR(ISNUMBER(FIND("?",E223)),ISNUMBER(FIND("¿",E223))),"Pregunta abierta",IF(SUMPRODUCT(--ISNUMBER(SEARCH({" hoy ","horas","tiempo limitado","antes de que","se acab","se agot","finalic","última oportunidad","oportunidad única","relámpago","express","no esperes","no volver","no parpadees"," ya ","últimas horas","últimas unidades"," ahora "},AF223)))&gt;0,"Solo urgencia, sin cifra",IF(SUMPRODUCT(--ISNUMBER(SEARCH({"recompensa","sorpresa","regalo","lealtad","detalle","gracias","pensamos en ti","para ti"},E223)))&gt;0,"Recompensa o sorpresa","Otro: beneficio o novedad"))))</f>
        <v>Otro: beneficio o novedad</v>
      </c>
    </row>
    <row r="224" spans="1:46" x14ac:dyDescent="0.2">
      <c r="A224" s="104" t="s">
        <v>1095</v>
      </c>
      <c r="B224" s="104" t="s">
        <v>279</v>
      </c>
      <c r="C224" s="104" t="s">
        <v>976</v>
      </c>
      <c r="D224" s="104" t="s">
        <v>751</v>
      </c>
      <c r="E224" s="104" t="s">
        <v>463</v>
      </c>
      <c r="F224" s="104" t="s">
        <v>464</v>
      </c>
      <c r="G224" s="105">
        <v>194840</v>
      </c>
      <c r="H224" s="105">
        <v>61230</v>
      </c>
      <c r="I224" s="105">
        <v>23112</v>
      </c>
      <c r="J224" s="106">
        <v>6.01</v>
      </c>
      <c r="K224" s="106">
        <v>3.57</v>
      </c>
      <c r="L224" s="107">
        <v>60490.64</v>
      </c>
      <c r="M224" s="108">
        <f t="shared" si="72"/>
        <v>31.425785259700266</v>
      </c>
      <c r="N224" s="108">
        <f t="shared" si="73"/>
        <v>11.862040648737425</v>
      </c>
      <c r="O224" s="108">
        <f t="shared" si="74"/>
        <v>37.746202841744243</v>
      </c>
      <c r="P224" s="108">
        <f t="shared" si="75"/>
        <v>310.46314925066719</v>
      </c>
      <c r="Q224" s="108">
        <f t="shared" si="76"/>
        <v>33.412775116147934</v>
      </c>
      <c r="R224" s="108">
        <f t="shared" si="77"/>
        <v>27.75136451093497</v>
      </c>
      <c r="S224" s="101">
        <f t="shared" si="78"/>
        <v>45892</v>
      </c>
      <c r="T224" s="102" t="str">
        <f t="shared" si="79"/>
        <v>Agosto</v>
      </c>
      <c r="U224" s="102" t="str">
        <f t="shared" si="80"/>
        <v>Sábado</v>
      </c>
      <c r="V224" s="102">
        <f t="shared" si="81"/>
        <v>11</v>
      </c>
      <c r="W224" s="102" t="str">
        <f t="shared" si="82"/>
        <v>Resto del mes</v>
      </c>
      <c r="X224" s="102">
        <f t="shared" si="83"/>
        <v>25</v>
      </c>
      <c r="Y224" s="102" t="str">
        <f t="shared" si="84"/>
        <v>Sí</v>
      </c>
      <c r="Z224" s="102" t="str">
        <f>CHOOSE(MATCH(B224,{"Customer Appreciation","Exclusive Offers","Flash Sale","Holiday Discounts","New Product Launch","Newsletter"},0),"Fidelizar","Vender","Vender","Vender","Lanzar","Educar")</f>
        <v>Educar</v>
      </c>
      <c r="AA224" s="102" t="str">
        <f t="shared" si="85"/>
        <v>100 a 200 mil</v>
      </c>
      <c r="AB224" s="102">
        <f>COUNTIFS($E$5:$E$493,E224,$S$5:$S$493,"&lt;"&amp;S224)+COUNTIFS($E$5:E224,E224,$S$5:S224,S224)</f>
        <v>9</v>
      </c>
      <c r="AC224" s="102">
        <f t="shared" si="86"/>
        <v>25</v>
      </c>
      <c r="AD224" s="102" t="str">
        <f t="shared" si="87"/>
        <v>Medio</v>
      </c>
      <c r="AE224" s="103">
        <f t="shared" si="88"/>
        <v>-1.9869898564476678</v>
      </c>
      <c r="AF224" s="102" t="str">
        <f t="shared" si="89"/>
        <v xml:space="preserve"> tu dosis de belleza   no te lo pierdas  tips y trucos </v>
      </c>
      <c r="AG224" s="102" t="str">
        <f t="shared" si="90"/>
        <v xml:space="preserve"> consejos expertos  tendencias y más en tu bandeja de entrada   descúbrelo  </v>
      </c>
      <c r="AH224" s="102" t="str">
        <f>IF(SUMPRODUCT(--(LEFT(IF(LEFT(LOWER(E224),1)="¡",MID(LOWER(E224),2,300),LOWER(E224)),LEN({"actualizaci","el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224" s="102" t="str">
        <f>IF(OR(SUMPRODUCT(--ISNUMBER(SEARCH({"descuento","oferta","ahorr","precio"," sale ","flash","deals"},AF224)))&gt;0,SUMPRODUCT(--ISNUMBER(SEARCH({"descuento","oferta","ahorr","precio"," sale ","flash","deals"},AG224)))&gt;0),"Sí","No")</f>
        <v>No</v>
      </c>
      <c r="AJ224" s="102" t="str">
        <f>IF(SUMPRODUCT(--ISNUMBER(SEARCH({" hoy ","horas","tiempo limitado","antes de que","se acab","se agot","finalic","última oportunidad","oportunidad única","relámpago","express","no esperes","no volver","no parpadees"},AF224)))&gt;0,"Sí","No")</f>
        <v>No</v>
      </c>
      <c r="AK224" s="102" t="str">
        <f>IF(SUMPRODUCT(--ISNUMBER(SEARCH({" hoy ","horas","tiempo limitado","antes de que","se acab","se agot","finalic","última oportunidad","oportunidad única","relámpago","express","no esperes","no volver","no parpadees"},AG224)))&gt;0,"Sí","No")</f>
        <v>No</v>
      </c>
      <c r="AL224" s="102" t="str">
        <f t="shared" si="91"/>
        <v>Sin descuento</v>
      </c>
      <c r="AM224" s="102" t="str">
        <f>IF(SUMPRODUCT(--ISNUMBER(SEARCH({"0","1","2","3","4","5","6","7","8","9","favorit","maquillaje","piel","cabello","productos","belleza","regalo"},E224)))&gt;0,"Sí","No")</f>
        <v>Sí</v>
      </c>
      <c r="AN224" s="102" t="str">
        <f>IF(SUMPRODUCT(--ISNUMBER(SEARCH({"lo que tenemos","estas ofertas","algo especial","ofertas únicas","que preparamos","no te quedes","echa un vistazo"},F224)))&gt;0,"Sí","No")</f>
        <v>No</v>
      </c>
      <c r="AO224" s="102">
        <f t="shared" si="92"/>
        <v>53</v>
      </c>
      <c r="AP224" s="102">
        <f t="shared" si="93"/>
        <v>11</v>
      </c>
      <c r="AQ224" s="102">
        <f>SUMPRODUCT(LEN(E224)-LEN(SUBSTITUTE(E224,{"!","¡","?","¿",":",",",".","%","·","-",";"},"")))</f>
        <v>3</v>
      </c>
      <c r="AR224" s="102" t="str">
        <f t="shared" si="94"/>
        <v>No</v>
      </c>
      <c r="AS224" s="102" t="str">
        <f t="shared" si="95"/>
        <v>No</v>
      </c>
      <c r="AT224" s="102" t="str">
        <f>IF(SUMPRODUCT(--ISNUMBER(FIND({"0","1","2","3","4","5","6","7","8","9"},E224)))&gt;0,"Con cifra concreta",IF(OR(ISNUMBER(FIND("?",E224)),ISNUMBER(FIND("¿",E224))),"Pregunta abierta",IF(SUMPRODUCT(--ISNUMBER(SEARCH({" hoy ","horas","tiempo limitado","antes de que","se acab","se agot","finalic","última oportunidad","oportunidad única","relámpago","express","no esperes","no volver","no parpadees"," ya ","últimas horas","últimas unidades"," ahora "},AF224)))&gt;0,"Solo urgencia, sin cifra",IF(SUMPRODUCT(--ISNUMBER(SEARCH({"recompensa","sorpresa","regalo","lealtad","detalle","gracias","pensamos en ti","para ti"},E224)))&gt;0,"Recompensa o sorpresa","Otro: beneficio o novedad"))))</f>
        <v>Otro: beneficio o novedad</v>
      </c>
    </row>
    <row r="225" spans="1:46" x14ac:dyDescent="0.2">
      <c r="A225" s="96" t="s">
        <v>1096</v>
      </c>
      <c r="B225" s="96" t="s">
        <v>274</v>
      </c>
      <c r="C225" s="96" t="s">
        <v>773</v>
      </c>
      <c r="D225" s="96" t="s">
        <v>707</v>
      </c>
      <c r="E225" s="96" t="s">
        <v>372</v>
      </c>
      <c r="F225" s="96" t="s">
        <v>480</v>
      </c>
      <c r="G225" s="97">
        <v>454920</v>
      </c>
      <c r="H225" s="97">
        <v>32847</v>
      </c>
      <c r="I225" s="97">
        <v>7598</v>
      </c>
      <c r="J225" s="98">
        <v>2.67</v>
      </c>
      <c r="K225" s="98">
        <v>1.89</v>
      </c>
      <c r="L225" s="99">
        <v>7160.31</v>
      </c>
      <c r="M225" s="100">
        <f t="shared" si="72"/>
        <v>7.2203903983117907</v>
      </c>
      <c r="N225" s="100">
        <f t="shared" si="73"/>
        <v>1.6701837685746945</v>
      </c>
      <c r="O225" s="100">
        <f t="shared" si="74"/>
        <v>23.131488415989285</v>
      </c>
      <c r="P225" s="100">
        <f t="shared" si="75"/>
        <v>15.739712476919021</v>
      </c>
      <c r="Q225" s="100">
        <f t="shared" si="76"/>
        <v>20.724631699294946</v>
      </c>
      <c r="R225" s="100">
        <f t="shared" si="77"/>
        <v>31.113650744455075</v>
      </c>
      <c r="S225" s="101">
        <f t="shared" si="78"/>
        <v>45909</v>
      </c>
      <c r="T225" s="102" t="str">
        <f t="shared" si="79"/>
        <v>Septiembre</v>
      </c>
      <c r="U225" s="102" t="str">
        <f t="shared" si="80"/>
        <v>Martes</v>
      </c>
      <c r="V225" s="102">
        <f t="shared" si="81"/>
        <v>13</v>
      </c>
      <c r="W225" s="102" t="str">
        <f t="shared" si="82"/>
        <v>Resto del mes</v>
      </c>
      <c r="X225" s="102">
        <f t="shared" si="83"/>
        <v>28</v>
      </c>
      <c r="Y225" s="102" t="str">
        <f t="shared" si="84"/>
        <v>Sí</v>
      </c>
      <c r="Z225" s="102" t="str">
        <f>CHOOSE(MATCH(B225,{"Customer Appreciation","Exclusive Offers","Flash Sale","Holiday Discounts","New Product Launch","Newsletter"},0),"Fidelizar","Vender","Vender","Vender","Lanzar","Educar")</f>
        <v>Fidelizar</v>
      </c>
      <c r="AA225" s="102" t="str">
        <f t="shared" si="85"/>
        <v>Más de 400 mil</v>
      </c>
      <c r="AB225" s="102">
        <f>COUNTIFS($E$5:$E$493,E225,$S$5:$S$493,"&lt;"&amp;S225)+COUNTIFS($E$5:E225,E225,$S$5:S225,S225)</f>
        <v>11</v>
      </c>
      <c r="AC225" s="102">
        <f t="shared" si="86"/>
        <v>14</v>
      </c>
      <c r="AD225" s="102" t="str">
        <f t="shared" si="87"/>
        <v>Último tercio</v>
      </c>
      <c r="AE225" s="103">
        <f t="shared" si="88"/>
        <v>-13.504241300983155</v>
      </c>
      <c r="AF225" s="102" t="str">
        <f t="shared" si="89"/>
        <v xml:space="preserve">  un pequeño detalle para agradecerte tu lealtad  l'oréal </v>
      </c>
      <c r="AG225" s="102" t="str">
        <f t="shared" si="90"/>
        <v xml:space="preserve"> echa un vistazo a lo que tenemos para ti   te va a encantar  </v>
      </c>
      <c r="AH225" s="102" t="str">
        <f>IF(SUMPRODUCT(--(LEFT(IF(LEFT(LOWER(E225),1)="¡",MID(LOWER(E225),2,300),LOWER(E225)),LEN({"actualizaci","el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Sí</v>
      </c>
      <c r="AI225" s="102" t="str">
        <f>IF(OR(SUMPRODUCT(--ISNUMBER(SEARCH({"descuento","oferta","ahorr","precio"," sale ","flash","deals"},AF225)))&gt;0,SUMPRODUCT(--ISNUMBER(SEARCH({"descuento","oferta","ahorr","precio"," sale ","flash","deals"},AG225)))&gt;0),"Sí","No")</f>
        <v>No</v>
      </c>
      <c r="AJ225" s="102" t="str">
        <f>IF(SUMPRODUCT(--ISNUMBER(SEARCH({" hoy ","horas","tiempo limitado","antes de que","se acab","se agot","finalic","última oportunidad","oportunidad única","relámpago","express","no esperes","no volver","no parpadees"},AF225)))&gt;0,"Sí","No")</f>
        <v>No</v>
      </c>
      <c r="AK225" s="102" t="str">
        <f>IF(SUMPRODUCT(--ISNUMBER(SEARCH({" hoy ","horas","tiempo limitado","antes de que","se acab","se agot","finalic","última oportunidad","oportunidad única","relámpago","express","no esperes","no volver","no parpadees"},AG225)))&gt;0,"Sí","No")</f>
        <v>No</v>
      </c>
      <c r="AL225" s="102" t="str">
        <f t="shared" si="91"/>
        <v>Sin descuento</v>
      </c>
      <c r="AM225" s="102" t="str">
        <f>IF(SUMPRODUCT(--ISNUMBER(SEARCH({"0","1","2","3","4","5","6","7","8","9","favorit","maquillaje","piel","cabello","productos","belleza","regalo"},E225)))&gt;0,"Sí","No")</f>
        <v>No</v>
      </c>
      <c r="AN225" s="102" t="str">
        <f>IF(SUMPRODUCT(--ISNUMBER(SEARCH({"lo que tenemos","estas ofertas","algo especial","ofertas únicas","que preparamos","no te quedes","echa un vistazo"},F225)))&gt;0,"Sí","No")</f>
        <v>Sí</v>
      </c>
      <c r="AO225" s="102">
        <f t="shared" si="92"/>
        <v>56</v>
      </c>
      <c r="AP225" s="102">
        <f t="shared" si="93"/>
        <v>8</v>
      </c>
      <c r="AQ225" s="102">
        <f>SUMPRODUCT(LEN(E225)-LEN(SUBSTITUTE(E225,{"!","¡","?","¿",":",",",".","%","·","-",";"},"")))</f>
        <v>2</v>
      </c>
      <c r="AR225" s="102" t="str">
        <f t="shared" si="94"/>
        <v>Sí</v>
      </c>
      <c r="AS225" s="102" t="str">
        <f t="shared" si="95"/>
        <v>No</v>
      </c>
      <c r="AT225" s="102" t="str">
        <f>IF(SUMPRODUCT(--ISNUMBER(FIND({"0","1","2","3","4","5","6","7","8","9"},E225)))&gt;0,"Con cifra concreta",IF(OR(ISNUMBER(FIND("?",E225)),ISNUMBER(FIND("¿",E225))),"Pregunta abierta",IF(SUMPRODUCT(--ISNUMBER(SEARCH({" hoy ","horas","tiempo limitado","antes de que","se acab","se agot","finalic","última oportunidad","oportunidad única","relámpago","express","no esperes","no volver","no parpadees"," ya ","últimas horas","últimas unidades"," ahora "},AF225)))&gt;0,"Solo urgencia, sin cifra",IF(SUMPRODUCT(--ISNUMBER(SEARCH({"recompensa","sorpresa","regalo","lealtad","detalle","gracias","pensamos en ti","para ti"},E225)))&gt;0,"Recompensa o sorpresa","Otro: beneficio o novedad"))))</f>
        <v>Recompensa o sorpresa</v>
      </c>
    </row>
    <row r="226" spans="1:46" x14ac:dyDescent="0.2">
      <c r="A226" s="104" t="s">
        <v>1097</v>
      </c>
      <c r="B226" s="104" t="s">
        <v>279</v>
      </c>
      <c r="C226" s="104" t="s">
        <v>980</v>
      </c>
      <c r="D226" s="104" t="s">
        <v>824</v>
      </c>
      <c r="E226" s="104" t="s">
        <v>1008</v>
      </c>
      <c r="F226" s="104" t="s">
        <v>1009</v>
      </c>
      <c r="G226" s="105">
        <v>196676</v>
      </c>
      <c r="H226" s="105">
        <v>42098</v>
      </c>
      <c r="I226" s="105">
        <v>23229</v>
      </c>
      <c r="J226" s="106">
        <v>0.64</v>
      </c>
      <c r="K226" s="106">
        <v>4.84</v>
      </c>
      <c r="L226" s="107">
        <v>40232.19</v>
      </c>
      <c r="M226" s="108">
        <f t="shared" si="72"/>
        <v>21.404746893367772</v>
      </c>
      <c r="N226" s="108">
        <f t="shared" si="73"/>
        <v>11.810795419878378</v>
      </c>
      <c r="O226" s="108">
        <f t="shared" si="74"/>
        <v>55.178393272839564</v>
      </c>
      <c r="P226" s="108">
        <f t="shared" si="75"/>
        <v>204.5607496593382</v>
      </c>
      <c r="Q226" s="108">
        <f t="shared" si="76"/>
        <v>20.124757314949409</v>
      </c>
      <c r="R226" s="108">
        <f t="shared" si="77"/>
        <v>27.75136451093497</v>
      </c>
      <c r="S226" s="101">
        <f t="shared" si="78"/>
        <v>45875</v>
      </c>
      <c r="T226" s="102" t="str">
        <f t="shared" si="79"/>
        <v>Agosto</v>
      </c>
      <c r="U226" s="102" t="str">
        <f t="shared" si="80"/>
        <v>Miércoles</v>
      </c>
      <c r="V226" s="102">
        <f t="shared" si="81"/>
        <v>10</v>
      </c>
      <c r="W226" s="102" t="str">
        <f t="shared" si="82"/>
        <v>Resto del mes</v>
      </c>
      <c r="X226" s="102">
        <f t="shared" si="83"/>
        <v>28</v>
      </c>
      <c r="Y226" s="102" t="str">
        <f t="shared" si="84"/>
        <v>Sí</v>
      </c>
      <c r="Z226" s="102" t="str">
        <f>CHOOSE(MATCH(B226,{"Customer Appreciation","Exclusive Offers","Flash Sale","Holiday Discounts","New Product Launch","Newsletter"},0),"Fidelizar","Vender","Vender","Vender","Lanzar","Educar")</f>
        <v>Educar</v>
      </c>
      <c r="AA226" s="102" t="str">
        <f t="shared" si="85"/>
        <v>100 a 200 mil</v>
      </c>
      <c r="AB226" s="102">
        <f>COUNTIFS($E$5:$E$493,E226,$S$5:$S$493,"&lt;"&amp;S226)+COUNTIFS($E$5:E226,E226,$S$5:S226,S226)</f>
        <v>2</v>
      </c>
      <c r="AC226" s="102">
        <f t="shared" si="86"/>
        <v>6</v>
      </c>
      <c r="AD226" s="102" t="str">
        <f t="shared" si="87"/>
        <v/>
      </c>
      <c r="AE226" s="103">
        <f t="shared" si="88"/>
        <v>1.2799895784183626</v>
      </c>
      <c r="AF226" s="102" t="str">
        <f t="shared" si="89"/>
        <v xml:space="preserve"> actualización de l'oréal  lo más relevante </v>
      </c>
      <c r="AG226" s="102" t="str">
        <f t="shared" si="90"/>
        <v xml:space="preserve"> mantente al tanto de todas las novedades   infórmate  </v>
      </c>
      <c r="AH226" s="102" t="str">
        <f>IF(SUMPRODUCT(--(LEFT(IF(LEFT(LOWER(E226),1)="¡",MID(LOWER(E226),2,300),LOWER(E226)),LEN({"actualizaci","el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Sí</v>
      </c>
      <c r="AI226" s="102" t="str">
        <f>IF(OR(SUMPRODUCT(--ISNUMBER(SEARCH({"descuento","oferta","ahorr","precio"," sale ","flash","deals"},AF226)))&gt;0,SUMPRODUCT(--ISNUMBER(SEARCH({"descuento","oferta","ahorr","precio"," sale ","flash","deals"},AG226)))&gt;0),"Sí","No")</f>
        <v>No</v>
      </c>
      <c r="AJ226" s="102" t="str">
        <f>IF(SUMPRODUCT(--ISNUMBER(SEARCH({" hoy ","horas","tiempo limitado","antes de que","se acab","se agot","finalic","última oportunidad","oportunidad única","relámpago","express","no esperes","no volver","no parpadees"},AF226)))&gt;0,"Sí","No")</f>
        <v>No</v>
      </c>
      <c r="AK226" s="102" t="str">
        <f>IF(SUMPRODUCT(--ISNUMBER(SEARCH({" hoy ","horas","tiempo limitado","antes de que","se acab","se agot","finalic","última oportunidad","oportunidad única","relámpago","express","no esperes","no volver","no parpadees"},AG226)))&gt;0,"Sí","No")</f>
        <v>No</v>
      </c>
      <c r="AL226" s="102" t="str">
        <f t="shared" si="91"/>
        <v>Sin descuento</v>
      </c>
      <c r="AM226" s="102" t="str">
        <f>IF(SUMPRODUCT(--ISNUMBER(SEARCH({"0","1","2","3","4","5","6","7","8","9","favorit","maquillaje","piel","cabello","productos","belleza","regalo"},E226)))&gt;0,"Sí","No")</f>
        <v>No</v>
      </c>
      <c r="AN226" s="102" t="str">
        <f>IF(SUMPRODUCT(--ISNUMBER(SEARCH({"lo que tenemos","estas ofertas","algo especial","ofertas únicas","que preparamos","no te quedes","echa un vistazo"},F226)))&gt;0,"Sí","No")</f>
        <v>No</v>
      </c>
      <c r="AO226" s="102">
        <f t="shared" si="92"/>
        <v>42</v>
      </c>
      <c r="AP226" s="102">
        <f t="shared" si="93"/>
        <v>6</v>
      </c>
      <c r="AQ226" s="102">
        <f>SUMPRODUCT(LEN(E226)-LEN(SUBSTITUTE(E226,{"!","¡","?","¿",":",",",".","%","·","-",";"},"")))</f>
        <v>1</v>
      </c>
      <c r="AR226" s="102" t="str">
        <f t="shared" si="94"/>
        <v>Sí</v>
      </c>
      <c r="AS226" s="102" t="str">
        <f t="shared" si="95"/>
        <v>No</v>
      </c>
      <c r="AT226" s="102" t="str">
        <f>IF(SUMPRODUCT(--ISNUMBER(FIND({"0","1","2","3","4","5","6","7","8","9"},E226)))&gt;0,"Con cifra concreta",IF(OR(ISNUMBER(FIND("?",E226)),ISNUMBER(FIND("¿",E226))),"Pregunta abierta",IF(SUMPRODUCT(--ISNUMBER(SEARCH({" hoy ","horas","tiempo limitado","antes de que","se acab","se agot","finalic","última oportunidad","oportunidad única","relámpago","express","no esperes","no volver","no parpadees"," ya ","últimas horas","últimas unidades"," ahora "},AF226)))&gt;0,"Solo urgencia, sin cifra",IF(SUMPRODUCT(--ISNUMBER(SEARCH({"recompensa","sorpresa","regalo","lealtad","detalle","gracias","pensamos en ti","para ti"},E226)))&gt;0,"Recompensa o sorpresa","Otro: beneficio o novedad"))))</f>
        <v>Otro: beneficio o novedad</v>
      </c>
    </row>
    <row r="227" spans="1:46" x14ac:dyDescent="0.2">
      <c r="A227" s="96" t="s">
        <v>1098</v>
      </c>
      <c r="B227" s="96" t="s">
        <v>278</v>
      </c>
      <c r="C227" s="96" t="s">
        <v>815</v>
      </c>
      <c r="D227" s="96" t="s">
        <v>764</v>
      </c>
      <c r="E227" s="96" t="s">
        <v>367</v>
      </c>
      <c r="F227" s="96" t="s">
        <v>458</v>
      </c>
      <c r="G227" s="97">
        <v>72321</v>
      </c>
      <c r="H227" s="97">
        <v>32247</v>
      </c>
      <c r="I227" s="97">
        <v>8823</v>
      </c>
      <c r="J227" s="98">
        <v>4.57</v>
      </c>
      <c r="K227" s="98">
        <v>4.32</v>
      </c>
      <c r="L227" s="99">
        <v>3537.6</v>
      </c>
      <c r="M227" s="100">
        <f t="shared" si="72"/>
        <v>44.588708673829181</v>
      </c>
      <c r="N227" s="100">
        <f t="shared" si="73"/>
        <v>12.199775998672585</v>
      </c>
      <c r="O227" s="100">
        <f t="shared" si="74"/>
        <v>27.360684714857197</v>
      </c>
      <c r="P227" s="100">
        <f t="shared" si="75"/>
        <v>48.915252831127887</v>
      </c>
      <c r="Q227" s="100">
        <f t="shared" si="76"/>
        <v>36.132518317209367</v>
      </c>
      <c r="R227" s="100">
        <f t="shared" si="77"/>
        <v>29.458247936272421</v>
      </c>
      <c r="S227" s="101">
        <f t="shared" si="78"/>
        <v>45959</v>
      </c>
      <c r="T227" s="102" t="str">
        <f t="shared" si="79"/>
        <v>Octubre</v>
      </c>
      <c r="U227" s="102" t="str">
        <f t="shared" si="80"/>
        <v>Miércoles</v>
      </c>
      <c r="V227" s="102">
        <f t="shared" si="81"/>
        <v>15</v>
      </c>
      <c r="W227" s="102" t="str">
        <f t="shared" si="82"/>
        <v>Resto del mes</v>
      </c>
      <c r="X227" s="102">
        <f t="shared" si="83"/>
        <v>27</v>
      </c>
      <c r="Y227" s="102" t="str">
        <f t="shared" si="84"/>
        <v>Sí</v>
      </c>
      <c r="Z227" s="102" t="str">
        <f>CHOOSE(MATCH(B227,{"Customer Appreciation","Exclusive Offers","Flash Sale","Holiday Discounts","New Product Launch","Newsletter"},0),"Fidelizar","Vender","Vender","Vender","Lanzar","Educar")</f>
        <v>Lanzar</v>
      </c>
      <c r="AA227" s="102" t="str">
        <f t="shared" si="85"/>
        <v>Menos de 100 mil</v>
      </c>
      <c r="AB227" s="102">
        <f>COUNTIFS($E$5:$E$493,E227,$S$5:$S$493,"&lt;"&amp;S227)+COUNTIFS($E$5:E227,E227,$S$5:S227,S227)</f>
        <v>23</v>
      </c>
      <c r="AC227" s="102">
        <f t="shared" si="86"/>
        <v>25</v>
      </c>
      <c r="AD227" s="102" t="str">
        <f t="shared" si="87"/>
        <v>Último tercio</v>
      </c>
      <c r="AE227" s="103">
        <f t="shared" si="88"/>
        <v>8.456190356619814</v>
      </c>
      <c r="AF227" s="102" t="str">
        <f t="shared" si="89"/>
        <v xml:space="preserve">  el futuro de tu piel ha llegado  nuevo producto revolucionario </v>
      </c>
      <c r="AG227" s="102" t="str">
        <f t="shared" si="90"/>
        <v xml:space="preserve"> una fórmula revolucionaria para resultados visibles   compruébalo  </v>
      </c>
      <c r="AH227" s="102" t="str">
        <f>IF(SUMPRODUCT(--(LEFT(IF(LEFT(LOWER(E227),1)="¡",MID(LOWER(E227),2,300),LOWER(E227)),LEN({"actualizaci","el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227" s="102" t="str">
        <f>IF(OR(SUMPRODUCT(--ISNUMBER(SEARCH({"descuento","oferta","ahorr","precio"," sale ","flash","deals"},AF227)))&gt;0,SUMPRODUCT(--ISNUMBER(SEARCH({"descuento","oferta","ahorr","precio"," sale ","flash","deals"},AG227)))&gt;0),"Sí","No")</f>
        <v>No</v>
      </c>
      <c r="AJ227" s="102" t="str">
        <f>IF(SUMPRODUCT(--ISNUMBER(SEARCH({" hoy ","horas","tiempo limitado","antes de que","se acab","se agot","finalic","última oportunidad","oportunidad única","relámpago","express","no esperes","no volver","no parpadees"},AF227)))&gt;0,"Sí","No")</f>
        <v>No</v>
      </c>
      <c r="AK227" s="102" t="str">
        <f>IF(SUMPRODUCT(--ISNUMBER(SEARCH({" hoy ","horas","tiempo limitado","antes de que","se acab","se agot","finalic","última oportunidad","oportunidad única","relámpago","express","no esperes","no volver","no parpadees"},AG227)))&gt;0,"Sí","No")</f>
        <v>No</v>
      </c>
      <c r="AL227" s="102" t="str">
        <f t="shared" si="91"/>
        <v>Sin descuento</v>
      </c>
      <c r="AM227" s="102" t="str">
        <f>IF(SUMPRODUCT(--ISNUMBER(SEARCH({"0","1","2","3","4","5","6","7","8","9","favorit","maquillaje","piel","cabello","productos","belleza","regalo"},E227)))&gt;0,"Sí","No")</f>
        <v>Sí</v>
      </c>
      <c r="AN227" s="102" t="str">
        <f>IF(SUMPRODUCT(--ISNUMBER(SEARCH({"lo que tenemos","estas ofertas","algo especial","ofertas únicas","que preparamos","no te quedes","echa un vistazo"},F227)))&gt;0,"Sí","No")</f>
        <v>No</v>
      </c>
      <c r="AO227" s="102">
        <f t="shared" si="92"/>
        <v>63</v>
      </c>
      <c r="AP227" s="102">
        <f t="shared" si="93"/>
        <v>10</v>
      </c>
      <c r="AQ227" s="102">
        <f>SUMPRODUCT(LEN(E227)-LEN(SUBSTITUTE(E227,{"!","¡","?","¿",":",",",".","%","·","-",";"},"")))</f>
        <v>2</v>
      </c>
      <c r="AR227" s="102" t="str">
        <f t="shared" si="94"/>
        <v>No</v>
      </c>
      <c r="AS227" s="102" t="str">
        <f t="shared" si="95"/>
        <v>No</v>
      </c>
      <c r="AT227" s="102" t="str">
        <f>IF(SUMPRODUCT(--ISNUMBER(FIND({"0","1","2","3","4","5","6","7","8","9"},E227)))&gt;0,"Con cifra concreta",IF(OR(ISNUMBER(FIND("?",E227)),ISNUMBER(FIND("¿",E227))),"Pregunta abierta",IF(SUMPRODUCT(--ISNUMBER(SEARCH({" hoy ","horas","tiempo limitado","antes de que","se acab","se agot","finalic","última oportunidad","oportunidad única","relámpago","express","no esperes","no volver","no parpadees"," ya ","últimas horas","últimas unidades"," ahora "},AF227)))&gt;0,"Solo urgencia, sin cifra",IF(SUMPRODUCT(--ISNUMBER(SEARCH({"recompensa","sorpresa","regalo","lealtad","detalle","gracias","pensamos en ti","para ti"},E227)))&gt;0,"Recompensa o sorpresa","Otro: beneficio o novedad"))))</f>
        <v>Otro: beneficio o novedad</v>
      </c>
    </row>
    <row r="228" spans="1:46" x14ac:dyDescent="0.2">
      <c r="A228" s="104" t="s">
        <v>1099</v>
      </c>
      <c r="B228" s="104" t="s">
        <v>276</v>
      </c>
      <c r="C228" s="104" t="s">
        <v>869</v>
      </c>
      <c r="D228" s="104" t="s">
        <v>821</v>
      </c>
      <c r="E228" s="104" t="s">
        <v>483</v>
      </c>
      <c r="F228" s="104" t="s">
        <v>484</v>
      </c>
      <c r="G228" s="105">
        <v>109025</v>
      </c>
      <c r="H228" s="105">
        <v>18390</v>
      </c>
      <c r="I228" s="105">
        <v>12810</v>
      </c>
      <c r="J228" s="106">
        <v>2.7</v>
      </c>
      <c r="K228" s="106">
        <v>0.12</v>
      </c>
      <c r="L228" s="107">
        <v>9269.4</v>
      </c>
      <c r="M228" s="108">
        <f t="shared" si="72"/>
        <v>16.867690896583351</v>
      </c>
      <c r="N228" s="108">
        <f t="shared" si="73"/>
        <v>11.749598715890851</v>
      </c>
      <c r="O228" s="108">
        <f t="shared" si="74"/>
        <v>69.657422512234916</v>
      </c>
      <c r="P228" s="108">
        <f t="shared" si="75"/>
        <v>85.020866773675763</v>
      </c>
      <c r="Q228" s="108">
        <f t="shared" si="76"/>
        <v>17.395911943759799</v>
      </c>
      <c r="R228" s="108">
        <f t="shared" si="77"/>
        <v>29.440902453236173</v>
      </c>
      <c r="S228" s="101">
        <f t="shared" si="78"/>
        <v>45917</v>
      </c>
      <c r="T228" s="102" t="str">
        <f t="shared" si="79"/>
        <v>Septiembre</v>
      </c>
      <c r="U228" s="102" t="str">
        <f t="shared" si="80"/>
        <v>Miércoles</v>
      </c>
      <c r="V228" s="102">
        <f t="shared" si="81"/>
        <v>8</v>
      </c>
      <c r="W228" s="102" t="str">
        <f t="shared" si="82"/>
        <v>Días después del pago</v>
      </c>
      <c r="X228" s="102">
        <f t="shared" si="83"/>
        <v>26</v>
      </c>
      <c r="Y228" s="102" t="str">
        <f t="shared" si="84"/>
        <v>Sí</v>
      </c>
      <c r="Z228" s="102" t="str">
        <f>CHOOSE(MATCH(B228,{"Customer Appreciation","Exclusive Offers","Flash Sale","Holiday Discounts","New Product Launch","Newsletter"},0),"Fidelizar","Vender","Vender","Vender","Lanzar","Educar")</f>
        <v>Vender</v>
      </c>
      <c r="AA228" s="102" t="str">
        <f t="shared" si="85"/>
        <v>100 a 200 mil</v>
      </c>
      <c r="AB228" s="102">
        <f>COUNTIFS($E$5:$E$493,E228,$S$5:$S$493,"&lt;"&amp;S228)+COUNTIFS($E$5:E228,E228,$S$5:S228,S228)</f>
        <v>7</v>
      </c>
      <c r="AC228" s="102">
        <f t="shared" si="86"/>
        <v>9</v>
      </c>
      <c r="AD228" s="102" t="str">
        <f t="shared" si="87"/>
        <v>Último tercio</v>
      </c>
      <c r="AE228" s="103">
        <f t="shared" si="88"/>
        <v>-0.52822104717644791</v>
      </c>
      <c r="AF228" s="102" t="str">
        <f t="shared" si="89"/>
        <v xml:space="preserve">  gran oferta  por tiempo limitado  no te lo pierdas </v>
      </c>
      <c r="AG228" s="102" t="str">
        <f t="shared" si="90"/>
        <v xml:space="preserve"> aprovecha los descuentos en tus productos esenciales   compra ahora  </v>
      </c>
      <c r="AH228" s="102" t="str">
        <f>IF(SUMPRODUCT(--(LEFT(IF(LEFT(LOWER(E228),1)="¡",MID(LOWER(E228),2,300),LOWER(E228)),LEN({"actualizaci","el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Sí</v>
      </c>
      <c r="AI228" s="102" t="str">
        <f>IF(OR(SUMPRODUCT(--ISNUMBER(SEARCH({"descuento","oferta","ahorr","precio"," sale ","flash","deals"},AF228)))&gt;0,SUMPRODUCT(--ISNUMBER(SEARCH({"descuento","oferta","ahorr","precio"," sale ","flash","deals"},AG228)))&gt;0),"Sí","No")</f>
        <v>Sí</v>
      </c>
      <c r="AJ228" s="102" t="str">
        <f>IF(SUMPRODUCT(--ISNUMBER(SEARCH({" hoy ","horas","tiempo limitado","antes de que","se acab","se agot","finalic","última oportunidad","oportunidad única","relámpago","express","no esperes","no volver","no parpadees"},AF228)))&gt;0,"Sí","No")</f>
        <v>Sí</v>
      </c>
      <c r="AK228" s="102" t="str">
        <f>IF(SUMPRODUCT(--ISNUMBER(SEARCH({" hoy ","horas","tiempo limitado","antes de que","se acab","se agot","finalic","última oportunidad","oportunidad única","relámpago","express","no esperes","no volver","no parpadees"},AG228)))&gt;0,"Sí","No")</f>
        <v>No</v>
      </c>
      <c r="AL228" s="102" t="str">
        <f t="shared" si="91"/>
        <v>Descuento con tiempo límite en el asunto</v>
      </c>
      <c r="AM228" s="102" t="str">
        <f>IF(SUMPRODUCT(--ISNUMBER(SEARCH({"0","1","2","3","4","5","6","7","8","9","favorit","maquillaje","piel","cabello","productos","belleza","regalo"},E228)))&gt;0,"Sí","No")</f>
        <v>No</v>
      </c>
      <c r="AN228" s="102" t="str">
        <f>IF(SUMPRODUCT(--ISNUMBER(SEARCH({"lo que tenemos","estas ofertas","algo especial","ofertas únicas","que preparamos","no te quedes","echa un vistazo"},F228)))&gt;0,"Sí","No")</f>
        <v>No</v>
      </c>
      <c r="AO228" s="102">
        <f t="shared" si="92"/>
        <v>51</v>
      </c>
      <c r="AP228" s="102">
        <f t="shared" si="93"/>
        <v>9</v>
      </c>
      <c r="AQ228" s="102">
        <f>SUMPRODUCT(LEN(E228)-LEN(SUBSTITUTE(E228,{"!","¡","?","¿",":",",",".","%","·","-",";"},"")))</f>
        <v>3</v>
      </c>
      <c r="AR228" s="102" t="str">
        <f t="shared" si="94"/>
        <v>Sí</v>
      </c>
      <c r="AS228" s="102" t="str">
        <f t="shared" si="95"/>
        <v>No</v>
      </c>
      <c r="AT228" s="102" t="str">
        <f>IF(SUMPRODUCT(--ISNUMBER(FIND({"0","1","2","3","4","5","6","7","8","9"},E228)))&gt;0,"Con cifra concreta",IF(OR(ISNUMBER(FIND("?",E228)),ISNUMBER(FIND("¿",E228))),"Pregunta abierta",IF(SUMPRODUCT(--ISNUMBER(SEARCH({" hoy ","horas","tiempo limitado","antes de que","se acab","se agot","finalic","última oportunidad","oportunidad única","relámpago","express","no esperes","no volver","no parpadees"," ya ","últimas horas","últimas unidades"," ahora "},AF228)))&gt;0,"Solo urgencia, sin cifra",IF(SUMPRODUCT(--ISNUMBER(SEARCH({"recompensa","sorpresa","regalo","lealtad","detalle","gracias","pensamos en ti","para ti"},E228)))&gt;0,"Recompensa o sorpresa","Otro: beneficio o novedad"))))</f>
        <v>Solo urgencia, sin cifra</v>
      </c>
    </row>
    <row r="229" spans="1:46" x14ac:dyDescent="0.2">
      <c r="A229" s="96" t="s">
        <v>1100</v>
      </c>
      <c r="B229" s="96" t="s">
        <v>274</v>
      </c>
      <c r="C229" s="96" t="s">
        <v>944</v>
      </c>
      <c r="D229" s="96" t="s">
        <v>794</v>
      </c>
      <c r="E229" s="96" t="s">
        <v>371</v>
      </c>
      <c r="F229" s="96" t="s">
        <v>452</v>
      </c>
      <c r="G229" s="97">
        <v>291675</v>
      </c>
      <c r="H229" s="97">
        <v>129929</v>
      </c>
      <c r="I229" s="97">
        <v>50505</v>
      </c>
      <c r="J229" s="98">
        <v>8.9499999999999993</v>
      </c>
      <c r="K229" s="98">
        <v>2.52</v>
      </c>
      <c r="L229" s="99">
        <v>55410.23</v>
      </c>
      <c r="M229" s="100">
        <f t="shared" si="72"/>
        <v>44.545812976772091</v>
      </c>
      <c r="N229" s="100">
        <f t="shared" si="73"/>
        <v>17.315505271277964</v>
      </c>
      <c r="O229" s="100">
        <f t="shared" si="74"/>
        <v>38.871229671589866</v>
      </c>
      <c r="P229" s="100">
        <f t="shared" si="75"/>
        <v>189.97250364275308</v>
      </c>
      <c r="Q229" s="100">
        <f t="shared" si="76"/>
        <v>40.72142758959253</v>
      </c>
      <c r="R229" s="100">
        <f t="shared" si="77"/>
        <v>31.113650744455075</v>
      </c>
      <c r="S229" s="101">
        <f t="shared" si="78"/>
        <v>45943</v>
      </c>
      <c r="T229" s="102" t="str">
        <f t="shared" si="79"/>
        <v>Octubre</v>
      </c>
      <c r="U229" s="102" t="str">
        <f t="shared" si="80"/>
        <v>Lunes</v>
      </c>
      <c r="V229" s="102">
        <f t="shared" si="81"/>
        <v>12</v>
      </c>
      <c r="W229" s="102" t="str">
        <f t="shared" si="82"/>
        <v>Resto del mes</v>
      </c>
      <c r="X229" s="102">
        <f t="shared" si="83"/>
        <v>23</v>
      </c>
      <c r="Y229" s="102" t="str">
        <f t="shared" si="84"/>
        <v>Sí</v>
      </c>
      <c r="Z229" s="102" t="str">
        <f>CHOOSE(MATCH(B229,{"Customer Appreciation","Exclusive Offers","Flash Sale","Holiday Discounts","New Product Launch","Newsletter"},0),"Fidelizar","Vender","Vender","Vender","Lanzar","Educar")</f>
        <v>Fidelizar</v>
      </c>
      <c r="AA229" s="102" t="str">
        <f t="shared" si="85"/>
        <v>200 a 300 mil</v>
      </c>
      <c r="AB229" s="102">
        <f>COUNTIFS($E$5:$E$493,E229,$S$5:$S$493,"&lt;"&amp;S229)+COUNTIFS($E$5:E229,E229,$S$5:S229,S229)</f>
        <v>13</v>
      </c>
      <c r="AC229" s="102">
        <f t="shared" si="86"/>
        <v>16</v>
      </c>
      <c r="AD229" s="102" t="str">
        <f t="shared" si="87"/>
        <v>Último tercio</v>
      </c>
      <c r="AE229" s="103">
        <f t="shared" si="88"/>
        <v>3.8243853871795608</v>
      </c>
      <c r="AF229" s="102" t="str">
        <f t="shared" si="89"/>
        <v xml:space="preserve">  tu lealtad tiene recompensa  descúbrela  sorpresas para ti </v>
      </c>
      <c r="AG229" s="102" t="str">
        <f t="shared" si="90"/>
        <v xml:space="preserve"> ofertas exclusivas para nuestros clientes más especiales   no te las pierdas  </v>
      </c>
      <c r="AH229" s="102" t="str">
        <f>IF(SUMPRODUCT(--(LEFT(IF(LEFT(LOWER(E229),1)="¡",MID(LOWER(E229),2,300),LOWER(E229)),LEN({"actualizaci","el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229" s="102" t="str">
        <f>IF(OR(SUMPRODUCT(--ISNUMBER(SEARCH({"descuento","oferta","ahorr","precio"," sale ","flash","deals"},AF229)))&gt;0,SUMPRODUCT(--ISNUMBER(SEARCH({"descuento","oferta","ahorr","precio"," sale ","flash","deals"},AG229)))&gt;0),"Sí","No")</f>
        <v>Sí</v>
      </c>
      <c r="AJ229" s="102" t="str">
        <f>IF(SUMPRODUCT(--ISNUMBER(SEARCH({" hoy ","horas","tiempo limitado","antes de que","se acab","se agot","finalic","última oportunidad","oportunidad única","relámpago","express","no esperes","no volver","no parpadees"},AF229)))&gt;0,"Sí","No")</f>
        <v>No</v>
      </c>
      <c r="AK229" s="102" t="str">
        <f>IF(SUMPRODUCT(--ISNUMBER(SEARCH({" hoy ","horas","tiempo limitado","antes de que","se acab","se agot","finalic","última oportunidad","oportunidad única","relámpago","express","no esperes","no volver","no parpadees"},AG229)))&gt;0,"Sí","No")</f>
        <v>No</v>
      </c>
      <c r="AL229" s="102" t="str">
        <f t="shared" si="91"/>
        <v>Descuento sin tiempo límite</v>
      </c>
      <c r="AM229" s="102" t="str">
        <f>IF(SUMPRODUCT(--ISNUMBER(SEARCH({"0","1","2","3","4","5","6","7","8","9","favorit","maquillaje","piel","cabello","productos","belleza","regalo"},E229)))&gt;0,"Sí","No")</f>
        <v>No</v>
      </c>
      <c r="AN229" s="102" t="str">
        <f>IF(SUMPRODUCT(--ISNUMBER(SEARCH({"lo que tenemos","estas ofertas","algo especial","ofertas únicas","que preparamos","no te quedes","echa un vistazo"},F229)))&gt;0,"Sí","No")</f>
        <v>No</v>
      </c>
      <c r="AO229" s="102">
        <f t="shared" si="92"/>
        <v>59</v>
      </c>
      <c r="AP229" s="102">
        <f t="shared" si="93"/>
        <v>8</v>
      </c>
      <c r="AQ229" s="102">
        <f>SUMPRODUCT(LEN(E229)-LEN(SUBSTITUTE(E229,{"!","¡","?","¿",":",",",".","%","·","-",";"},"")))</f>
        <v>3</v>
      </c>
      <c r="AR229" s="102" t="str">
        <f t="shared" si="94"/>
        <v>Sí</v>
      </c>
      <c r="AS229" s="102" t="str">
        <f t="shared" si="95"/>
        <v>No</v>
      </c>
      <c r="AT229" s="102" t="str">
        <f>IF(SUMPRODUCT(--ISNUMBER(FIND({"0","1","2","3","4","5","6","7","8","9"},E229)))&gt;0,"Con cifra concreta",IF(OR(ISNUMBER(FIND("?",E229)),ISNUMBER(FIND("¿",E229))),"Pregunta abierta",IF(SUMPRODUCT(--ISNUMBER(SEARCH({" hoy ","horas","tiempo limitado","antes de que","se acab","se agot","finalic","última oportunidad","oportunidad única","relámpago","express","no esperes","no volver","no parpadees"," ya ","últimas horas","últimas unidades"," ahora "},AF229)))&gt;0,"Solo urgencia, sin cifra",IF(SUMPRODUCT(--ISNUMBER(SEARCH({"recompensa","sorpresa","regalo","lealtad","detalle","gracias","pensamos en ti","para ti"},E229)))&gt;0,"Recompensa o sorpresa","Otro: beneficio o novedad"))))</f>
        <v>Recompensa o sorpresa</v>
      </c>
    </row>
    <row r="230" spans="1:46" x14ac:dyDescent="0.2">
      <c r="A230" s="104" t="s">
        <v>1101</v>
      </c>
      <c r="B230" s="104" t="s">
        <v>277</v>
      </c>
      <c r="C230" s="104" t="s">
        <v>889</v>
      </c>
      <c r="D230" s="104" t="s">
        <v>761</v>
      </c>
      <c r="E230" s="104" t="s">
        <v>896</v>
      </c>
      <c r="F230" s="104" t="s">
        <v>470</v>
      </c>
      <c r="G230" s="105">
        <v>23572</v>
      </c>
      <c r="H230" s="105">
        <v>3938</v>
      </c>
      <c r="I230" s="105">
        <v>3116</v>
      </c>
      <c r="J230" s="106">
        <v>3.63</v>
      </c>
      <c r="K230" s="106">
        <v>3.67</v>
      </c>
      <c r="L230" s="107">
        <v>75489.490000000005</v>
      </c>
      <c r="M230" s="108">
        <f t="shared" si="72"/>
        <v>16.706261666383845</v>
      </c>
      <c r="N230" s="108">
        <f t="shared" si="73"/>
        <v>13.219073477006619</v>
      </c>
      <c r="O230" s="108">
        <f t="shared" si="74"/>
        <v>79.126460132046731</v>
      </c>
      <c r="P230" s="108">
        <f t="shared" si="75"/>
        <v>3202.5067877142374</v>
      </c>
      <c r="Q230" s="108">
        <f t="shared" si="76"/>
        <v>19.100010084099871</v>
      </c>
      <c r="R230" s="108">
        <f t="shared" si="77"/>
        <v>30.71114383300629</v>
      </c>
      <c r="S230" s="101">
        <f t="shared" si="78"/>
        <v>45908</v>
      </c>
      <c r="T230" s="102" t="str">
        <f t="shared" si="79"/>
        <v>Septiembre</v>
      </c>
      <c r="U230" s="102" t="str">
        <f t="shared" si="80"/>
        <v>Lunes</v>
      </c>
      <c r="V230" s="102">
        <f t="shared" si="81"/>
        <v>10</v>
      </c>
      <c r="W230" s="102" t="str">
        <f t="shared" si="82"/>
        <v>Resto del mes</v>
      </c>
      <c r="X230" s="102">
        <f t="shared" si="83"/>
        <v>28</v>
      </c>
      <c r="Y230" s="102" t="str">
        <f t="shared" si="84"/>
        <v>Sí</v>
      </c>
      <c r="Z230" s="102" t="str">
        <f>CHOOSE(MATCH(B230,{"Customer Appreciation","Exclusive Offers","Flash Sale","Holiday Discounts","New Product Launch","Newsletter"},0),"Fidelizar","Vender","Vender","Vender","Lanzar","Educar")</f>
        <v>Vender</v>
      </c>
      <c r="AA230" s="102" t="str">
        <f t="shared" si="85"/>
        <v>Menos de 100 mil</v>
      </c>
      <c r="AB230" s="102">
        <f>COUNTIFS($E$5:$E$493,E230,$S$5:$S$493,"&lt;"&amp;S230)+COUNTIFS($E$5:E230,E230,$S$5:S230,S230)</f>
        <v>3</v>
      </c>
      <c r="AC230" s="102">
        <f t="shared" si="86"/>
        <v>5</v>
      </c>
      <c r="AD230" s="102" t="str">
        <f t="shared" si="87"/>
        <v/>
      </c>
      <c r="AE230" s="103">
        <f t="shared" si="88"/>
        <v>-2.3937484177160258</v>
      </c>
      <c r="AF230" s="102" t="str">
        <f t="shared" si="89"/>
        <v xml:space="preserve">  es hora de celebrar  descuentos festivos  l'oréal para ti </v>
      </c>
      <c r="AG230" s="102" t="str">
        <f t="shared" si="90"/>
        <v xml:space="preserve"> regalos perfectos y ofertas que te encantarán   descubre más  </v>
      </c>
      <c r="AH230" s="102" t="str">
        <f>IF(SUMPRODUCT(--(LEFT(IF(LEFT(LOWER(E230),1)="¡",MID(LOWER(E230),2,300),LOWER(E230)),LEN({"actualizaci","el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Sí</v>
      </c>
      <c r="AI230" s="102" t="str">
        <f>IF(OR(SUMPRODUCT(--ISNUMBER(SEARCH({"descuento","oferta","ahorr","precio"," sale ","flash","deals"},AF230)))&gt;0,SUMPRODUCT(--ISNUMBER(SEARCH({"descuento","oferta","ahorr","precio"," sale ","flash","deals"},AG230)))&gt;0),"Sí","No")</f>
        <v>Sí</v>
      </c>
      <c r="AJ230" s="102" t="str">
        <f>IF(SUMPRODUCT(--ISNUMBER(SEARCH({" hoy ","horas","tiempo limitado","antes de que","se acab","se agot","finalic","última oportunidad","oportunidad única","relámpago","express","no esperes","no volver","no parpadees"},AF230)))&gt;0,"Sí","No")</f>
        <v>No</v>
      </c>
      <c r="AK230" s="102" t="str">
        <f>IF(SUMPRODUCT(--ISNUMBER(SEARCH({" hoy ","horas","tiempo limitado","antes de que","se acab","se agot","finalic","última oportunidad","oportunidad única","relámpago","express","no esperes","no volver","no parpadees"},AG230)))&gt;0,"Sí","No")</f>
        <v>No</v>
      </c>
      <c r="AL230" s="102" t="str">
        <f t="shared" si="91"/>
        <v>Descuento sin tiempo límite</v>
      </c>
      <c r="AM230" s="102" t="str">
        <f>IF(SUMPRODUCT(--ISNUMBER(SEARCH({"0","1","2","3","4","5","6","7","8","9","favorit","maquillaje","piel","cabello","productos","belleza","regalo"},E230)))&gt;0,"Sí","No")</f>
        <v>No</v>
      </c>
      <c r="AN230" s="102" t="str">
        <f>IF(SUMPRODUCT(--ISNUMBER(SEARCH({"lo que tenemos","estas ofertas","algo especial","ofertas únicas","que preparamos","no te quedes","echa un vistazo"},F230)))&gt;0,"Sí","No")</f>
        <v>No</v>
      </c>
      <c r="AO230" s="102">
        <f t="shared" si="92"/>
        <v>58</v>
      </c>
      <c r="AP230" s="102">
        <f t="shared" si="93"/>
        <v>9</v>
      </c>
      <c r="AQ230" s="102">
        <f>SUMPRODUCT(LEN(E230)-LEN(SUBSTITUTE(E230,{"!","¡","?","¿",":",",",".","%","·","-",";"},"")))</f>
        <v>3</v>
      </c>
      <c r="AR230" s="102" t="str">
        <f t="shared" si="94"/>
        <v>Sí</v>
      </c>
      <c r="AS230" s="102" t="str">
        <f t="shared" si="95"/>
        <v>No</v>
      </c>
      <c r="AT230" s="102" t="str">
        <f>IF(SUMPRODUCT(--ISNUMBER(FIND({"0","1","2","3","4","5","6","7","8","9"},E230)))&gt;0,"Con cifra concreta",IF(OR(ISNUMBER(FIND("?",E230)),ISNUMBER(FIND("¿",E230))),"Pregunta abierta",IF(SUMPRODUCT(--ISNUMBER(SEARCH({" hoy ","horas","tiempo limitado","antes de que","se acab","se agot","finalic","última oportunidad","oportunidad única","relámpago","express","no esperes","no volver","no parpadees"," ya ","últimas horas","últimas unidades"," ahora "},AF230)))&gt;0,"Solo urgencia, sin cifra",IF(SUMPRODUCT(--ISNUMBER(SEARCH({"recompensa","sorpresa","regalo","lealtad","detalle","gracias","pensamos en ti","para ti"},E230)))&gt;0,"Recompensa o sorpresa","Otro: beneficio o novedad"))))</f>
        <v>Recompensa o sorpresa</v>
      </c>
    </row>
    <row r="231" spans="1:46" x14ac:dyDescent="0.2">
      <c r="A231" s="96" t="s">
        <v>1102</v>
      </c>
      <c r="B231" s="96" t="s">
        <v>275</v>
      </c>
      <c r="C231" s="96" t="s">
        <v>891</v>
      </c>
      <c r="D231" s="96" t="s">
        <v>786</v>
      </c>
      <c r="E231" s="96" t="s">
        <v>455</v>
      </c>
      <c r="F231" s="96" t="s">
        <v>456</v>
      </c>
      <c r="G231" s="97">
        <v>190377</v>
      </c>
      <c r="H231" s="97">
        <v>51953</v>
      </c>
      <c r="I231" s="97">
        <v>37575</v>
      </c>
      <c r="J231" s="98">
        <v>4.46</v>
      </c>
      <c r="K231" s="98">
        <v>2.12</v>
      </c>
      <c r="L231" s="99">
        <v>74179.44</v>
      </c>
      <c r="M231" s="100">
        <f t="shared" si="72"/>
        <v>27.289536025885479</v>
      </c>
      <c r="N231" s="100">
        <f t="shared" si="73"/>
        <v>19.737153122488536</v>
      </c>
      <c r="O231" s="100">
        <f t="shared" si="74"/>
        <v>72.324986045079214</v>
      </c>
      <c r="P231" s="100">
        <f t="shared" si="75"/>
        <v>389.6449676168865</v>
      </c>
      <c r="Q231" s="100">
        <f t="shared" si="76"/>
        <v>38.720231784441999</v>
      </c>
      <c r="R231" s="100">
        <f t="shared" si="77"/>
        <v>27.021447627328243</v>
      </c>
      <c r="S231" s="101">
        <f t="shared" si="78"/>
        <v>45888</v>
      </c>
      <c r="T231" s="102" t="str">
        <f t="shared" si="79"/>
        <v>Agosto</v>
      </c>
      <c r="U231" s="102" t="str">
        <f t="shared" si="80"/>
        <v>Martes</v>
      </c>
      <c r="V231" s="102">
        <f t="shared" si="81"/>
        <v>15</v>
      </c>
      <c r="W231" s="102" t="str">
        <f t="shared" si="82"/>
        <v>Días después del pago</v>
      </c>
      <c r="X231" s="102">
        <f t="shared" si="83"/>
        <v>29</v>
      </c>
      <c r="Y231" s="102" t="str">
        <f t="shared" si="84"/>
        <v>Sí</v>
      </c>
      <c r="Z231" s="102" t="str">
        <f>CHOOSE(MATCH(B231,{"Customer Appreciation","Exclusive Offers","Flash Sale","Holiday Discounts","New Product Launch","Newsletter"},0),"Fidelizar","Vender","Vender","Vender","Lanzar","Educar")</f>
        <v>Vender</v>
      </c>
      <c r="AA231" s="102" t="str">
        <f t="shared" si="85"/>
        <v>100 a 200 mil</v>
      </c>
      <c r="AB231" s="102">
        <f>COUNTIFS($E$5:$E$493,E231,$S$5:$S$493,"&lt;"&amp;S231)+COUNTIFS($E$5:E231,E231,$S$5:S231,S231)</f>
        <v>6</v>
      </c>
      <c r="AC231" s="102">
        <f t="shared" si="86"/>
        <v>15</v>
      </c>
      <c r="AD231" s="102" t="str">
        <f t="shared" si="87"/>
        <v>Medio</v>
      </c>
      <c r="AE231" s="103">
        <f t="shared" si="88"/>
        <v>-11.430695758556521</v>
      </c>
      <c r="AF231" s="102" t="str">
        <f t="shared" si="89"/>
        <v xml:space="preserve">  solo un clic te separa de estas ofertas  l'oréal paris </v>
      </c>
      <c r="AG231" s="102" t="str">
        <f t="shared" si="90"/>
        <v xml:space="preserve"> descuentos irresistibles en productos seleccionados   últimas horas  </v>
      </c>
      <c r="AH231" s="102" t="str">
        <f>IF(SUMPRODUCT(--(LEFT(IF(LEFT(LOWER(E231),1)="¡",MID(LOWER(E231),2,300),LOWER(E231)),LEN({"actualizaci","el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231" s="102" t="str">
        <f>IF(OR(SUMPRODUCT(--ISNUMBER(SEARCH({"descuento","oferta","ahorr","precio"," sale ","flash","deals"},AF231)))&gt;0,SUMPRODUCT(--ISNUMBER(SEARCH({"descuento","oferta","ahorr","precio"," sale ","flash","deals"},AG231)))&gt;0),"Sí","No")</f>
        <v>Sí</v>
      </c>
      <c r="AJ231" s="102" t="str">
        <f>IF(SUMPRODUCT(--ISNUMBER(SEARCH({" hoy ","horas","tiempo limitado","antes de que","se acab","se agot","finalic","última oportunidad","oportunidad única","relámpago","express","no esperes","no volver","no parpadees"},AF231)))&gt;0,"Sí","No")</f>
        <v>No</v>
      </c>
      <c r="AK231" s="102" t="str">
        <f>IF(SUMPRODUCT(--ISNUMBER(SEARCH({" hoy ","horas","tiempo limitado","antes de que","se acab","se agot","finalic","última oportunidad","oportunidad única","relámpago","express","no esperes","no volver","no parpadees"},AG231)))&gt;0,"Sí","No")</f>
        <v>Sí</v>
      </c>
      <c r="AL231" s="102" t="str">
        <f t="shared" si="91"/>
        <v>Descuento con tiempo límite solo en el preheader</v>
      </c>
      <c r="AM231" s="102" t="str">
        <f>IF(SUMPRODUCT(--ISNUMBER(SEARCH({"0","1","2","3","4","5","6","7","8","9","favorit","maquillaje","piel","cabello","productos","belleza","regalo"},E231)))&gt;0,"Sí","No")</f>
        <v>No</v>
      </c>
      <c r="AN231" s="102" t="str">
        <f>IF(SUMPRODUCT(--ISNUMBER(SEARCH({"lo que tenemos","estas ofertas","algo especial","ofertas únicas","que preparamos","no te quedes","echa un vistazo"},F231)))&gt;0,"Sí","No")</f>
        <v>No</v>
      </c>
      <c r="AO231" s="102">
        <f t="shared" si="92"/>
        <v>55</v>
      </c>
      <c r="AP231" s="102">
        <f t="shared" si="93"/>
        <v>10</v>
      </c>
      <c r="AQ231" s="102">
        <f>SUMPRODUCT(LEN(E231)-LEN(SUBSTITUTE(E231,{"!","¡","?","¿",":",",",".","%","·","-",";"},"")))</f>
        <v>2</v>
      </c>
      <c r="AR231" s="102" t="str">
        <f t="shared" si="94"/>
        <v>No</v>
      </c>
      <c r="AS231" s="102" t="str">
        <f t="shared" si="95"/>
        <v>No</v>
      </c>
      <c r="AT231" s="102" t="str">
        <f>IF(SUMPRODUCT(--ISNUMBER(FIND({"0","1","2","3","4","5","6","7","8","9"},E231)))&gt;0,"Con cifra concreta",IF(OR(ISNUMBER(FIND("?",E231)),ISNUMBER(FIND("¿",E231))),"Pregunta abierta",IF(SUMPRODUCT(--ISNUMBER(SEARCH({" hoy ","horas","tiempo limitado","antes de que","se acab","se agot","finalic","última oportunidad","oportunidad única","relámpago","express","no esperes","no volver","no parpadees"," ya ","últimas horas","últimas unidades"," ahora "},AF231)))&gt;0,"Solo urgencia, sin cifra",IF(SUMPRODUCT(--ISNUMBER(SEARCH({"recompensa","sorpresa","regalo","lealtad","detalle","gracias","pensamos en ti","para ti"},E231)))&gt;0,"Recompensa o sorpresa","Otro: beneficio o novedad"))))</f>
        <v>Otro: beneficio o novedad</v>
      </c>
    </row>
    <row r="232" spans="1:46" x14ac:dyDescent="0.2">
      <c r="A232" s="104" t="s">
        <v>1103</v>
      </c>
      <c r="B232" s="104" t="s">
        <v>274</v>
      </c>
      <c r="C232" s="104" t="s">
        <v>915</v>
      </c>
      <c r="D232" s="104" t="s">
        <v>769</v>
      </c>
      <c r="E232" s="104" t="s">
        <v>453</v>
      </c>
      <c r="F232" s="104" t="s">
        <v>454</v>
      </c>
      <c r="G232" s="105">
        <v>267077</v>
      </c>
      <c r="H232" s="105">
        <v>101683</v>
      </c>
      <c r="I232" s="105">
        <v>30979</v>
      </c>
      <c r="J232" s="106">
        <v>7.11</v>
      </c>
      <c r="K232" s="106">
        <v>2.74</v>
      </c>
      <c r="L232" s="107">
        <v>11431.97</v>
      </c>
      <c r="M232" s="108">
        <f t="shared" si="72"/>
        <v>38.072540877724407</v>
      </c>
      <c r="N232" s="108">
        <f t="shared" si="73"/>
        <v>11.599276613111574</v>
      </c>
      <c r="O232" s="108">
        <f t="shared" si="74"/>
        <v>30.466252962638791</v>
      </c>
      <c r="P232" s="108">
        <f t="shared" si="75"/>
        <v>42.804022809901262</v>
      </c>
      <c r="Q232" s="108">
        <f t="shared" si="76"/>
        <v>39.210446566150395</v>
      </c>
      <c r="R232" s="108">
        <f t="shared" si="77"/>
        <v>31.113650744455075</v>
      </c>
      <c r="S232" s="101">
        <f t="shared" si="78"/>
        <v>45954</v>
      </c>
      <c r="T232" s="102" t="str">
        <f t="shared" si="79"/>
        <v>Octubre</v>
      </c>
      <c r="U232" s="102" t="str">
        <f t="shared" si="80"/>
        <v>Viernes</v>
      </c>
      <c r="V232" s="102">
        <f t="shared" si="81"/>
        <v>13</v>
      </c>
      <c r="W232" s="102" t="str">
        <f t="shared" si="82"/>
        <v>Resto del mes</v>
      </c>
      <c r="X232" s="102">
        <f t="shared" si="83"/>
        <v>29</v>
      </c>
      <c r="Y232" s="102" t="str">
        <f t="shared" si="84"/>
        <v>Sí</v>
      </c>
      <c r="Z232" s="102" t="str">
        <f>CHOOSE(MATCH(B232,{"Customer Appreciation","Exclusive Offers","Flash Sale","Holiday Discounts","New Product Launch","Newsletter"},0),"Fidelizar","Vender","Vender","Vender","Lanzar","Educar")</f>
        <v>Fidelizar</v>
      </c>
      <c r="AA232" s="102" t="str">
        <f t="shared" si="85"/>
        <v>200 a 300 mil</v>
      </c>
      <c r="AB232" s="102">
        <f>COUNTIFS($E$5:$E$493,E232,$S$5:$S$493,"&lt;"&amp;S232)+COUNTIFS($E$5:E232,E232,$S$5:S232,S232)</f>
        <v>19</v>
      </c>
      <c r="AC232" s="102">
        <f t="shared" si="86"/>
        <v>20</v>
      </c>
      <c r="AD232" s="102" t="str">
        <f t="shared" si="87"/>
        <v>Último tercio</v>
      </c>
      <c r="AE232" s="103">
        <f t="shared" si="88"/>
        <v>-1.1379056884259882</v>
      </c>
      <c r="AF232" s="102" t="str">
        <f t="shared" si="89"/>
        <v xml:space="preserve">  pensamos en ti  descubre estas sorpresas exclusivas </v>
      </c>
      <c r="AG232" s="102" t="str">
        <f t="shared" si="90"/>
        <v xml:space="preserve"> ofertas exclusivas por tu lealtad a l'oréal   aprovecha  </v>
      </c>
      <c r="AH232" s="102" t="str">
        <f>IF(SUMPRODUCT(--(LEFT(IF(LEFT(LOWER(E232),1)="¡",MID(LOWER(E232),2,300),LOWER(E232)),LEN({"actualizaci","el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232" s="102" t="str">
        <f>IF(OR(SUMPRODUCT(--ISNUMBER(SEARCH({"descuento","oferta","ahorr","precio"," sale ","flash","deals"},AF232)))&gt;0,SUMPRODUCT(--ISNUMBER(SEARCH({"descuento","oferta","ahorr","precio"," sale ","flash","deals"},AG232)))&gt;0),"Sí","No")</f>
        <v>Sí</v>
      </c>
      <c r="AJ232" s="102" t="str">
        <f>IF(SUMPRODUCT(--ISNUMBER(SEARCH({" hoy ","horas","tiempo limitado","antes de que","se acab","se agot","finalic","última oportunidad","oportunidad única","relámpago","express","no esperes","no volver","no parpadees"},AF232)))&gt;0,"Sí","No")</f>
        <v>No</v>
      </c>
      <c r="AK232" s="102" t="str">
        <f>IF(SUMPRODUCT(--ISNUMBER(SEARCH({" hoy ","horas","tiempo limitado","antes de que","se acab","se agot","finalic","última oportunidad","oportunidad única","relámpago","express","no esperes","no volver","no parpadees"},AG232)))&gt;0,"Sí","No")</f>
        <v>No</v>
      </c>
      <c r="AL232" s="102" t="str">
        <f t="shared" si="91"/>
        <v>Descuento sin tiempo límite</v>
      </c>
      <c r="AM232" s="102" t="str">
        <f>IF(SUMPRODUCT(--ISNUMBER(SEARCH({"0","1","2","3","4","5","6","7","8","9","favorit","maquillaje","piel","cabello","productos","belleza","regalo"},E232)))&gt;0,"Sí","No")</f>
        <v>No</v>
      </c>
      <c r="AN232" s="102" t="str">
        <f>IF(SUMPRODUCT(--ISNUMBER(SEARCH({"lo que tenemos","estas ofertas","algo especial","ofertas únicas","que preparamos","no te quedes","echa un vistazo"},F232)))&gt;0,"Sí","No")</f>
        <v>No</v>
      </c>
      <c r="AO232" s="102">
        <f t="shared" si="92"/>
        <v>52</v>
      </c>
      <c r="AP232" s="102">
        <f t="shared" si="93"/>
        <v>7</v>
      </c>
      <c r="AQ232" s="102">
        <f>SUMPRODUCT(LEN(E232)-LEN(SUBSTITUTE(E232,{"!","¡","?","¿",":",",",".","%","·","-",";"},"")))</f>
        <v>2</v>
      </c>
      <c r="AR232" s="102" t="str">
        <f t="shared" si="94"/>
        <v>Sí</v>
      </c>
      <c r="AS232" s="102" t="str">
        <f t="shared" si="95"/>
        <v>No</v>
      </c>
      <c r="AT232" s="102" t="str">
        <f>IF(SUMPRODUCT(--ISNUMBER(FIND({"0","1","2","3","4","5","6","7","8","9"},E232)))&gt;0,"Con cifra concreta",IF(OR(ISNUMBER(FIND("?",E232)),ISNUMBER(FIND("¿",E232))),"Pregunta abierta",IF(SUMPRODUCT(--ISNUMBER(SEARCH({" hoy ","horas","tiempo limitado","antes de que","se acab","se agot","finalic","última oportunidad","oportunidad única","relámpago","express","no esperes","no volver","no parpadees"," ya ","últimas horas","últimas unidades"," ahora "},AF232)))&gt;0,"Solo urgencia, sin cifra",IF(SUMPRODUCT(--ISNUMBER(SEARCH({"recompensa","sorpresa","regalo","lealtad","detalle","gracias","pensamos en ti","para ti"},E232)))&gt;0,"Recompensa o sorpresa","Otro: beneficio o novedad"))))</f>
        <v>Recompensa o sorpresa</v>
      </c>
    </row>
    <row r="233" spans="1:46" x14ac:dyDescent="0.2">
      <c r="A233" s="96" t="s">
        <v>1104</v>
      </c>
      <c r="B233" s="96" t="s">
        <v>277</v>
      </c>
      <c r="C233" s="96" t="s">
        <v>917</v>
      </c>
      <c r="D233" s="96" t="s">
        <v>774</v>
      </c>
      <c r="E233" s="96" t="s">
        <v>461</v>
      </c>
      <c r="F233" s="96" t="s">
        <v>462</v>
      </c>
      <c r="G233" s="97">
        <v>408722</v>
      </c>
      <c r="H233" s="97">
        <v>175225</v>
      </c>
      <c r="I233" s="97">
        <v>32135</v>
      </c>
      <c r="J233" s="98">
        <v>5.77</v>
      </c>
      <c r="K233" s="98">
        <v>3.64</v>
      </c>
      <c r="L233" s="99">
        <v>79621.34</v>
      </c>
      <c r="M233" s="100">
        <f t="shared" si="72"/>
        <v>42.871438288127386</v>
      </c>
      <c r="N233" s="100">
        <f t="shared" si="73"/>
        <v>7.8623122807189239</v>
      </c>
      <c r="O233" s="100">
        <f t="shared" si="74"/>
        <v>18.339278071051503</v>
      </c>
      <c r="P233" s="100">
        <f t="shared" si="75"/>
        <v>194.80561359554903</v>
      </c>
      <c r="Q233" s="100">
        <f t="shared" si="76"/>
        <v>35.409886702202286</v>
      </c>
      <c r="R233" s="100">
        <f t="shared" si="77"/>
        <v>30.71114383300629</v>
      </c>
      <c r="S233" s="101">
        <f t="shared" si="78"/>
        <v>45916</v>
      </c>
      <c r="T233" s="102" t="str">
        <f t="shared" si="79"/>
        <v>Septiembre</v>
      </c>
      <c r="U233" s="102" t="str">
        <f t="shared" si="80"/>
        <v>Martes</v>
      </c>
      <c r="V233" s="102">
        <f t="shared" si="81"/>
        <v>11</v>
      </c>
      <c r="W233" s="102" t="str">
        <f t="shared" si="82"/>
        <v>Quincena</v>
      </c>
      <c r="X233" s="102">
        <f t="shared" si="83"/>
        <v>27</v>
      </c>
      <c r="Y233" s="102" t="str">
        <f t="shared" si="84"/>
        <v>Sí</v>
      </c>
      <c r="Z233" s="102" t="str">
        <f>CHOOSE(MATCH(B233,{"Customer Appreciation","Exclusive Offers","Flash Sale","Holiday Discounts","New Product Launch","Newsletter"},0),"Fidelizar","Vender","Vender","Vender","Lanzar","Educar")</f>
        <v>Vender</v>
      </c>
      <c r="AA233" s="102" t="str">
        <f t="shared" si="85"/>
        <v>Más de 400 mil</v>
      </c>
      <c r="AB233" s="102">
        <f>COUNTIFS($E$5:$E$493,E233,$S$5:$S$493,"&lt;"&amp;S233)+COUNTIFS($E$5:E233,E233,$S$5:S233,S233)</f>
        <v>22</v>
      </c>
      <c r="AC233" s="102">
        <f t="shared" si="86"/>
        <v>30</v>
      </c>
      <c r="AD233" s="102" t="str">
        <f t="shared" si="87"/>
        <v>Último tercio</v>
      </c>
      <c r="AE233" s="103">
        <f t="shared" si="88"/>
        <v>7.4615515859251005</v>
      </c>
      <c r="AF233" s="102" t="str">
        <f t="shared" si="89"/>
        <v xml:space="preserve">  regalos perfectos te esperan  descuentos de lujo  l'oréal </v>
      </c>
      <c r="AG233" s="102" t="str">
        <f t="shared" si="90"/>
        <v xml:space="preserve"> encuentra ese detalle especial para ti o tus seres queridos   descubre  </v>
      </c>
      <c r="AH233" s="102" t="str">
        <f>IF(SUMPRODUCT(--(LEFT(IF(LEFT(LOWER(E233),1)="¡",MID(LOWER(E233),2,300),LOWER(E233)),LEN({"actualizaci","el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233" s="102" t="str">
        <f>IF(OR(SUMPRODUCT(--ISNUMBER(SEARCH({"descuento","oferta","ahorr","precio"," sale ","flash","deals"},AF233)))&gt;0,SUMPRODUCT(--ISNUMBER(SEARCH({"descuento","oferta","ahorr","precio"," sale ","flash","deals"},AG233)))&gt;0),"Sí","No")</f>
        <v>Sí</v>
      </c>
      <c r="AJ233" s="102" t="str">
        <f>IF(SUMPRODUCT(--ISNUMBER(SEARCH({" hoy ","horas","tiempo limitado","antes de que","se acab","se agot","finalic","última oportunidad","oportunidad única","relámpago","express","no esperes","no volver","no parpadees"},AF233)))&gt;0,"Sí","No")</f>
        <v>No</v>
      </c>
      <c r="AK233" s="102" t="str">
        <f>IF(SUMPRODUCT(--ISNUMBER(SEARCH({" hoy ","horas","tiempo limitado","antes de que","se acab","se agot","finalic","última oportunidad","oportunidad única","relámpago","express","no esperes","no volver","no parpadees"},AG233)))&gt;0,"Sí","No")</f>
        <v>No</v>
      </c>
      <c r="AL233" s="102" t="str">
        <f t="shared" si="91"/>
        <v>Descuento sin tiempo límite</v>
      </c>
      <c r="AM233" s="102" t="str">
        <f>IF(SUMPRODUCT(--ISNUMBER(SEARCH({"0","1","2","3","4","5","6","7","8","9","favorit","maquillaje","piel","cabello","productos","belleza","regalo"},E233)))&gt;0,"Sí","No")</f>
        <v>Sí</v>
      </c>
      <c r="AN233" s="102" t="str">
        <f>IF(SUMPRODUCT(--ISNUMBER(SEARCH({"lo que tenemos","estas ofertas","algo especial","ofertas únicas","que preparamos","no te quedes","echa un vistazo"},F233)))&gt;0,"Sí","No")</f>
        <v>No</v>
      </c>
      <c r="AO233" s="102">
        <f t="shared" si="92"/>
        <v>58</v>
      </c>
      <c r="AP233" s="102">
        <f t="shared" si="93"/>
        <v>8</v>
      </c>
      <c r="AQ233" s="102">
        <f>SUMPRODUCT(LEN(E233)-LEN(SUBSTITUTE(E233,{"!","¡","?","¿",":",",",".","%","·","-",";"},"")))</f>
        <v>3</v>
      </c>
      <c r="AR233" s="102" t="str">
        <f t="shared" si="94"/>
        <v>Sí</v>
      </c>
      <c r="AS233" s="102" t="str">
        <f t="shared" si="95"/>
        <v>No</v>
      </c>
      <c r="AT233" s="102" t="str">
        <f>IF(SUMPRODUCT(--ISNUMBER(FIND({"0","1","2","3","4","5","6","7","8","9"},E233)))&gt;0,"Con cifra concreta",IF(OR(ISNUMBER(FIND("?",E233)),ISNUMBER(FIND("¿",E233))),"Pregunta abierta",IF(SUMPRODUCT(--ISNUMBER(SEARCH({" hoy ","horas","tiempo limitado","antes de que","se acab","se agot","finalic","última oportunidad","oportunidad única","relámpago","express","no esperes","no volver","no parpadees"," ya ","últimas horas","últimas unidades"," ahora "},AF233)))&gt;0,"Solo urgencia, sin cifra",IF(SUMPRODUCT(--ISNUMBER(SEARCH({"recompensa","sorpresa","regalo","lealtad","detalle","gracias","pensamos en ti","para ti"},E233)))&gt;0,"Recompensa o sorpresa","Otro: beneficio o novedad"))))</f>
        <v>Recompensa o sorpresa</v>
      </c>
    </row>
    <row r="234" spans="1:46" x14ac:dyDescent="0.2">
      <c r="A234" s="104" t="s">
        <v>1105</v>
      </c>
      <c r="B234" s="104" t="s">
        <v>278</v>
      </c>
      <c r="C234" s="104" t="s">
        <v>793</v>
      </c>
      <c r="D234" s="104" t="s">
        <v>947</v>
      </c>
      <c r="E234" s="104" t="s">
        <v>368</v>
      </c>
      <c r="F234" s="104" t="s">
        <v>471</v>
      </c>
      <c r="G234" s="105">
        <v>206602</v>
      </c>
      <c r="H234" s="105">
        <v>24813</v>
      </c>
      <c r="I234" s="105">
        <v>16757</v>
      </c>
      <c r="J234" s="106">
        <v>6.17</v>
      </c>
      <c r="K234" s="106">
        <v>4.5599999999999996</v>
      </c>
      <c r="L234" s="107">
        <v>74208.97</v>
      </c>
      <c r="M234" s="108">
        <f t="shared" si="72"/>
        <v>12.010048305437508</v>
      </c>
      <c r="N234" s="108">
        <f t="shared" si="73"/>
        <v>8.1107636905741476</v>
      </c>
      <c r="O234" s="108">
        <f t="shared" si="74"/>
        <v>67.533147946640867</v>
      </c>
      <c r="P234" s="108">
        <f t="shared" si="75"/>
        <v>359.18805239058679</v>
      </c>
      <c r="Q234" s="108">
        <f t="shared" si="76"/>
        <v>23.315840784070005</v>
      </c>
      <c r="R234" s="108">
        <f t="shared" si="77"/>
        <v>29.458247936272421</v>
      </c>
      <c r="S234" s="101">
        <f t="shared" si="78"/>
        <v>45939</v>
      </c>
      <c r="T234" s="102" t="str">
        <f t="shared" si="79"/>
        <v>Octubre</v>
      </c>
      <c r="U234" s="102" t="str">
        <f t="shared" si="80"/>
        <v>Jueves</v>
      </c>
      <c r="V234" s="102">
        <f t="shared" si="81"/>
        <v>9</v>
      </c>
      <c r="W234" s="102" t="str">
        <f t="shared" si="82"/>
        <v>Resto del mes</v>
      </c>
      <c r="X234" s="102">
        <f t="shared" si="83"/>
        <v>27</v>
      </c>
      <c r="Y234" s="102" t="str">
        <f t="shared" si="84"/>
        <v>Sí</v>
      </c>
      <c r="Z234" s="102" t="str">
        <f>CHOOSE(MATCH(B234,{"Customer Appreciation","Exclusive Offers","Flash Sale","Holiday Discounts","New Product Launch","Newsletter"},0),"Fidelizar","Vender","Vender","Vender","Lanzar","Educar")</f>
        <v>Lanzar</v>
      </c>
      <c r="AA234" s="102" t="str">
        <f t="shared" si="85"/>
        <v>200 a 300 mil</v>
      </c>
      <c r="AB234" s="102">
        <f>COUNTIFS($E$5:$E$493,E234,$S$5:$S$493,"&lt;"&amp;S234)+COUNTIFS($E$5:E234,E234,$S$5:S234,S234)</f>
        <v>21</v>
      </c>
      <c r="AC234" s="102">
        <f t="shared" si="86"/>
        <v>33</v>
      </c>
      <c r="AD234" s="102" t="str">
        <f t="shared" si="87"/>
        <v>Medio</v>
      </c>
      <c r="AE234" s="103">
        <f t="shared" si="88"/>
        <v>-11.305792478632497</v>
      </c>
      <c r="AF234" s="102" t="str">
        <f t="shared" si="89"/>
        <v xml:space="preserve"> presentamos  nuestro último lanzamiento de belleza  imperdible  </v>
      </c>
      <c r="AG234" s="102" t="str">
        <f t="shared" si="90"/>
        <v xml:space="preserve"> una innovación que cambiará tu rutina   sé de los primeros  </v>
      </c>
      <c r="AH234" s="102" t="str">
        <f>IF(SUMPRODUCT(--(LEFT(IF(LEFT(LOWER(E234),1)="¡",MID(LOWER(E234),2,300),LOWER(E234)),LEN({"actualizaci","el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Sí</v>
      </c>
      <c r="AI234" s="102" t="str">
        <f>IF(OR(SUMPRODUCT(--ISNUMBER(SEARCH({"descuento","oferta","ahorr","precio"," sale ","flash","deals"},AF234)))&gt;0,SUMPRODUCT(--ISNUMBER(SEARCH({"descuento","oferta","ahorr","precio"," sale ","flash","deals"},AG234)))&gt;0),"Sí","No")</f>
        <v>No</v>
      </c>
      <c r="AJ234" s="102" t="str">
        <f>IF(SUMPRODUCT(--ISNUMBER(SEARCH({" hoy ","horas","tiempo limitado","antes de que","se acab","se agot","finalic","última oportunidad","oportunidad única","relámpago","express","no esperes","no volver","no parpadees"},AF234)))&gt;0,"Sí","No")</f>
        <v>No</v>
      </c>
      <c r="AK234" s="102" t="str">
        <f>IF(SUMPRODUCT(--ISNUMBER(SEARCH({" hoy ","horas","tiempo limitado","antes de que","se acab","se agot","finalic","última oportunidad","oportunidad única","relámpago","express","no esperes","no volver","no parpadees"},AG234)))&gt;0,"Sí","No")</f>
        <v>No</v>
      </c>
      <c r="AL234" s="102" t="str">
        <f t="shared" si="91"/>
        <v>Sin descuento</v>
      </c>
      <c r="AM234" s="102" t="str">
        <f>IF(SUMPRODUCT(--ISNUMBER(SEARCH({"0","1","2","3","4","5","6","7","8","9","favorit","maquillaje","piel","cabello","productos","belleza","regalo"},E234)))&gt;0,"Sí","No")</f>
        <v>Sí</v>
      </c>
      <c r="AN234" s="102" t="str">
        <f>IF(SUMPRODUCT(--ISNUMBER(SEARCH({"lo que tenemos","estas ofertas","algo especial","ofertas únicas","que preparamos","no te quedes","echa un vistazo"},F234)))&gt;0,"Sí","No")</f>
        <v>No</v>
      </c>
      <c r="AO234" s="102">
        <f t="shared" si="92"/>
        <v>63</v>
      </c>
      <c r="AP234" s="102">
        <f t="shared" si="93"/>
        <v>7</v>
      </c>
      <c r="AQ234" s="102">
        <f>SUMPRODUCT(LEN(E234)-LEN(SUBSTITUTE(E234,{"!","¡","?","¿",":",",",".","%","·","-",";"},"")))</f>
        <v>3</v>
      </c>
      <c r="AR234" s="102" t="str">
        <f t="shared" si="94"/>
        <v>No</v>
      </c>
      <c r="AS234" s="102" t="str">
        <f t="shared" si="95"/>
        <v>No</v>
      </c>
      <c r="AT234" s="102" t="str">
        <f>IF(SUMPRODUCT(--ISNUMBER(FIND({"0","1","2","3","4","5","6","7","8","9"},E234)))&gt;0,"Con cifra concreta",IF(OR(ISNUMBER(FIND("?",E234)),ISNUMBER(FIND("¿",E234))),"Pregunta abierta",IF(SUMPRODUCT(--ISNUMBER(SEARCH({" hoy ","horas","tiempo limitado","antes de que","se acab","se agot","finalic","última oportunidad","oportunidad única","relámpago","express","no esperes","no volver","no parpadees"," ya ","últimas horas","últimas unidades"," ahora "},AF234)))&gt;0,"Solo urgencia, sin cifra",IF(SUMPRODUCT(--ISNUMBER(SEARCH({"recompensa","sorpresa","regalo","lealtad","detalle","gracias","pensamos en ti","para ti"},E234)))&gt;0,"Recompensa o sorpresa","Otro: beneficio o novedad"))))</f>
        <v>Otro: beneficio o novedad</v>
      </c>
    </row>
    <row r="235" spans="1:46" x14ac:dyDescent="0.2">
      <c r="A235" s="96" t="s">
        <v>1106</v>
      </c>
      <c r="B235" s="96" t="s">
        <v>278</v>
      </c>
      <c r="C235" s="96" t="s">
        <v>830</v>
      </c>
      <c r="D235" s="96" t="s">
        <v>950</v>
      </c>
      <c r="E235" s="96" t="s">
        <v>467</v>
      </c>
      <c r="F235" s="96" t="s">
        <v>468</v>
      </c>
      <c r="G235" s="97">
        <v>213315</v>
      </c>
      <c r="H235" s="97">
        <v>98358</v>
      </c>
      <c r="I235" s="97">
        <v>41872</v>
      </c>
      <c r="J235" s="98">
        <v>4.17</v>
      </c>
      <c r="K235" s="98">
        <v>3.28</v>
      </c>
      <c r="L235" s="99">
        <v>54779.6</v>
      </c>
      <c r="M235" s="100">
        <f t="shared" si="72"/>
        <v>46.109275015821673</v>
      </c>
      <c r="N235" s="100">
        <f t="shared" si="73"/>
        <v>19.62918688324778</v>
      </c>
      <c r="O235" s="100">
        <f t="shared" si="74"/>
        <v>42.57101608410094</v>
      </c>
      <c r="P235" s="100">
        <f t="shared" si="75"/>
        <v>256.80144387408296</v>
      </c>
      <c r="Q235" s="100">
        <f t="shared" si="76"/>
        <v>30.93688234168668</v>
      </c>
      <c r="R235" s="100">
        <f t="shared" si="77"/>
        <v>29.458247936272421</v>
      </c>
      <c r="S235" s="101">
        <f t="shared" si="78"/>
        <v>45901</v>
      </c>
      <c r="T235" s="102" t="str">
        <f t="shared" si="79"/>
        <v>Septiembre</v>
      </c>
      <c r="U235" s="102" t="str">
        <f t="shared" si="80"/>
        <v>Lunes</v>
      </c>
      <c r="V235" s="102">
        <f t="shared" si="81"/>
        <v>14</v>
      </c>
      <c r="W235" s="102" t="str">
        <f t="shared" si="82"/>
        <v>Quincena</v>
      </c>
      <c r="X235" s="102">
        <f t="shared" si="83"/>
        <v>29</v>
      </c>
      <c r="Y235" s="102" t="str">
        <f t="shared" si="84"/>
        <v>Sí</v>
      </c>
      <c r="Z235" s="102" t="str">
        <f>CHOOSE(MATCH(B235,{"Customer Appreciation","Exclusive Offers","Flash Sale","Holiday Discounts","New Product Launch","Newsletter"},0),"Fidelizar","Vender","Vender","Vender","Lanzar","Educar")</f>
        <v>Lanzar</v>
      </c>
      <c r="AA235" s="102" t="str">
        <f t="shared" si="85"/>
        <v>200 a 300 mil</v>
      </c>
      <c r="AB235" s="102">
        <f>COUNTIFS($E$5:$E$493,E235,$S$5:$S$493,"&lt;"&amp;S235)+COUNTIFS($E$5:E235,E235,$S$5:S235,S235)</f>
        <v>7</v>
      </c>
      <c r="AC235" s="102">
        <f t="shared" si="86"/>
        <v>22</v>
      </c>
      <c r="AD235" s="102" t="str">
        <f t="shared" si="87"/>
        <v>Primer tercio</v>
      </c>
      <c r="AE235" s="103">
        <f t="shared" si="88"/>
        <v>15.172392674134993</v>
      </c>
      <c r="AF235" s="102" t="str">
        <f t="shared" si="89"/>
        <v xml:space="preserve">  lo nuevo de l'oréal  te va a encantar  innovación en belleza </v>
      </c>
      <c r="AG235" s="102" t="str">
        <f t="shared" si="90"/>
        <v xml:space="preserve"> prepárate para experimentar la innovación en tu belleza   descúbrela  </v>
      </c>
      <c r="AH235" s="102" t="str">
        <f>IF(SUMPRODUCT(--(LEFT(IF(LEFT(LOWER(E235),1)="¡",MID(LOWER(E235),2,300),LOWER(E235)),LEN({"actualizaci","el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235" s="102" t="str">
        <f>IF(OR(SUMPRODUCT(--ISNUMBER(SEARCH({"descuento","oferta","ahorr","precio"," sale ","flash","deals"},AF235)))&gt;0,SUMPRODUCT(--ISNUMBER(SEARCH({"descuento","oferta","ahorr","precio"," sale ","flash","deals"},AG235)))&gt;0),"Sí","No")</f>
        <v>No</v>
      </c>
      <c r="AJ235" s="102" t="str">
        <f>IF(SUMPRODUCT(--ISNUMBER(SEARCH({" hoy ","horas","tiempo limitado","antes de que","se acab","se agot","finalic","última oportunidad","oportunidad única","relámpago","express","no esperes","no volver","no parpadees"},AF235)))&gt;0,"Sí","No")</f>
        <v>No</v>
      </c>
      <c r="AK235" s="102" t="str">
        <f>IF(SUMPRODUCT(--ISNUMBER(SEARCH({" hoy ","horas","tiempo limitado","antes de que","se acab","se agot","finalic","última oportunidad","oportunidad única","relámpago","express","no esperes","no volver","no parpadees"},AG235)))&gt;0,"Sí","No")</f>
        <v>No</v>
      </c>
      <c r="AL235" s="102" t="str">
        <f t="shared" si="91"/>
        <v>Sin descuento</v>
      </c>
      <c r="AM235" s="102" t="str">
        <f>IF(SUMPRODUCT(--ISNUMBER(SEARCH({"0","1","2","3","4","5","6","7","8","9","favorit","maquillaje","piel","cabello","productos","belleza","regalo"},E235)))&gt;0,"Sí","No")</f>
        <v>Sí</v>
      </c>
      <c r="AN235" s="102" t="str">
        <f>IF(SUMPRODUCT(--ISNUMBER(SEARCH({"lo que tenemos","estas ofertas","algo especial","ofertas únicas","que preparamos","no te quedes","echa un vistazo"},F235)))&gt;0,"Sí","No")</f>
        <v>No</v>
      </c>
      <c r="AO235" s="102">
        <f t="shared" si="92"/>
        <v>61</v>
      </c>
      <c r="AP235" s="102">
        <f t="shared" si="93"/>
        <v>11</v>
      </c>
      <c r="AQ235" s="102">
        <f>SUMPRODUCT(LEN(E235)-LEN(SUBSTITUTE(E235,{"!","¡","?","¿",":",",",".","%","·","-",";"},"")))</f>
        <v>3</v>
      </c>
      <c r="AR235" s="102" t="str">
        <f t="shared" si="94"/>
        <v>No</v>
      </c>
      <c r="AS235" s="102" t="str">
        <f t="shared" si="95"/>
        <v>No</v>
      </c>
      <c r="AT235" s="102" t="str">
        <f>IF(SUMPRODUCT(--ISNUMBER(FIND({"0","1","2","3","4","5","6","7","8","9"},E235)))&gt;0,"Con cifra concreta",IF(OR(ISNUMBER(FIND("?",E235)),ISNUMBER(FIND("¿",E235))),"Pregunta abierta",IF(SUMPRODUCT(--ISNUMBER(SEARCH({" hoy ","horas","tiempo limitado","antes de que","se acab","se agot","finalic","última oportunidad","oportunidad única","relámpago","express","no esperes","no volver","no parpadees"," ya ","últimas horas","últimas unidades"," ahora "},AF235)))&gt;0,"Solo urgencia, sin cifra",IF(SUMPRODUCT(--ISNUMBER(SEARCH({"recompensa","sorpresa","regalo","lealtad","detalle","gracias","pensamos en ti","para ti"},E235)))&gt;0,"Recompensa o sorpresa","Otro: beneficio o novedad"))))</f>
        <v>Otro: beneficio o novedad</v>
      </c>
    </row>
    <row r="236" spans="1:46" x14ac:dyDescent="0.2">
      <c r="A236" s="104" t="s">
        <v>1107</v>
      </c>
      <c r="B236" s="104" t="s">
        <v>276</v>
      </c>
      <c r="C236" s="104" t="s">
        <v>742</v>
      </c>
      <c r="D236" s="104" t="s">
        <v>702</v>
      </c>
      <c r="E236" s="104" t="s">
        <v>474</v>
      </c>
      <c r="F236" s="104" t="s">
        <v>475</v>
      </c>
      <c r="G236" s="105">
        <v>111285</v>
      </c>
      <c r="H236" s="105">
        <v>19584</v>
      </c>
      <c r="I236" s="105">
        <v>13377</v>
      </c>
      <c r="J236" s="106">
        <v>3.83</v>
      </c>
      <c r="K236" s="106">
        <v>0.56999999999999995</v>
      </c>
      <c r="L236" s="107">
        <v>23557.27</v>
      </c>
      <c r="M236" s="108">
        <f t="shared" si="72"/>
        <v>17.598059037606145</v>
      </c>
      <c r="N236" s="108">
        <f t="shared" si="73"/>
        <v>12.020487936379567</v>
      </c>
      <c r="O236" s="108">
        <f t="shared" si="74"/>
        <v>68.305759803921575</v>
      </c>
      <c r="P236" s="108">
        <f t="shared" si="75"/>
        <v>211.68414431414837</v>
      </c>
      <c r="Q236" s="108">
        <f t="shared" si="76"/>
        <v>22.775066640377752</v>
      </c>
      <c r="R236" s="108">
        <f t="shared" si="77"/>
        <v>29.440902453236173</v>
      </c>
      <c r="S236" s="101">
        <f t="shared" si="78"/>
        <v>45948</v>
      </c>
      <c r="T236" s="102" t="str">
        <f t="shared" si="79"/>
        <v>Octubre</v>
      </c>
      <c r="U236" s="102" t="str">
        <f t="shared" si="80"/>
        <v>Sábado</v>
      </c>
      <c r="V236" s="102">
        <f t="shared" si="81"/>
        <v>16</v>
      </c>
      <c r="W236" s="102" t="str">
        <f t="shared" si="82"/>
        <v>Días después del pago</v>
      </c>
      <c r="X236" s="102">
        <f t="shared" si="83"/>
        <v>27</v>
      </c>
      <c r="Y236" s="102" t="str">
        <f t="shared" si="84"/>
        <v>Sí</v>
      </c>
      <c r="Z236" s="102" t="str">
        <f>CHOOSE(MATCH(B236,{"Customer Appreciation","Exclusive Offers","Flash Sale","Holiday Discounts","New Product Launch","Newsletter"},0),"Fidelizar","Vender","Vender","Vender","Lanzar","Educar")</f>
        <v>Vender</v>
      </c>
      <c r="AA236" s="102" t="str">
        <f t="shared" si="85"/>
        <v>100 a 200 mil</v>
      </c>
      <c r="AB236" s="102">
        <f>COUNTIFS($E$5:$E$493,E236,$S$5:$S$493,"&lt;"&amp;S236)+COUNTIFS($E$5:E236,E236,$S$5:S236,S236)</f>
        <v>19</v>
      </c>
      <c r="AC236" s="102">
        <f t="shared" si="86"/>
        <v>20</v>
      </c>
      <c r="AD236" s="102" t="str">
        <f t="shared" si="87"/>
        <v>Último tercio</v>
      </c>
      <c r="AE236" s="103">
        <f t="shared" si="88"/>
        <v>-5.1770076027716065</v>
      </c>
      <c r="AF236" s="102" t="str">
        <f t="shared" si="89"/>
        <v xml:space="preserve">  aprovecha antes de que se acabe  oferta flash  productos top </v>
      </c>
      <c r="AG236" s="102" t="str">
        <f t="shared" si="90"/>
        <v xml:space="preserve"> grandes descuentos por tiempo limitado   no te lo pierdas  </v>
      </c>
      <c r="AH236" s="102" t="str">
        <f>IF(SUMPRODUCT(--(LEFT(IF(LEFT(LOWER(E236),1)="¡",MID(LOWER(E236),2,300),LOWER(E236)),LEN({"actualizaci","el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236" s="102" t="str">
        <f>IF(OR(SUMPRODUCT(--ISNUMBER(SEARCH({"descuento","oferta","ahorr","precio"," sale ","flash","deals"},AF236)))&gt;0,SUMPRODUCT(--ISNUMBER(SEARCH({"descuento","oferta","ahorr","precio"," sale ","flash","deals"},AG236)))&gt;0),"Sí","No")</f>
        <v>Sí</v>
      </c>
      <c r="AJ236" s="102" t="str">
        <f>IF(SUMPRODUCT(--ISNUMBER(SEARCH({" hoy ","horas","tiempo limitado","antes de que","se acab","se agot","finalic","última oportunidad","oportunidad única","relámpago","express","no esperes","no volver","no parpadees"},AF236)))&gt;0,"Sí","No")</f>
        <v>Sí</v>
      </c>
      <c r="AK236" s="102" t="str">
        <f>IF(SUMPRODUCT(--ISNUMBER(SEARCH({" hoy ","horas","tiempo limitado","antes de que","se acab","se agot","finalic","última oportunidad","oportunidad única","relámpago","express","no esperes","no volver","no parpadees"},AG236)))&gt;0,"Sí","No")</f>
        <v>Sí</v>
      </c>
      <c r="AL236" s="102" t="str">
        <f t="shared" si="91"/>
        <v>Descuento con tiempo límite en el asunto</v>
      </c>
      <c r="AM236" s="102" t="str">
        <f>IF(SUMPRODUCT(--ISNUMBER(SEARCH({"0","1","2","3","4","5","6","7","8","9","favorit","maquillaje","piel","cabello","productos","belleza","regalo"},E236)))&gt;0,"Sí","No")</f>
        <v>Sí</v>
      </c>
      <c r="AN236" s="102" t="str">
        <f>IF(SUMPRODUCT(--ISNUMBER(SEARCH({"lo que tenemos","estas ofertas","algo especial","ofertas únicas","que preparamos","no te quedes","echa un vistazo"},F236)))&gt;0,"Sí","No")</f>
        <v>No</v>
      </c>
      <c r="AO236" s="102">
        <f t="shared" si="92"/>
        <v>61</v>
      </c>
      <c r="AP236" s="102">
        <f t="shared" si="93"/>
        <v>10</v>
      </c>
      <c r="AQ236" s="102">
        <f>SUMPRODUCT(LEN(E236)-LEN(SUBSTITUTE(E236,{"!","¡","?","¿",":",",",".","%","·","-",";"},"")))</f>
        <v>3</v>
      </c>
      <c r="AR236" s="102" t="str">
        <f t="shared" si="94"/>
        <v>No</v>
      </c>
      <c r="AS236" s="102" t="str">
        <f t="shared" si="95"/>
        <v>No</v>
      </c>
      <c r="AT236" s="102" t="str">
        <f>IF(SUMPRODUCT(--ISNUMBER(FIND({"0","1","2","3","4","5","6","7","8","9"},E236)))&gt;0,"Con cifra concreta",IF(OR(ISNUMBER(FIND("?",E236)),ISNUMBER(FIND("¿",E236))),"Pregunta abierta",IF(SUMPRODUCT(--ISNUMBER(SEARCH({" hoy ","horas","tiempo limitado","antes de que","se acab","se agot","finalic","última oportunidad","oportunidad única","relámpago","express","no esperes","no volver","no parpadees"," ya ","últimas horas","últimas unidades"," ahora "},AF236)))&gt;0,"Solo urgencia, sin cifra",IF(SUMPRODUCT(--ISNUMBER(SEARCH({"recompensa","sorpresa","regalo","lealtad","detalle","gracias","pensamos en ti","para ti"},E236)))&gt;0,"Recompensa o sorpresa","Otro: beneficio o novedad"))))</f>
        <v>Solo urgencia, sin cifra</v>
      </c>
    </row>
    <row r="237" spans="1:46" x14ac:dyDescent="0.2">
      <c r="A237" s="96" t="s">
        <v>1108</v>
      </c>
      <c r="B237" s="96" t="s">
        <v>277</v>
      </c>
      <c r="C237" s="96" t="s">
        <v>773</v>
      </c>
      <c r="D237" s="96" t="s">
        <v>707</v>
      </c>
      <c r="E237" s="96" t="s">
        <v>461</v>
      </c>
      <c r="F237" s="96" t="s">
        <v>462</v>
      </c>
      <c r="G237" s="97">
        <v>136060</v>
      </c>
      <c r="H237" s="97">
        <v>63339</v>
      </c>
      <c r="I237" s="97">
        <v>8584</v>
      </c>
      <c r="J237" s="98">
        <v>3.17</v>
      </c>
      <c r="K237" s="98">
        <v>3.06</v>
      </c>
      <c r="L237" s="99">
        <v>84064.47</v>
      </c>
      <c r="M237" s="100">
        <f t="shared" si="72"/>
        <v>46.552256357489341</v>
      </c>
      <c r="N237" s="100">
        <f t="shared" si="73"/>
        <v>6.3089813317653984</v>
      </c>
      <c r="O237" s="100">
        <f t="shared" si="74"/>
        <v>13.55247162096023</v>
      </c>
      <c r="P237" s="100">
        <f t="shared" si="75"/>
        <v>617.84852271056889</v>
      </c>
      <c r="Q237" s="100">
        <f t="shared" si="76"/>
        <v>35.409886702202286</v>
      </c>
      <c r="R237" s="100">
        <f t="shared" si="77"/>
        <v>30.71114383300629</v>
      </c>
      <c r="S237" s="101">
        <f t="shared" si="78"/>
        <v>45909</v>
      </c>
      <c r="T237" s="102" t="str">
        <f t="shared" si="79"/>
        <v>Septiembre</v>
      </c>
      <c r="U237" s="102" t="str">
        <f t="shared" si="80"/>
        <v>Martes</v>
      </c>
      <c r="V237" s="102">
        <f t="shared" si="81"/>
        <v>13</v>
      </c>
      <c r="W237" s="102" t="str">
        <f t="shared" si="82"/>
        <v>Resto del mes</v>
      </c>
      <c r="X237" s="102">
        <f t="shared" si="83"/>
        <v>28</v>
      </c>
      <c r="Y237" s="102" t="str">
        <f t="shared" si="84"/>
        <v>Sí</v>
      </c>
      <c r="Z237" s="102" t="str">
        <f>CHOOSE(MATCH(B237,{"Customer Appreciation","Exclusive Offers","Flash Sale","Holiday Discounts","New Product Launch","Newsletter"},0),"Fidelizar","Vender","Vender","Vender","Lanzar","Educar")</f>
        <v>Vender</v>
      </c>
      <c r="AA237" s="102" t="str">
        <f t="shared" si="85"/>
        <v>100 a 200 mil</v>
      </c>
      <c r="AB237" s="102">
        <f>COUNTIFS($E$5:$E$493,E237,$S$5:$S$493,"&lt;"&amp;S237)+COUNTIFS($E$5:E237,E237,$S$5:S237,S237)</f>
        <v>16</v>
      </c>
      <c r="AC237" s="102">
        <f t="shared" si="86"/>
        <v>30</v>
      </c>
      <c r="AD237" s="102" t="str">
        <f t="shared" si="87"/>
        <v>Medio</v>
      </c>
      <c r="AE237" s="103">
        <f t="shared" si="88"/>
        <v>11.142369655287055</v>
      </c>
      <c r="AF237" s="102" t="str">
        <f t="shared" si="89"/>
        <v xml:space="preserve">  regalos perfectos te esperan  descuentos de lujo  l'oréal </v>
      </c>
      <c r="AG237" s="102" t="str">
        <f t="shared" si="90"/>
        <v xml:space="preserve"> encuentra ese detalle especial para ti o tus seres queridos   descubre  </v>
      </c>
      <c r="AH237" s="102" t="str">
        <f>IF(SUMPRODUCT(--(LEFT(IF(LEFT(LOWER(E237),1)="¡",MID(LOWER(E237),2,300),LOWER(E237)),LEN({"actualizaci","el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237" s="102" t="str">
        <f>IF(OR(SUMPRODUCT(--ISNUMBER(SEARCH({"descuento","oferta","ahorr","precio"," sale ","flash","deals"},AF237)))&gt;0,SUMPRODUCT(--ISNUMBER(SEARCH({"descuento","oferta","ahorr","precio"," sale ","flash","deals"},AG237)))&gt;0),"Sí","No")</f>
        <v>Sí</v>
      </c>
      <c r="AJ237" s="102" t="str">
        <f>IF(SUMPRODUCT(--ISNUMBER(SEARCH({" hoy ","horas","tiempo limitado","antes de que","se acab","se agot","finalic","última oportunidad","oportunidad única","relámpago","express","no esperes","no volver","no parpadees"},AF237)))&gt;0,"Sí","No")</f>
        <v>No</v>
      </c>
      <c r="AK237" s="102" t="str">
        <f>IF(SUMPRODUCT(--ISNUMBER(SEARCH({" hoy ","horas","tiempo limitado","antes de que","se acab","se agot","finalic","última oportunidad","oportunidad única","relámpago","express","no esperes","no volver","no parpadees"},AG237)))&gt;0,"Sí","No")</f>
        <v>No</v>
      </c>
      <c r="AL237" s="102" t="str">
        <f t="shared" si="91"/>
        <v>Descuento sin tiempo límite</v>
      </c>
      <c r="AM237" s="102" t="str">
        <f>IF(SUMPRODUCT(--ISNUMBER(SEARCH({"0","1","2","3","4","5","6","7","8","9","favorit","maquillaje","piel","cabello","productos","belleza","regalo"},E237)))&gt;0,"Sí","No")</f>
        <v>Sí</v>
      </c>
      <c r="AN237" s="102" t="str">
        <f>IF(SUMPRODUCT(--ISNUMBER(SEARCH({"lo que tenemos","estas ofertas","algo especial","ofertas únicas","que preparamos","no te quedes","echa un vistazo"},F237)))&gt;0,"Sí","No")</f>
        <v>No</v>
      </c>
      <c r="AO237" s="102">
        <f t="shared" si="92"/>
        <v>58</v>
      </c>
      <c r="AP237" s="102">
        <f t="shared" si="93"/>
        <v>8</v>
      </c>
      <c r="AQ237" s="102">
        <f>SUMPRODUCT(LEN(E237)-LEN(SUBSTITUTE(E237,{"!","¡","?","¿",":",",",".","%","·","-",";"},"")))</f>
        <v>3</v>
      </c>
      <c r="AR237" s="102" t="str">
        <f t="shared" si="94"/>
        <v>Sí</v>
      </c>
      <c r="AS237" s="102" t="str">
        <f t="shared" si="95"/>
        <v>No</v>
      </c>
      <c r="AT237" s="102" t="str">
        <f>IF(SUMPRODUCT(--ISNUMBER(FIND({"0","1","2","3","4","5","6","7","8","9"},E237)))&gt;0,"Con cifra concreta",IF(OR(ISNUMBER(FIND("?",E237)),ISNUMBER(FIND("¿",E237))),"Pregunta abierta",IF(SUMPRODUCT(--ISNUMBER(SEARCH({" hoy ","horas","tiempo limitado","antes de que","se acab","se agot","finalic","última oportunidad","oportunidad única","relámpago","express","no esperes","no volver","no parpadees"," ya ","últimas horas","últimas unidades"," ahora "},AF237)))&gt;0,"Solo urgencia, sin cifra",IF(SUMPRODUCT(--ISNUMBER(SEARCH({"recompensa","sorpresa","regalo","lealtad","detalle","gracias","pensamos en ti","para ti"},E237)))&gt;0,"Recompensa o sorpresa","Otro: beneficio o novedad"))))</f>
        <v>Recompensa o sorpresa</v>
      </c>
    </row>
    <row r="238" spans="1:46" x14ac:dyDescent="0.2">
      <c r="A238" s="104" t="s">
        <v>1109</v>
      </c>
      <c r="B238" s="104" t="s">
        <v>278</v>
      </c>
      <c r="C238" s="104" t="s">
        <v>980</v>
      </c>
      <c r="D238" s="104" t="s">
        <v>824</v>
      </c>
      <c r="E238" s="104" t="s">
        <v>368</v>
      </c>
      <c r="F238" s="104" t="s">
        <v>471</v>
      </c>
      <c r="G238" s="105">
        <v>6788</v>
      </c>
      <c r="H238" s="105">
        <v>2207</v>
      </c>
      <c r="I238" s="105">
        <v>612</v>
      </c>
      <c r="J238" s="106">
        <v>0.63</v>
      </c>
      <c r="K238" s="106">
        <v>1.24</v>
      </c>
      <c r="L238" s="107">
        <v>28855.88</v>
      </c>
      <c r="M238" s="108">
        <f t="shared" si="72"/>
        <v>32.513258691809078</v>
      </c>
      <c r="N238" s="108">
        <f t="shared" si="73"/>
        <v>9.015910430170889</v>
      </c>
      <c r="O238" s="108">
        <f t="shared" si="74"/>
        <v>27.729950158586313</v>
      </c>
      <c r="P238" s="108">
        <f t="shared" si="75"/>
        <v>4251.0135533294051</v>
      </c>
      <c r="Q238" s="108">
        <f t="shared" si="76"/>
        <v>23.315840784070005</v>
      </c>
      <c r="R238" s="108">
        <f t="shared" si="77"/>
        <v>29.458247936272421</v>
      </c>
      <c r="S238" s="101">
        <f t="shared" si="78"/>
        <v>45875</v>
      </c>
      <c r="T238" s="102" t="str">
        <f t="shared" si="79"/>
        <v>Agosto</v>
      </c>
      <c r="U238" s="102" t="str">
        <f t="shared" si="80"/>
        <v>Miércoles</v>
      </c>
      <c r="V238" s="102">
        <f t="shared" si="81"/>
        <v>10</v>
      </c>
      <c r="W238" s="102" t="str">
        <f t="shared" si="82"/>
        <v>Resto del mes</v>
      </c>
      <c r="X238" s="102">
        <f t="shared" si="83"/>
        <v>28</v>
      </c>
      <c r="Y238" s="102" t="str">
        <f t="shared" si="84"/>
        <v>Sí</v>
      </c>
      <c r="Z238" s="102" t="str">
        <f>CHOOSE(MATCH(B238,{"Customer Appreciation","Exclusive Offers","Flash Sale","Holiday Discounts","New Product Launch","Newsletter"},0),"Fidelizar","Vender","Vender","Vender","Lanzar","Educar")</f>
        <v>Lanzar</v>
      </c>
      <c r="AA238" s="102" t="str">
        <f t="shared" si="85"/>
        <v>Menos de 100 mil</v>
      </c>
      <c r="AB238" s="102">
        <f>COUNTIFS($E$5:$E$493,E238,$S$5:$S$493,"&lt;"&amp;S238)+COUNTIFS($E$5:E238,E238,$S$5:S238,S238)</f>
        <v>2</v>
      </c>
      <c r="AC238" s="102">
        <f t="shared" si="86"/>
        <v>33</v>
      </c>
      <c r="AD238" s="102" t="str">
        <f t="shared" si="87"/>
        <v>Primer tercio</v>
      </c>
      <c r="AE238" s="103">
        <f t="shared" si="88"/>
        <v>9.197417907739073</v>
      </c>
      <c r="AF238" s="102" t="str">
        <f t="shared" si="89"/>
        <v xml:space="preserve"> presentamos  nuestro último lanzamiento de belleza  imperdible  </v>
      </c>
      <c r="AG238" s="102" t="str">
        <f t="shared" si="90"/>
        <v xml:space="preserve"> una innovación que cambiará tu rutina   sé de los primeros  </v>
      </c>
      <c r="AH238" s="102" t="str">
        <f>IF(SUMPRODUCT(--(LEFT(IF(LEFT(LOWER(E238),1)="¡",MID(LOWER(E238),2,300),LOWER(E238)),LEN({"actualizaci","el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Sí</v>
      </c>
      <c r="AI238" s="102" t="str">
        <f>IF(OR(SUMPRODUCT(--ISNUMBER(SEARCH({"descuento","oferta","ahorr","precio"," sale ","flash","deals"},AF238)))&gt;0,SUMPRODUCT(--ISNUMBER(SEARCH({"descuento","oferta","ahorr","precio"," sale ","flash","deals"},AG238)))&gt;0),"Sí","No")</f>
        <v>No</v>
      </c>
      <c r="AJ238" s="102" t="str">
        <f>IF(SUMPRODUCT(--ISNUMBER(SEARCH({" hoy ","horas","tiempo limitado","antes de que","se acab","se agot","finalic","última oportunidad","oportunidad única","relámpago","express","no esperes","no volver","no parpadees"},AF238)))&gt;0,"Sí","No")</f>
        <v>No</v>
      </c>
      <c r="AK238" s="102" t="str">
        <f>IF(SUMPRODUCT(--ISNUMBER(SEARCH({" hoy ","horas","tiempo limitado","antes de que","se acab","se agot","finalic","última oportunidad","oportunidad única","relámpago","express","no esperes","no volver","no parpadees"},AG238)))&gt;0,"Sí","No")</f>
        <v>No</v>
      </c>
      <c r="AL238" s="102" t="str">
        <f t="shared" si="91"/>
        <v>Sin descuento</v>
      </c>
      <c r="AM238" s="102" t="str">
        <f>IF(SUMPRODUCT(--ISNUMBER(SEARCH({"0","1","2","3","4","5","6","7","8","9","favorit","maquillaje","piel","cabello","productos","belleza","regalo"},E238)))&gt;0,"Sí","No")</f>
        <v>Sí</v>
      </c>
      <c r="AN238" s="102" t="str">
        <f>IF(SUMPRODUCT(--ISNUMBER(SEARCH({"lo que tenemos","estas ofertas","algo especial","ofertas únicas","que preparamos","no te quedes","echa un vistazo"},F238)))&gt;0,"Sí","No")</f>
        <v>No</v>
      </c>
      <c r="AO238" s="102">
        <f t="shared" si="92"/>
        <v>63</v>
      </c>
      <c r="AP238" s="102">
        <f t="shared" si="93"/>
        <v>7</v>
      </c>
      <c r="AQ238" s="102">
        <f>SUMPRODUCT(LEN(E238)-LEN(SUBSTITUTE(E238,{"!","¡","?","¿",":",",",".","%","·","-",";"},"")))</f>
        <v>3</v>
      </c>
      <c r="AR238" s="102" t="str">
        <f t="shared" si="94"/>
        <v>No</v>
      </c>
      <c r="AS238" s="102" t="str">
        <f t="shared" si="95"/>
        <v>No</v>
      </c>
      <c r="AT238" s="102" t="str">
        <f>IF(SUMPRODUCT(--ISNUMBER(FIND({"0","1","2","3","4","5","6","7","8","9"},E238)))&gt;0,"Con cifra concreta",IF(OR(ISNUMBER(FIND("?",E238)),ISNUMBER(FIND("¿",E238))),"Pregunta abierta",IF(SUMPRODUCT(--ISNUMBER(SEARCH({" hoy ","horas","tiempo limitado","antes de que","se acab","se agot","finalic","última oportunidad","oportunidad única","relámpago","express","no esperes","no volver","no parpadees"," ya ","últimas horas","últimas unidades"," ahora "},AF238)))&gt;0,"Solo urgencia, sin cifra",IF(SUMPRODUCT(--ISNUMBER(SEARCH({"recompensa","sorpresa","regalo","lealtad","detalle","gracias","pensamos en ti","para ti"},E238)))&gt;0,"Recompensa o sorpresa","Otro: beneficio o novedad"))))</f>
        <v>Otro: beneficio o novedad</v>
      </c>
    </row>
    <row r="239" spans="1:46" x14ac:dyDescent="0.2">
      <c r="A239" s="96" t="s">
        <v>1110</v>
      </c>
      <c r="B239" s="96" t="s">
        <v>278</v>
      </c>
      <c r="C239" s="96" t="s">
        <v>815</v>
      </c>
      <c r="D239" s="96" t="s">
        <v>764</v>
      </c>
      <c r="E239" s="96" t="s">
        <v>367</v>
      </c>
      <c r="F239" s="96" t="s">
        <v>458</v>
      </c>
      <c r="G239" s="97">
        <v>479026</v>
      </c>
      <c r="H239" s="97">
        <v>182604</v>
      </c>
      <c r="I239" s="97">
        <v>93270</v>
      </c>
      <c r="J239" s="98">
        <v>3.29</v>
      </c>
      <c r="K239" s="98">
        <v>2.7</v>
      </c>
      <c r="L239" s="99">
        <v>1984.81</v>
      </c>
      <c r="M239" s="100">
        <f t="shared" si="72"/>
        <v>38.119851532067152</v>
      </c>
      <c r="N239" s="100">
        <f t="shared" si="73"/>
        <v>19.470759415981593</v>
      </c>
      <c r="O239" s="100">
        <f t="shared" si="74"/>
        <v>51.077741999079976</v>
      </c>
      <c r="P239" s="100">
        <f t="shared" si="75"/>
        <v>4.1434285404132556</v>
      </c>
      <c r="Q239" s="100">
        <f t="shared" si="76"/>
        <v>36.132518317209367</v>
      </c>
      <c r="R239" s="100">
        <f t="shared" si="77"/>
        <v>29.458247936272421</v>
      </c>
      <c r="S239" s="101">
        <f t="shared" si="78"/>
        <v>45959</v>
      </c>
      <c r="T239" s="102" t="str">
        <f t="shared" si="79"/>
        <v>Octubre</v>
      </c>
      <c r="U239" s="102" t="str">
        <f t="shared" si="80"/>
        <v>Miércoles</v>
      </c>
      <c r="V239" s="102">
        <f t="shared" si="81"/>
        <v>15</v>
      </c>
      <c r="W239" s="102" t="str">
        <f t="shared" si="82"/>
        <v>Resto del mes</v>
      </c>
      <c r="X239" s="102">
        <f t="shared" si="83"/>
        <v>27</v>
      </c>
      <c r="Y239" s="102" t="str">
        <f t="shared" si="84"/>
        <v>Sí</v>
      </c>
      <c r="Z239" s="102" t="str">
        <f>CHOOSE(MATCH(B239,{"Customer Appreciation","Exclusive Offers","Flash Sale","Holiday Discounts","New Product Launch","Newsletter"},0),"Fidelizar","Vender","Vender","Vender","Lanzar","Educar")</f>
        <v>Lanzar</v>
      </c>
      <c r="AA239" s="102" t="str">
        <f t="shared" si="85"/>
        <v>Más de 400 mil</v>
      </c>
      <c r="AB239" s="102">
        <f>COUNTIFS($E$5:$E$493,E239,$S$5:$S$493,"&lt;"&amp;S239)+COUNTIFS($E$5:E239,E239,$S$5:S239,S239)</f>
        <v>24</v>
      </c>
      <c r="AC239" s="102">
        <f t="shared" si="86"/>
        <v>25</v>
      </c>
      <c r="AD239" s="102" t="str">
        <f t="shared" si="87"/>
        <v>Último tercio</v>
      </c>
      <c r="AE239" s="103">
        <f t="shared" si="88"/>
        <v>1.9873332148577845</v>
      </c>
      <c r="AF239" s="102" t="str">
        <f t="shared" si="89"/>
        <v xml:space="preserve">  el futuro de tu piel ha llegado  nuevo producto revolucionario </v>
      </c>
      <c r="AG239" s="102" t="str">
        <f t="shared" si="90"/>
        <v xml:space="preserve"> una fórmula revolucionaria para resultados visibles   compruébalo  </v>
      </c>
      <c r="AH239" s="102" t="str">
        <f>IF(SUMPRODUCT(--(LEFT(IF(LEFT(LOWER(E239),1)="¡",MID(LOWER(E239),2,300),LOWER(E239)),LEN({"actualizaci","el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239" s="102" t="str">
        <f>IF(OR(SUMPRODUCT(--ISNUMBER(SEARCH({"descuento","oferta","ahorr","precio"," sale ","flash","deals"},AF239)))&gt;0,SUMPRODUCT(--ISNUMBER(SEARCH({"descuento","oferta","ahorr","precio"," sale ","flash","deals"},AG239)))&gt;0),"Sí","No")</f>
        <v>No</v>
      </c>
      <c r="AJ239" s="102" t="str">
        <f>IF(SUMPRODUCT(--ISNUMBER(SEARCH({" hoy ","horas","tiempo limitado","antes de que","se acab","se agot","finalic","última oportunidad","oportunidad única","relámpago","express","no esperes","no volver","no parpadees"},AF239)))&gt;0,"Sí","No")</f>
        <v>No</v>
      </c>
      <c r="AK239" s="102" t="str">
        <f>IF(SUMPRODUCT(--ISNUMBER(SEARCH({" hoy ","horas","tiempo limitado","antes de que","se acab","se agot","finalic","última oportunidad","oportunidad única","relámpago","express","no esperes","no volver","no parpadees"},AG239)))&gt;0,"Sí","No")</f>
        <v>No</v>
      </c>
      <c r="AL239" s="102" t="str">
        <f t="shared" si="91"/>
        <v>Sin descuento</v>
      </c>
      <c r="AM239" s="102" t="str">
        <f>IF(SUMPRODUCT(--ISNUMBER(SEARCH({"0","1","2","3","4","5","6","7","8","9","favorit","maquillaje","piel","cabello","productos","belleza","regalo"},E239)))&gt;0,"Sí","No")</f>
        <v>Sí</v>
      </c>
      <c r="AN239" s="102" t="str">
        <f>IF(SUMPRODUCT(--ISNUMBER(SEARCH({"lo que tenemos","estas ofertas","algo especial","ofertas únicas","que preparamos","no te quedes","echa un vistazo"},F239)))&gt;0,"Sí","No")</f>
        <v>No</v>
      </c>
      <c r="AO239" s="102">
        <f t="shared" si="92"/>
        <v>63</v>
      </c>
      <c r="AP239" s="102">
        <f t="shared" si="93"/>
        <v>10</v>
      </c>
      <c r="AQ239" s="102">
        <f>SUMPRODUCT(LEN(E239)-LEN(SUBSTITUTE(E239,{"!","¡","?","¿",":",",",".","%","·","-",";"},"")))</f>
        <v>2</v>
      </c>
      <c r="AR239" s="102" t="str">
        <f t="shared" si="94"/>
        <v>No</v>
      </c>
      <c r="AS239" s="102" t="str">
        <f t="shared" si="95"/>
        <v>No</v>
      </c>
      <c r="AT239" s="102" t="str">
        <f>IF(SUMPRODUCT(--ISNUMBER(FIND({"0","1","2","3","4","5","6","7","8","9"},E239)))&gt;0,"Con cifra concreta",IF(OR(ISNUMBER(FIND("?",E239)),ISNUMBER(FIND("¿",E239))),"Pregunta abierta",IF(SUMPRODUCT(--ISNUMBER(SEARCH({" hoy ","horas","tiempo limitado","antes de que","se acab","se agot","finalic","última oportunidad","oportunidad única","relámpago","express","no esperes","no volver","no parpadees"," ya ","últimas horas","últimas unidades"," ahora "},AF239)))&gt;0,"Solo urgencia, sin cifra",IF(SUMPRODUCT(--ISNUMBER(SEARCH({"recompensa","sorpresa","regalo","lealtad","detalle","gracias","pensamos en ti","para ti"},E239)))&gt;0,"Recompensa o sorpresa","Otro: beneficio o novedad"))))</f>
        <v>Otro: beneficio o novedad</v>
      </c>
    </row>
    <row r="240" spans="1:46" x14ac:dyDescent="0.2">
      <c r="A240" s="104" t="s">
        <v>1111</v>
      </c>
      <c r="B240" s="104" t="s">
        <v>274</v>
      </c>
      <c r="C240" s="104" t="s">
        <v>869</v>
      </c>
      <c r="D240" s="104" t="s">
        <v>821</v>
      </c>
      <c r="E240" s="104" t="s">
        <v>371</v>
      </c>
      <c r="F240" s="104" t="s">
        <v>452</v>
      </c>
      <c r="G240" s="105">
        <v>333801</v>
      </c>
      <c r="H240" s="105">
        <v>163659</v>
      </c>
      <c r="I240" s="105">
        <v>11425</v>
      </c>
      <c r="J240" s="106">
        <v>1.02</v>
      </c>
      <c r="K240" s="106">
        <v>3.53</v>
      </c>
      <c r="L240" s="107">
        <v>80821.23</v>
      </c>
      <c r="M240" s="108">
        <f t="shared" si="72"/>
        <v>49.028912435852504</v>
      </c>
      <c r="N240" s="108">
        <f t="shared" si="73"/>
        <v>3.422697954769458</v>
      </c>
      <c r="O240" s="108">
        <f t="shared" si="74"/>
        <v>6.9809787423850818</v>
      </c>
      <c r="P240" s="108">
        <f t="shared" si="75"/>
        <v>242.1239900419711</v>
      </c>
      <c r="Q240" s="108">
        <f t="shared" si="76"/>
        <v>40.72142758959253</v>
      </c>
      <c r="R240" s="108">
        <f t="shared" si="77"/>
        <v>31.113650744455075</v>
      </c>
      <c r="S240" s="101">
        <f t="shared" si="78"/>
        <v>45917</v>
      </c>
      <c r="T240" s="102" t="str">
        <f t="shared" si="79"/>
        <v>Septiembre</v>
      </c>
      <c r="U240" s="102" t="str">
        <f t="shared" si="80"/>
        <v>Miércoles</v>
      </c>
      <c r="V240" s="102">
        <f t="shared" si="81"/>
        <v>8</v>
      </c>
      <c r="W240" s="102" t="str">
        <f t="shared" si="82"/>
        <v>Días después del pago</v>
      </c>
      <c r="X240" s="102">
        <f t="shared" si="83"/>
        <v>26</v>
      </c>
      <c r="Y240" s="102" t="str">
        <f t="shared" si="84"/>
        <v>Sí</v>
      </c>
      <c r="Z240" s="102" t="str">
        <f>CHOOSE(MATCH(B240,{"Customer Appreciation","Exclusive Offers","Flash Sale","Holiday Discounts","New Product Launch","Newsletter"},0),"Fidelizar","Vender","Vender","Vender","Lanzar","Educar")</f>
        <v>Fidelizar</v>
      </c>
      <c r="AA240" s="102" t="str">
        <f t="shared" si="85"/>
        <v>300 a 400 mil</v>
      </c>
      <c r="AB240" s="102">
        <f>COUNTIFS($E$5:$E$493,E240,$S$5:$S$493,"&lt;"&amp;S240)+COUNTIFS($E$5:E240,E240,$S$5:S240,S240)</f>
        <v>9</v>
      </c>
      <c r="AC240" s="102">
        <f t="shared" si="86"/>
        <v>16</v>
      </c>
      <c r="AD240" s="102" t="str">
        <f t="shared" si="87"/>
        <v>Medio</v>
      </c>
      <c r="AE240" s="103">
        <f t="shared" si="88"/>
        <v>8.3074848462599746</v>
      </c>
      <c r="AF240" s="102" t="str">
        <f t="shared" si="89"/>
        <v xml:space="preserve">  tu lealtad tiene recompensa  descúbrela  sorpresas para ti </v>
      </c>
      <c r="AG240" s="102" t="str">
        <f t="shared" si="90"/>
        <v xml:space="preserve"> ofertas exclusivas para nuestros clientes más especiales   no te las pierdas  </v>
      </c>
      <c r="AH240" s="102" t="str">
        <f>IF(SUMPRODUCT(--(LEFT(IF(LEFT(LOWER(E240),1)="¡",MID(LOWER(E240),2,300),LOWER(E240)),LEN({"actualizaci","el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240" s="102" t="str">
        <f>IF(OR(SUMPRODUCT(--ISNUMBER(SEARCH({"descuento","oferta","ahorr","precio"," sale ","flash","deals"},AF240)))&gt;0,SUMPRODUCT(--ISNUMBER(SEARCH({"descuento","oferta","ahorr","precio"," sale ","flash","deals"},AG240)))&gt;0),"Sí","No")</f>
        <v>Sí</v>
      </c>
      <c r="AJ240" s="102" t="str">
        <f>IF(SUMPRODUCT(--ISNUMBER(SEARCH({" hoy ","horas","tiempo limitado","antes de que","se acab","se agot","finalic","última oportunidad","oportunidad única","relámpago","express","no esperes","no volver","no parpadees"},AF240)))&gt;0,"Sí","No")</f>
        <v>No</v>
      </c>
      <c r="AK240" s="102" t="str">
        <f>IF(SUMPRODUCT(--ISNUMBER(SEARCH({" hoy ","horas","tiempo limitado","antes de que","se acab","se agot","finalic","última oportunidad","oportunidad única","relámpago","express","no esperes","no volver","no parpadees"},AG240)))&gt;0,"Sí","No")</f>
        <v>No</v>
      </c>
      <c r="AL240" s="102" t="str">
        <f t="shared" si="91"/>
        <v>Descuento sin tiempo límite</v>
      </c>
      <c r="AM240" s="102" t="str">
        <f>IF(SUMPRODUCT(--ISNUMBER(SEARCH({"0","1","2","3","4","5","6","7","8","9","favorit","maquillaje","piel","cabello","productos","belleza","regalo"},E240)))&gt;0,"Sí","No")</f>
        <v>No</v>
      </c>
      <c r="AN240" s="102" t="str">
        <f>IF(SUMPRODUCT(--ISNUMBER(SEARCH({"lo que tenemos","estas ofertas","algo especial","ofertas únicas","que preparamos","no te quedes","echa un vistazo"},F240)))&gt;0,"Sí","No")</f>
        <v>No</v>
      </c>
      <c r="AO240" s="102">
        <f t="shared" si="92"/>
        <v>59</v>
      </c>
      <c r="AP240" s="102">
        <f t="shared" si="93"/>
        <v>8</v>
      </c>
      <c r="AQ240" s="102">
        <f>SUMPRODUCT(LEN(E240)-LEN(SUBSTITUTE(E240,{"!","¡","?","¿",":",",",".","%","·","-",";"},"")))</f>
        <v>3</v>
      </c>
      <c r="AR240" s="102" t="str">
        <f t="shared" si="94"/>
        <v>Sí</v>
      </c>
      <c r="AS240" s="102" t="str">
        <f t="shared" si="95"/>
        <v>No</v>
      </c>
      <c r="AT240" s="102" t="str">
        <f>IF(SUMPRODUCT(--ISNUMBER(FIND({"0","1","2","3","4","5","6","7","8","9"},E240)))&gt;0,"Con cifra concreta",IF(OR(ISNUMBER(FIND("?",E240)),ISNUMBER(FIND("¿",E240))),"Pregunta abierta",IF(SUMPRODUCT(--ISNUMBER(SEARCH({" hoy ","horas","tiempo limitado","antes de que","se acab","se agot","finalic","última oportunidad","oportunidad única","relámpago","express","no esperes","no volver","no parpadees"," ya ","últimas horas","últimas unidades"," ahora "},AF240)))&gt;0,"Solo urgencia, sin cifra",IF(SUMPRODUCT(--ISNUMBER(SEARCH({"recompensa","sorpresa","regalo","lealtad","detalle","gracias","pensamos en ti","para ti"},E240)))&gt;0,"Recompensa o sorpresa","Otro: beneficio o novedad"))))</f>
        <v>Recompensa o sorpresa</v>
      </c>
    </row>
    <row r="241" spans="1:46" x14ac:dyDescent="0.2">
      <c r="A241" s="96" t="s">
        <v>1112</v>
      </c>
      <c r="B241" s="96" t="s">
        <v>277</v>
      </c>
      <c r="C241" s="96" t="s">
        <v>928</v>
      </c>
      <c r="D241" s="96" t="s">
        <v>715</v>
      </c>
      <c r="E241" s="96" t="s">
        <v>476</v>
      </c>
      <c r="F241" s="96" t="s">
        <v>477</v>
      </c>
      <c r="G241" s="97">
        <v>437257</v>
      </c>
      <c r="H241" s="97">
        <v>151900</v>
      </c>
      <c r="I241" s="97">
        <v>58356</v>
      </c>
      <c r="J241" s="98">
        <v>7.67</v>
      </c>
      <c r="K241" s="98">
        <v>0.25</v>
      </c>
      <c r="L241" s="99">
        <v>46126.22</v>
      </c>
      <c r="M241" s="100">
        <f t="shared" si="72"/>
        <v>34.739295197103765</v>
      </c>
      <c r="N241" s="100">
        <f t="shared" si="73"/>
        <v>13.345926994879441</v>
      </c>
      <c r="O241" s="100">
        <f t="shared" si="74"/>
        <v>38.417379855167873</v>
      </c>
      <c r="P241" s="100">
        <f t="shared" si="75"/>
        <v>105.48995213341352</v>
      </c>
      <c r="Q241" s="100">
        <f t="shared" si="76"/>
        <v>21.434915192427972</v>
      </c>
      <c r="R241" s="100">
        <f t="shared" si="77"/>
        <v>30.71114383300629</v>
      </c>
      <c r="S241" s="101">
        <f t="shared" si="78"/>
        <v>45883</v>
      </c>
      <c r="T241" s="102" t="str">
        <f t="shared" si="79"/>
        <v>Agosto</v>
      </c>
      <c r="U241" s="102" t="str">
        <f t="shared" si="80"/>
        <v>Jueves</v>
      </c>
      <c r="V241" s="102">
        <f t="shared" si="81"/>
        <v>11</v>
      </c>
      <c r="W241" s="102" t="str">
        <f t="shared" si="82"/>
        <v>Quincena</v>
      </c>
      <c r="X241" s="102">
        <f t="shared" si="83"/>
        <v>23</v>
      </c>
      <c r="Y241" s="102" t="str">
        <f t="shared" si="84"/>
        <v>Sí</v>
      </c>
      <c r="Z241" s="102" t="str">
        <f>CHOOSE(MATCH(B241,{"Customer Appreciation","Exclusive Offers","Flash Sale","Holiday Discounts","New Product Launch","Newsletter"},0),"Fidelizar","Vender","Vender","Vender","Lanzar","Educar")</f>
        <v>Vender</v>
      </c>
      <c r="AA241" s="102" t="str">
        <f t="shared" si="85"/>
        <v>Más de 400 mil</v>
      </c>
      <c r="AB241" s="102">
        <f>COUNTIFS($E$5:$E$493,E241,$S$5:$S$493,"&lt;"&amp;S241)+COUNTIFS($E$5:E241,E241,$S$5:S241,S241)</f>
        <v>3</v>
      </c>
      <c r="AC241" s="102">
        <f t="shared" si="86"/>
        <v>10</v>
      </c>
      <c r="AD241" s="102" t="str">
        <f t="shared" si="87"/>
        <v>Primer tercio</v>
      </c>
      <c r="AE241" s="103">
        <f t="shared" si="88"/>
        <v>13.304380004675792</v>
      </c>
      <c r="AF241" s="102" t="str">
        <f t="shared" si="89"/>
        <v xml:space="preserve">  ofertas de temporada  listas para ti  regalos perfectos </v>
      </c>
      <c r="AG241" s="102" t="str">
        <f t="shared" si="90"/>
        <v xml:space="preserve"> los mejores productos para tus celebraciones te esperan   descubre  </v>
      </c>
      <c r="AH241" s="102" t="str">
        <f>IF(SUMPRODUCT(--(LEFT(IF(LEFT(LOWER(E241),1)="¡",MID(LOWER(E241),2,300),LOWER(E241)),LEN({"actualizaci","el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Sí</v>
      </c>
      <c r="AI241" s="102" t="str">
        <f>IF(OR(SUMPRODUCT(--ISNUMBER(SEARCH({"descuento","oferta","ahorr","precio"," sale ","flash","deals"},AF241)))&gt;0,SUMPRODUCT(--ISNUMBER(SEARCH({"descuento","oferta","ahorr","precio"," sale ","flash","deals"},AG241)))&gt;0),"Sí","No")</f>
        <v>Sí</v>
      </c>
      <c r="AJ241" s="102" t="str">
        <f>IF(SUMPRODUCT(--ISNUMBER(SEARCH({" hoy ","horas","tiempo limitado","antes de que","se acab","se agot","finalic","última oportunidad","oportunidad única","relámpago","express","no esperes","no volver","no parpadees"},AF241)))&gt;0,"Sí","No")</f>
        <v>No</v>
      </c>
      <c r="AK241" s="102" t="str">
        <f>IF(SUMPRODUCT(--ISNUMBER(SEARCH({" hoy ","horas","tiempo limitado","antes de que","se acab","se agot","finalic","última oportunidad","oportunidad única","relámpago","express","no esperes","no volver","no parpadees"},AG241)))&gt;0,"Sí","No")</f>
        <v>No</v>
      </c>
      <c r="AL241" s="102" t="str">
        <f t="shared" si="91"/>
        <v>Descuento sin tiempo límite</v>
      </c>
      <c r="AM241" s="102" t="str">
        <f>IF(SUMPRODUCT(--ISNUMBER(SEARCH({"0","1","2","3","4","5","6","7","8","9","favorit","maquillaje","piel","cabello","productos","belleza","regalo"},E241)))&gt;0,"Sí","No")</f>
        <v>Sí</v>
      </c>
      <c r="AN241" s="102" t="str">
        <f>IF(SUMPRODUCT(--ISNUMBER(SEARCH({"lo que tenemos","estas ofertas","algo especial","ofertas únicas","que preparamos","no te quedes","echa un vistazo"},F241)))&gt;0,"Sí","No")</f>
        <v>No</v>
      </c>
      <c r="AO241" s="102">
        <f t="shared" si="92"/>
        <v>56</v>
      </c>
      <c r="AP241" s="102">
        <f t="shared" si="93"/>
        <v>8</v>
      </c>
      <c r="AQ241" s="102">
        <f>SUMPRODUCT(LEN(E241)-LEN(SUBSTITUTE(E241,{"!","¡","?","¿",":",",",".","%","·","-",";"},"")))</f>
        <v>3</v>
      </c>
      <c r="AR241" s="102" t="str">
        <f t="shared" si="94"/>
        <v>Sí</v>
      </c>
      <c r="AS241" s="102" t="str">
        <f t="shared" si="95"/>
        <v>No</v>
      </c>
      <c r="AT241" s="102" t="str">
        <f>IF(SUMPRODUCT(--ISNUMBER(FIND({"0","1","2","3","4","5","6","7","8","9"},E241)))&gt;0,"Con cifra concreta",IF(OR(ISNUMBER(FIND("?",E241)),ISNUMBER(FIND("¿",E241))),"Pregunta abierta",IF(SUMPRODUCT(--ISNUMBER(SEARCH({" hoy ","horas","tiempo limitado","antes de que","se acab","se agot","finalic","última oportunidad","oportunidad única","relámpago","express","no esperes","no volver","no parpadees"," ya ","últimas horas","últimas unidades"," ahora "},AF241)))&gt;0,"Solo urgencia, sin cifra",IF(SUMPRODUCT(--ISNUMBER(SEARCH({"recompensa","sorpresa","regalo","lealtad","detalle","gracias","pensamos en ti","para ti"},E241)))&gt;0,"Recompensa o sorpresa","Otro: beneficio o novedad"))))</f>
        <v>Recompensa o sorpresa</v>
      </c>
    </row>
    <row r="242" spans="1:46" x14ac:dyDescent="0.2">
      <c r="A242" s="104" t="s">
        <v>1113</v>
      </c>
      <c r="B242" s="104" t="s">
        <v>279</v>
      </c>
      <c r="C242" s="104" t="s">
        <v>944</v>
      </c>
      <c r="D242" s="104" t="s">
        <v>794</v>
      </c>
      <c r="E242" s="104" t="s">
        <v>463</v>
      </c>
      <c r="F242" s="104" t="s">
        <v>464</v>
      </c>
      <c r="G242" s="105">
        <v>381257</v>
      </c>
      <c r="H242" s="105">
        <v>148450</v>
      </c>
      <c r="I242" s="105">
        <v>32906</v>
      </c>
      <c r="J242" s="106">
        <v>2.19</v>
      </c>
      <c r="K242" s="106">
        <v>4.34</v>
      </c>
      <c r="L242" s="107">
        <v>29459.27</v>
      </c>
      <c r="M242" s="108">
        <f t="shared" si="72"/>
        <v>38.936990009363761</v>
      </c>
      <c r="N242" s="108">
        <f t="shared" si="73"/>
        <v>8.630923497798074</v>
      </c>
      <c r="O242" s="108">
        <f t="shared" si="74"/>
        <v>22.166385988548331</v>
      </c>
      <c r="P242" s="108">
        <f t="shared" si="75"/>
        <v>77.268797687649027</v>
      </c>
      <c r="Q242" s="108">
        <f t="shared" si="76"/>
        <v>33.412775116147934</v>
      </c>
      <c r="R242" s="108">
        <f t="shared" si="77"/>
        <v>27.75136451093497</v>
      </c>
      <c r="S242" s="101">
        <f t="shared" si="78"/>
        <v>45943</v>
      </c>
      <c r="T242" s="102" t="str">
        <f t="shared" si="79"/>
        <v>Octubre</v>
      </c>
      <c r="U242" s="102" t="str">
        <f t="shared" si="80"/>
        <v>Lunes</v>
      </c>
      <c r="V242" s="102">
        <f t="shared" si="81"/>
        <v>12</v>
      </c>
      <c r="W242" s="102" t="str">
        <f t="shared" si="82"/>
        <v>Resto del mes</v>
      </c>
      <c r="X242" s="102">
        <f t="shared" si="83"/>
        <v>23</v>
      </c>
      <c r="Y242" s="102" t="str">
        <f t="shared" si="84"/>
        <v>Sí</v>
      </c>
      <c r="Z242" s="102" t="str">
        <f>CHOOSE(MATCH(B242,{"Customer Appreciation","Exclusive Offers","Flash Sale","Holiday Discounts","New Product Launch","Newsletter"},0),"Fidelizar","Vender","Vender","Vender","Lanzar","Educar")</f>
        <v>Educar</v>
      </c>
      <c r="AA242" s="102" t="str">
        <f t="shared" si="85"/>
        <v>300 a 400 mil</v>
      </c>
      <c r="AB242" s="102">
        <f>COUNTIFS($E$5:$E$493,E242,$S$5:$S$493,"&lt;"&amp;S242)+COUNTIFS($E$5:E242,E242,$S$5:S242,S242)</f>
        <v>19</v>
      </c>
      <c r="AC242" s="102">
        <f t="shared" si="86"/>
        <v>25</v>
      </c>
      <c r="AD242" s="102" t="str">
        <f t="shared" si="87"/>
        <v>Último tercio</v>
      </c>
      <c r="AE242" s="103">
        <f t="shared" si="88"/>
        <v>5.5242148932158273</v>
      </c>
      <c r="AF242" s="102" t="str">
        <f t="shared" si="89"/>
        <v xml:space="preserve"> tu dosis de belleza   no te lo pierdas  tips y trucos </v>
      </c>
      <c r="AG242" s="102" t="str">
        <f t="shared" si="90"/>
        <v xml:space="preserve"> consejos expertos  tendencias y más en tu bandeja de entrada   descúbrelo  </v>
      </c>
      <c r="AH242" s="102" t="str">
        <f>IF(SUMPRODUCT(--(LEFT(IF(LEFT(LOWER(E242),1)="¡",MID(LOWER(E242),2,300),LOWER(E242)),LEN({"actualizaci","el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242" s="102" t="str">
        <f>IF(OR(SUMPRODUCT(--ISNUMBER(SEARCH({"descuento","oferta","ahorr","precio"," sale ","flash","deals"},AF242)))&gt;0,SUMPRODUCT(--ISNUMBER(SEARCH({"descuento","oferta","ahorr","precio"," sale ","flash","deals"},AG242)))&gt;0),"Sí","No")</f>
        <v>No</v>
      </c>
      <c r="AJ242" s="102" t="str">
        <f>IF(SUMPRODUCT(--ISNUMBER(SEARCH({" hoy ","horas","tiempo limitado","antes de que","se acab","se agot","finalic","última oportunidad","oportunidad única","relámpago","express","no esperes","no volver","no parpadees"},AF242)))&gt;0,"Sí","No")</f>
        <v>No</v>
      </c>
      <c r="AK242" s="102" t="str">
        <f>IF(SUMPRODUCT(--ISNUMBER(SEARCH({" hoy ","horas","tiempo limitado","antes de que","se acab","se agot","finalic","última oportunidad","oportunidad única","relámpago","express","no esperes","no volver","no parpadees"},AG242)))&gt;0,"Sí","No")</f>
        <v>No</v>
      </c>
      <c r="AL242" s="102" t="str">
        <f t="shared" si="91"/>
        <v>Sin descuento</v>
      </c>
      <c r="AM242" s="102" t="str">
        <f>IF(SUMPRODUCT(--ISNUMBER(SEARCH({"0","1","2","3","4","5","6","7","8","9","favorit","maquillaje","piel","cabello","productos","belleza","regalo"},E242)))&gt;0,"Sí","No")</f>
        <v>Sí</v>
      </c>
      <c r="AN242" s="102" t="str">
        <f>IF(SUMPRODUCT(--ISNUMBER(SEARCH({"lo que tenemos","estas ofertas","algo especial","ofertas únicas","que preparamos","no te quedes","echa un vistazo"},F242)))&gt;0,"Sí","No")</f>
        <v>No</v>
      </c>
      <c r="AO242" s="102">
        <f t="shared" si="92"/>
        <v>53</v>
      </c>
      <c r="AP242" s="102">
        <f t="shared" si="93"/>
        <v>11</v>
      </c>
      <c r="AQ242" s="102">
        <f>SUMPRODUCT(LEN(E242)-LEN(SUBSTITUTE(E242,{"!","¡","?","¿",":",",",".","%","·","-",";"},"")))</f>
        <v>3</v>
      </c>
      <c r="AR242" s="102" t="str">
        <f t="shared" si="94"/>
        <v>No</v>
      </c>
      <c r="AS242" s="102" t="str">
        <f t="shared" si="95"/>
        <v>No</v>
      </c>
      <c r="AT242" s="102" t="str">
        <f>IF(SUMPRODUCT(--ISNUMBER(FIND({"0","1","2","3","4","5","6","7","8","9"},E242)))&gt;0,"Con cifra concreta",IF(OR(ISNUMBER(FIND("?",E242)),ISNUMBER(FIND("¿",E242))),"Pregunta abierta",IF(SUMPRODUCT(--ISNUMBER(SEARCH({" hoy ","horas","tiempo limitado","antes de que","se acab","se agot","finalic","última oportunidad","oportunidad única","relámpago","express","no esperes","no volver","no parpadees"," ya ","últimas horas","últimas unidades"," ahora "},AF242)))&gt;0,"Solo urgencia, sin cifra",IF(SUMPRODUCT(--ISNUMBER(SEARCH({"recompensa","sorpresa","regalo","lealtad","detalle","gracias","pensamos en ti","para ti"},E242)))&gt;0,"Recompensa o sorpresa","Otro: beneficio o novedad"))))</f>
        <v>Otro: beneficio o novedad</v>
      </c>
    </row>
    <row r="243" spans="1:46" x14ac:dyDescent="0.2">
      <c r="A243" s="96" t="s">
        <v>1114</v>
      </c>
      <c r="B243" s="96" t="s">
        <v>278</v>
      </c>
      <c r="C243" s="96" t="s">
        <v>889</v>
      </c>
      <c r="D243" s="96" t="s">
        <v>761</v>
      </c>
      <c r="E243" s="96" t="s">
        <v>368</v>
      </c>
      <c r="F243" s="96" t="s">
        <v>471</v>
      </c>
      <c r="G243" s="97">
        <v>163156</v>
      </c>
      <c r="H243" s="97">
        <v>30638</v>
      </c>
      <c r="I243" s="97">
        <v>7009</v>
      </c>
      <c r="J243" s="98">
        <v>4.24</v>
      </c>
      <c r="K243" s="98">
        <v>4.49</v>
      </c>
      <c r="L243" s="99">
        <v>74303.679999999993</v>
      </c>
      <c r="M243" s="100">
        <f t="shared" si="72"/>
        <v>18.778347103385716</v>
      </c>
      <c r="N243" s="100">
        <f t="shared" si="73"/>
        <v>4.2958885974159697</v>
      </c>
      <c r="O243" s="100">
        <f t="shared" si="74"/>
        <v>22.876819635746457</v>
      </c>
      <c r="P243" s="100">
        <f t="shared" si="75"/>
        <v>455.4149403025325</v>
      </c>
      <c r="Q243" s="100">
        <f t="shared" si="76"/>
        <v>23.315840784070005</v>
      </c>
      <c r="R243" s="100">
        <f t="shared" si="77"/>
        <v>29.458247936272421</v>
      </c>
      <c r="S243" s="101">
        <f t="shared" si="78"/>
        <v>45908</v>
      </c>
      <c r="T243" s="102" t="str">
        <f t="shared" si="79"/>
        <v>Septiembre</v>
      </c>
      <c r="U243" s="102" t="str">
        <f t="shared" si="80"/>
        <v>Lunes</v>
      </c>
      <c r="V243" s="102">
        <f t="shared" si="81"/>
        <v>10</v>
      </c>
      <c r="W243" s="102" t="str">
        <f t="shared" si="82"/>
        <v>Resto del mes</v>
      </c>
      <c r="X243" s="102">
        <f t="shared" si="83"/>
        <v>28</v>
      </c>
      <c r="Y243" s="102" t="str">
        <f t="shared" si="84"/>
        <v>Sí</v>
      </c>
      <c r="Z243" s="102" t="str">
        <f>CHOOSE(MATCH(B243,{"Customer Appreciation","Exclusive Offers","Flash Sale","Holiday Discounts","New Product Launch","Newsletter"},0),"Fidelizar","Vender","Vender","Vender","Lanzar","Educar")</f>
        <v>Lanzar</v>
      </c>
      <c r="AA243" s="102" t="str">
        <f t="shared" si="85"/>
        <v>100 a 200 mil</v>
      </c>
      <c r="AB243" s="102">
        <f>COUNTIFS($E$5:$E$493,E243,$S$5:$S$493,"&lt;"&amp;S243)+COUNTIFS($E$5:E243,E243,$S$5:S243,S243)</f>
        <v>13</v>
      </c>
      <c r="AC243" s="102">
        <f t="shared" si="86"/>
        <v>33</v>
      </c>
      <c r="AD243" s="102" t="str">
        <f t="shared" si="87"/>
        <v>Medio</v>
      </c>
      <c r="AE243" s="103">
        <f t="shared" si="88"/>
        <v>-4.5374936806842889</v>
      </c>
      <c r="AF243" s="102" t="str">
        <f t="shared" si="89"/>
        <v xml:space="preserve"> presentamos  nuestro último lanzamiento de belleza  imperdible  </v>
      </c>
      <c r="AG243" s="102" t="str">
        <f t="shared" si="90"/>
        <v xml:space="preserve"> una innovación que cambiará tu rutina   sé de los primeros  </v>
      </c>
      <c r="AH243" s="102" t="str">
        <f>IF(SUMPRODUCT(--(LEFT(IF(LEFT(LOWER(E243),1)="¡",MID(LOWER(E243),2,300),LOWER(E243)),LEN({"actualizaci","el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Sí</v>
      </c>
      <c r="AI243" s="102" t="str">
        <f>IF(OR(SUMPRODUCT(--ISNUMBER(SEARCH({"descuento","oferta","ahorr","precio"," sale ","flash","deals"},AF243)))&gt;0,SUMPRODUCT(--ISNUMBER(SEARCH({"descuento","oferta","ahorr","precio"," sale ","flash","deals"},AG243)))&gt;0),"Sí","No")</f>
        <v>No</v>
      </c>
      <c r="AJ243" s="102" t="str">
        <f>IF(SUMPRODUCT(--ISNUMBER(SEARCH({" hoy ","horas","tiempo limitado","antes de que","se acab","se agot","finalic","última oportunidad","oportunidad única","relámpago","express","no esperes","no volver","no parpadees"},AF243)))&gt;0,"Sí","No")</f>
        <v>No</v>
      </c>
      <c r="AK243" s="102" t="str">
        <f>IF(SUMPRODUCT(--ISNUMBER(SEARCH({" hoy ","horas","tiempo limitado","antes de que","se acab","se agot","finalic","última oportunidad","oportunidad única","relámpago","express","no esperes","no volver","no parpadees"},AG243)))&gt;0,"Sí","No")</f>
        <v>No</v>
      </c>
      <c r="AL243" s="102" t="str">
        <f t="shared" si="91"/>
        <v>Sin descuento</v>
      </c>
      <c r="AM243" s="102" t="str">
        <f>IF(SUMPRODUCT(--ISNUMBER(SEARCH({"0","1","2","3","4","5","6","7","8","9","favorit","maquillaje","piel","cabello","productos","belleza","regalo"},E243)))&gt;0,"Sí","No")</f>
        <v>Sí</v>
      </c>
      <c r="AN243" s="102" t="str">
        <f>IF(SUMPRODUCT(--ISNUMBER(SEARCH({"lo que tenemos","estas ofertas","algo especial","ofertas únicas","que preparamos","no te quedes","echa un vistazo"},F243)))&gt;0,"Sí","No")</f>
        <v>No</v>
      </c>
      <c r="AO243" s="102">
        <f t="shared" si="92"/>
        <v>63</v>
      </c>
      <c r="AP243" s="102">
        <f t="shared" si="93"/>
        <v>7</v>
      </c>
      <c r="AQ243" s="102">
        <f>SUMPRODUCT(LEN(E243)-LEN(SUBSTITUTE(E243,{"!","¡","?","¿",":",",",".","%","·","-",";"},"")))</f>
        <v>3</v>
      </c>
      <c r="AR243" s="102" t="str">
        <f t="shared" si="94"/>
        <v>No</v>
      </c>
      <c r="AS243" s="102" t="str">
        <f t="shared" si="95"/>
        <v>No</v>
      </c>
      <c r="AT243" s="102" t="str">
        <f>IF(SUMPRODUCT(--ISNUMBER(FIND({"0","1","2","3","4","5","6","7","8","9"},E243)))&gt;0,"Con cifra concreta",IF(OR(ISNUMBER(FIND("?",E243)),ISNUMBER(FIND("¿",E243))),"Pregunta abierta",IF(SUMPRODUCT(--ISNUMBER(SEARCH({" hoy ","horas","tiempo limitado","antes de que","se acab","se agot","finalic","última oportunidad","oportunidad única","relámpago","express","no esperes","no volver","no parpadees"," ya ","últimas horas","últimas unidades"," ahora "},AF243)))&gt;0,"Solo urgencia, sin cifra",IF(SUMPRODUCT(--ISNUMBER(SEARCH({"recompensa","sorpresa","regalo","lealtad","detalle","gracias","pensamos en ti","para ti"},E243)))&gt;0,"Recompensa o sorpresa","Otro: beneficio o novedad"))))</f>
        <v>Otro: beneficio o novedad</v>
      </c>
    </row>
    <row r="244" spans="1:46" x14ac:dyDescent="0.2">
      <c r="A244" s="104" t="s">
        <v>1115</v>
      </c>
      <c r="B244" s="104" t="s">
        <v>274</v>
      </c>
      <c r="C244" s="104" t="s">
        <v>891</v>
      </c>
      <c r="D244" s="104" t="s">
        <v>786</v>
      </c>
      <c r="E244" s="104" t="s">
        <v>453</v>
      </c>
      <c r="F244" s="104" t="s">
        <v>454</v>
      </c>
      <c r="G244" s="105">
        <v>54568</v>
      </c>
      <c r="H244" s="105">
        <v>26848</v>
      </c>
      <c r="I244" s="105">
        <v>5026</v>
      </c>
      <c r="J244" s="106">
        <v>4.6100000000000003</v>
      </c>
      <c r="K244" s="106">
        <v>0.33</v>
      </c>
      <c r="L244" s="107">
        <v>51392.86</v>
      </c>
      <c r="M244" s="108">
        <f t="shared" si="72"/>
        <v>49.200996921272541</v>
      </c>
      <c r="N244" s="108">
        <f t="shared" si="73"/>
        <v>9.2105263157894726</v>
      </c>
      <c r="O244" s="108">
        <f t="shared" si="74"/>
        <v>18.72020262216925</v>
      </c>
      <c r="P244" s="108">
        <f t="shared" si="75"/>
        <v>941.81315056443339</v>
      </c>
      <c r="Q244" s="108">
        <f t="shared" si="76"/>
        <v>39.210446566150395</v>
      </c>
      <c r="R244" s="108">
        <f t="shared" si="77"/>
        <v>31.113650744455075</v>
      </c>
      <c r="S244" s="101">
        <f t="shared" si="78"/>
        <v>45888</v>
      </c>
      <c r="T244" s="102" t="str">
        <f t="shared" si="79"/>
        <v>Agosto</v>
      </c>
      <c r="U244" s="102" t="str">
        <f t="shared" si="80"/>
        <v>Martes</v>
      </c>
      <c r="V244" s="102">
        <f t="shared" si="81"/>
        <v>15</v>
      </c>
      <c r="W244" s="102" t="str">
        <f t="shared" si="82"/>
        <v>Días después del pago</v>
      </c>
      <c r="X244" s="102">
        <f t="shared" si="83"/>
        <v>29</v>
      </c>
      <c r="Y244" s="102" t="str">
        <f t="shared" si="84"/>
        <v>Sí</v>
      </c>
      <c r="Z244" s="102" t="str">
        <f>CHOOSE(MATCH(B244,{"Customer Appreciation","Exclusive Offers","Flash Sale","Holiday Discounts","New Product Launch","Newsletter"},0),"Fidelizar","Vender","Vender","Vender","Lanzar","Educar")</f>
        <v>Fidelizar</v>
      </c>
      <c r="AA244" s="102" t="str">
        <f t="shared" si="85"/>
        <v>Menos de 100 mil</v>
      </c>
      <c r="AB244" s="102">
        <f>COUNTIFS($E$5:$E$493,E244,$S$5:$S$493,"&lt;"&amp;S244)+COUNTIFS($E$5:E244,E244,$S$5:S244,S244)</f>
        <v>6</v>
      </c>
      <c r="AC244" s="102">
        <f t="shared" si="86"/>
        <v>20</v>
      </c>
      <c r="AD244" s="102" t="str">
        <f t="shared" si="87"/>
        <v>Primer tercio</v>
      </c>
      <c r="AE244" s="103">
        <f t="shared" si="88"/>
        <v>9.9905503551221457</v>
      </c>
      <c r="AF244" s="102" t="str">
        <f t="shared" si="89"/>
        <v xml:space="preserve">  pensamos en ti  descubre estas sorpresas exclusivas </v>
      </c>
      <c r="AG244" s="102" t="str">
        <f t="shared" si="90"/>
        <v xml:space="preserve"> ofertas exclusivas por tu lealtad a l'oréal   aprovecha  </v>
      </c>
      <c r="AH244" s="102" t="str">
        <f>IF(SUMPRODUCT(--(LEFT(IF(LEFT(LOWER(E244),1)="¡",MID(LOWER(E244),2,300),LOWER(E244)),LEN({"actualizaci","el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244" s="102" t="str">
        <f>IF(OR(SUMPRODUCT(--ISNUMBER(SEARCH({"descuento","oferta","ahorr","precio"," sale ","flash","deals"},AF244)))&gt;0,SUMPRODUCT(--ISNUMBER(SEARCH({"descuento","oferta","ahorr","precio"," sale ","flash","deals"},AG244)))&gt;0),"Sí","No")</f>
        <v>Sí</v>
      </c>
      <c r="AJ244" s="102" t="str">
        <f>IF(SUMPRODUCT(--ISNUMBER(SEARCH({" hoy ","horas","tiempo limitado","antes de que","se acab","se agot","finalic","última oportunidad","oportunidad única","relámpago","express","no esperes","no volver","no parpadees"},AF244)))&gt;0,"Sí","No")</f>
        <v>No</v>
      </c>
      <c r="AK244" s="102" t="str">
        <f>IF(SUMPRODUCT(--ISNUMBER(SEARCH({" hoy ","horas","tiempo limitado","antes de que","se acab","se agot","finalic","última oportunidad","oportunidad única","relámpago","express","no esperes","no volver","no parpadees"},AG244)))&gt;0,"Sí","No")</f>
        <v>No</v>
      </c>
      <c r="AL244" s="102" t="str">
        <f t="shared" si="91"/>
        <v>Descuento sin tiempo límite</v>
      </c>
      <c r="AM244" s="102" t="str">
        <f>IF(SUMPRODUCT(--ISNUMBER(SEARCH({"0","1","2","3","4","5","6","7","8","9","favorit","maquillaje","piel","cabello","productos","belleza","regalo"},E244)))&gt;0,"Sí","No")</f>
        <v>No</v>
      </c>
      <c r="AN244" s="102" t="str">
        <f>IF(SUMPRODUCT(--ISNUMBER(SEARCH({"lo que tenemos","estas ofertas","algo especial","ofertas únicas","que preparamos","no te quedes","echa un vistazo"},F244)))&gt;0,"Sí","No")</f>
        <v>No</v>
      </c>
      <c r="AO244" s="102">
        <f t="shared" si="92"/>
        <v>52</v>
      </c>
      <c r="AP244" s="102">
        <f t="shared" si="93"/>
        <v>7</v>
      </c>
      <c r="AQ244" s="102">
        <f>SUMPRODUCT(LEN(E244)-LEN(SUBSTITUTE(E244,{"!","¡","?","¿",":",",",".","%","·","-",";"},"")))</f>
        <v>2</v>
      </c>
      <c r="AR244" s="102" t="str">
        <f t="shared" si="94"/>
        <v>Sí</v>
      </c>
      <c r="AS244" s="102" t="str">
        <f t="shared" si="95"/>
        <v>No</v>
      </c>
      <c r="AT244" s="102" t="str">
        <f>IF(SUMPRODUCT(--ISNUMBER(FIND({"0","1","2","3","4","5","6","7","8","9"},E244)))&gt;0,"Con cifra concreta",IF(OR(ISNUMBER(FIND("?",E244)),ISNUMBER(FIND("¿",E244))),"Pregunta abierta",IF(SUMPRODUCT(--ISNUMBER(SEARCH({" hoy ","horas","tiempo limitado","antes de que","se acab","se agot","finalic","última oportunidad","oportunidad única","relámpago","express","no esperes","no volver","no parpadees"," ya ","últimas horas","últimas unidades"," ahora "},AF244)))&gt;0,"Solo urgencia, sin cifra",IF(SUMPRODUCT(--ISNUMBER(SEARCH({"recompensa","sorpresa","regalo","lealtad","detalle","gracias","pensamos en ti","para ti"},E244)))&gt;0,"Recompensa o sorpresa","Otro: beneficio o novedad"))))</f>
        <v>Recompensa o sorpresa</v>
      </c>
    </row>
    <row r="245" spans="1:46" x14ac:dyDescent="0.2">
      <c r="A245" s="96" t="s">
        <v>1116</v>
      </c>
      <c r="B245" s="96" t="s">
        <v>278</v>
      </c>
      <c r="C245" s="96" t="s">
        <v>915</v>
      </c>
      <c r="D245" s="96" t="s">
        <v>769</v>
      </c>
      <c r="E245" s="96" t="s">
        <v>467</v>
      </c>
      <c r="F245" s="96" t="s">
        <v>468</v>
      </c>
      <c r="G245" s="97">
        <v>159633</v>
      </c>
      <c r="H245" s="97">
        <v>26888</v>
      </c>
      <c r="I245" s="97">
        <v>18884</v>
      </c>
      <c r="J245" s="98">
        <v>2.9</v>
      </c>
      <c r="K245" s="98">
        <v>2.14</v>
      </c>
      <c r="L245" s="99">
        <v>35517.21</v>
      </c>
      <c r="M245" s="100">
        <f t="shared" si="72"/>
        <v>16.84363508798306</v>
      </c>
      <c r="N245" s="100">
        <f t="shared" si="73"/>
        <v>11.829634223500154</v>
      </c>
      <c r="O245" s="100">
        <f t="shared" si="74"/>
        <v>70.232073787563223</v>
      </c>
      <c r="P245" s="100">
        <f t="shared" si="75"/>
        <v>222.49290560222511</v>
      </c>
      <c r="Q245" s="100">
        <f t="shared" si="76"/>
        <v>30.93688234168668</v>
      </c>
      <c r="R245" s="100">
        <f t="shared" si="77"/>
        <v>29.458247936272421</v>
      </c>
      <c r="S245" s="101">
        <f t="shared" si="78"/>
        <v>45954</v>
      </c>
      <c r="T245" s="102" t="str">
        <f t="shared" si="79"/>
        <v>Octubre</v>
      </c>
      <c r="U245" s="102" t="str">
        <f t="shared" si="80"/>
        <v>Viernes</v>
      </c>
      <c r="V245" s="102">
        <f t="shared" si="81"/>
        <v>13</v>
      </c>
      <c r="W245" s="102" t="str">
        <f t="shared" si="82"/>
        <v>Resto del mes</v>
      </c>
      <c r="X245" s="102">
        <f t="shared" si="83"/>
        <v>29</v>
      </c>
      <c r="Y245" s="102" t="str">
        <f t="shared" si="84"/>
        <v>Sí</v>
      </c>
      <c r="Z245" s="102" t="str">
        <f>CHOOSE(MATCH(B245,{"Customer Appreciation","Exclusive Offers","Flash Sale","Holiday Discounts","New Product Launch","Newsletter"},0),"Fidelizar","Vender","Vender","Vender","Lanzar","Educar")</f>
        <v>Lanzar</v>
      </c>
      <c r="AA245" s="102" t="str">
        <f t="shared" si="85"/>
        <v>100 a 200 mil</v>
      </c>
      <c r="AB245" s="102">
        <f>COUNTIFS($E$5:$E$493,E245,$S$5:$S$493,"&lt;"&amp;S245)+COUNTIFS($E$5:E245,E245,$S$5:S245,S245)</f>
        <v>22</v>
      </c>
      <c r="AC245" s="102">
        <f t="shared" si="86"/>
        <v>22</v>
      </c>
      <c r="AD245" s="102" t="str">
        <f t="shared" si="87"/>
        <v>Último tercio</v>
      </c>
      <c r="AE245" s="103">
        <f t="shared" si="88"/>
        <v>-14.09324725370362</v>
      </c>
      <c r="AF245" s="102" t="str">
        <f t="shared" si="89"/>
        <v xml:space="preserve">  lo nuevo de l'oréal  te va a encantar  innovación en belleza </v>
      </c>
      <c r="AG245" s="102" t="str">
        <f t="shared" si="90"/>
        <v xml:space="preserve"> prepárate para experimentar la innovación en tu belleza   descúbrela  </v>
      </c>
      <c r="AH245" s="102" t="str">
        <f>IF(SUMPRODUCT(--(LEFT(IF(LEFT(LOWER(E245),1)="¡",MID(LOWER(E245),2,300),LOWER(E245)),LEN({"actualizaci","el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245" s="102" t="str">
        <f>IF(OR(SUMPRODUCT(--ISNUMBER(SEARCH({"descuento","oferta","ahorr","precio"," sale ","flash","deals"},AF245)))&gt;0,SUMPRODUCT(--ISNUMBER(SEARCH({"descuento","oferta","ahorr","precio"," sale ","flash","deals"},AG245)))&gt;0),"Sí","No")</f>
        <v>No</v>
      </c>
      <c r="AJ245" s="102" t="str">
        <f>IF(SUMPRODUCT(--ISNUMBER(SEARCH({" hoy ","horas","tiempo limitado","antes de que","se acab","se agot","finalic","última oportunidad","oportunidad única","relámpago","express","no esperes","no volver","no parpadees"},AF245)))&gt;0,"Sí","No")</f>
        <v>No</v>
      </c>
      <c r="AK245" s="102" t="str">
        <f>IF(SUMPRODUCT(--ISNUMBER(SEARCH({" hoy ","horas","tiempo limitado","antes de que","se acab","se agot","finalic","última oportunidad","oportunidad única","relámpago","express","no esperes","no volver","no parpadees"},AG245)))&gt;0,"Sí","No")</f>
        <v>No</v>
      </c>
      <c r="AL245" s="102" t="str">
        <f t="shared" si="91"/>
        <v>Sin descuento</v>
      </c>
      <c r="AM245" s="102" t="str">
        <f>IF(SUMPRODUCT(--ISNUMBER(SEARCH({"0","1","2","3","4","5","6","7","8","9","favorit","maquillaje","piel","cabello","productos","belleza","regalo"},E245)))&gt;0,"Sí","No")</f>
        <v>Sí</v>
      </c>
      <c r="AN245" s="102" t="str">
        <f>IF(SUMPRODUCT(--ISNUMBER(SEARCH({"lo que tenemos","estas ofertas","algo especial","ofertas únicas","que preparamos","no te quedes","echa un vistazo"},F245)))&gt;0,"Sí","No")</f>
        <v>No</v>
      </c>
      <c r="AO245" s="102">
        <f t="shared" si="92"/>
        <v>61</v>
      </c>
      <c r="AP245" s="102">
        <f t="shared" si="93"/>
        <v>11</v>
      </c>
      <c r="AQ245" s="102">
        <f>SUMPRODUCT(LEN(E245)-LEN(SUBSTITUTE(E245,{"!","¡","?","¿",":",",",".","%","·","-",";"},"")))</f>
        <v>3</v>
      </c>
      <c r="AR245" s="102" t="str">
        <f t="shared" si="94"/>
        <v>No</v>
      </c>
      <c r="AS245" s="102" t="str">
        <f t="shared" si="95"/>
        <v>No</v>
      </c>
      <c r="AT245" s="102" t="str">
        <f>IF(SUMPRODUCT(--ISNUMBER(FIND({"0","1","2","3","4","5","6","7","8","9"},E245)))&gt;0,"Con cifra concreta",IF(OR(ISNUMBER(FIND("?",E245)),ISNUMBER(FIND("¿",E245))),"Pregunta abierta",IF(SUMPRODUCT(--ISNUMBER(SEARCH({" hoy ","horas","tiempo limitado","antes de que","se acab","se agot","finalic","última oportunidad","oportunidad única","relámpago","express","no esperes","no volver","no parpadees"," ya ","últimas horas","últimas unidades"," ahora "},AF245)))&gt;0,"Solo urgencia, sin cifra",IF(SUMPRODUCT(--ISNUMBER(SEARCH({"recompensa","sorpresa","regalo","lealtad","detalle","gracias","pensamos en ti","para ti"},E245)))&gt;0,"Recompensa o sorpresa","Otro: beneficio o novedad"))))</f>
        <v>Otro: beneficio o novedad</v>
      </c>
    </row>
    <row r="246" spans="1:46" x14ac:dyDescent="0.2">
      <c r="A246" s="104" t="s">
        <v>1117</v>
      </c>
      <c r="B246" s="104" t="s">
        <v>275</v>
      </c>
      <c r="C246" s="104" t="s">
        <v>917</v>
      </c>
      <c r="D246" s="104" t="s">
        <v>774</v>
      </c>
      <c r="E246" s="104" t="s">
        <v>486</v>
      </c>
      <c r="F246" s="104" t="s">
        <v>487</v>
      </c>
      <c r="G246" s="105">
        <v>229395</v>
      </c>
      <c r="H246" s="105">
        <v>32296</v>
      </c>
      <c r="I246" s="105">
        <v>31835</v>
      </c>
      <c r="J246" s="106">
        <v>5.68</v>
      </c>
      <c r="K246" s="106">
        <v>2.5499999999999998</v>
      </c>
      <c r="L246" s="107">
        <v>97125.07</v>
      </c>
      <c r="M246" s="108">
        <f t="shared" si="72"/>
        <v>14.078772423112969</v>
      </c>
      <c r="N246" s="108">
        <f t="shared" si="73"/>
        <v>13.877809019377057</v>
      </c>
      <c r="O246" s="108">
        <f t="shared" si="74"/>
        <v>98.572578647510525</v>
      </c>
      <c r="P246" s="108">
        <f t="shared" si="75"/>
        <v>423.39663026657081</v>
      </c>
      <c r="Q246" s="108">
        <f t="shared" si="76"/>
        <v>10.717211021745861</v>
      </c>
      <c r="R246" s="108">
        <f t="shared" si="77"/>
        <v>27.021447627328243</v>
      </c>
      <c r="S246" s="101">
        <f t="shared" si="78"/>
        <v>45916</v>
      </c>
      <c r="T246" s="102" t="str">
        <f t="shared" si="79"/>
        <v>Septiembre</v>
      </c>
      <c r="U246" s="102" t="str">
        <f t="shared" si="80"/>
        <v>Martes</v>
      </c>
      <c r="V246" s="102">
        <f t="shared" si="81"/>
        <v>11</v>
      </c>
      <c r="W246" s="102" t="str">
        <f t="shared" si="82"/>
        <v>Quincena</v>
      </c>
      <c r="X246" s="102">
        <f t="shared" si="83"/>
        <v>27</v>
      </c>
      <c r="Y246" s="102" t="str">
        <f t="shared" si="84"/>
        <v>Sí</v>
      </c>
      <c r="Z246" s="102" t="str">
        <f>CHOOSE(MATCH(B246,{"Customer Appreciation","Exclusive Offers","Flash Sale","Holiday Discounts","New Product Launch","Newsletter"},0),"Fidelizar","Vender","Vender","Vender","Lanzar","Educar")</f>
        <v>Vender</v>
      </c>
      <c r="AA246" s="102" t="str">
        <f t="shared" si="85"/>
        <v>200 a 300 mil</v>
      </c>
      <c r="AB246" s="102">
        <f>COUNTIFS($E$5:$E$493,E246,$S$5:$S$493,"&lt;"&amp;S246)+COUNTIFS($E$5:E246,E246,$S$5:S246,S246)</f>
        <v>5</v>
      </c>
      <c r="AC246" s="102">
        <f t="shared" si="86"/>
        <v>8</v>
      </c>
      <c r="AD246" s="102" t="str">
        <f t="shared" si="87"/>
        <v>Medio</v>
      </c>
      <c r="AE246" s="103">
        <f t="shared" si="88"/>
        <v>3.3615614013671085</v>
      </c>
      <c r="AF246" s="102" t="str">
        <f t="shared" si="89"/>
        <v xml:space="preserve">  oportunidades de ahorro  descúbrelas  solo para ti </v>
      </c>
      <c r="AG246" s="102" t="str">
        <f t="shared" si="90"/>
        <v xml:space="preserve"> no te pierdas estas ofertas únicas que tenemos para ti   entra ya  </v>
      </c>
      <c r="AH246" s="102" t="str">
        <f>IF(SUMPRODUCT(--(LEFT(IF(LEFT(LOWER(E246),1)="¡",MID(LOWER(E246),2,300),LOWER(E246)),LEN({"actualizaci","el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Sí</v>
      </c>
      <c r="AI246" s="102" t="str">
        <f>IF(OR(SUMPRODUCT(--ISNUMBER(SEARCH({"descuento","oferta","ahorr","precio"," sale ","flash","deals"},AF246)))&gt;0,SUMPRODUCT(--ISNUMBER(SEARCH({"descuento","oferta","ahorr","precio"," sale ","flash","deals"},AG246)))&gt;0),"Sí","No")</f>
        <v>Sí</v>
      </c>
      <c r="AJ246" s="102" t="str">
        <f>IF(SUMPRODUCT(--ISNUMBER(SEARCH({" hoy ","horas","tiempo limitado","antes de que","se acab","se agot","finalic","última oportunidad","oportunidad única","relámpago","express","no esperes","no volver","no parpadees"},AF246)))&gt;0,"Sí","No")</f>
        <v>No</v>
      </c>
      <c r="AK246" s="102" t="str">
        <f>IF(SUMPRODUCT(--ISNUMBER(SEARCH({" hoy ","horas","tiempo limitado","antes de que","se acab","se agot","finalic","última oportunidad","oportunidad única","relámpago","express","no esperes","no volver","no parpadees"},AG246)))&gt;0,"Sí","No")</f>
        <v>No</v>
      </c>
      <c r="AL246" s="102" t="str">
        <f t="shared" si="91"/>
        <v>Descuento sin tiempo límite</v>
      </c>
      <c r="AM246" s="102" t="str">
        <f>IF(SUMPRODUCT(--ISNUMBER(SEARCH({"0","1","2","3","4","5","6","7","8","9","favorit","maquillaje","piel","cabello","productos","belleza","regalo"},E246)))&gt;0,"Sí","No")</f>
        <v>No</v>
      </c>
      <c r="AN246" s="102" t="str">
        <f>IF(SUMPRODUCT(--ISNUMBER(SEARCH({"lo que tenemos","estas ofertas","algo especial","ofertas únicas","que preparamos","no te quedes","echa un vistazo"},F246)))&gt;0,"Sí","No")</f>
        <v>Sí</v>
      </c>
      <c r="AO246" s="102">
        <f t="shared" si="92"/>
        <v>51</v>
      </c>
      <c r="AP246" s="102">
        <f t="shared" si="93"/>
        <v>7</v>
      </c>
      <c r="AQ246" s="102">
        <f>SUMPRODUCT(LEN(E246)-LEN(SUBSTITUTE(E246,{"!","¡","?","¿",":",",",".","%","·","-",";"},"")))</f>
        <v>3</v>
      </c>
      <c r="AR246" s="102" t="str">
        <f t="shared" si="94"/>
        <v>Sí</v>
      </c>
      <c r="AS246" s="102" t="str">
        <f t="shared" si="95"/>
        <v>No</v>
      </c>
      <c r="AT246" s="102" t="str">
        <f>IF(SUMPRODUCT(--ISNUMBER(FIND({"0","1","2","3","4","5","6","7","8","9"},E246)))&gt;0,"Con cifra concreta",IF(OR(ISNUMBER(FIND("?",E246)),ISNUMBER(FIND("¿",E246))),"Pregunta abierta",IF(SUMPRODUCT(--ISNUMBER(SEARCH({" hoy ","horas","tiempo limitado","antes de que","se acab","se agot","finalic","última oportunidad","oportunidad única","relámpago","express","no esperes","no volver","no parpadees"," ya ","últimas horas","últimas unidades"," ahora "},AF246)))&gt;0,"Solo urgencia, sin cifra",IF(SUMPRODUCT(--ISNUMBER(SEARCH({"recompensa","sorpresa","regalo","lealtad","detalle","gracias","pensamos en ti","para ti"},E246)))&gt;0,"Recompensa o sorpresa","Otro: beneficio o novedad"))))</f>
        <v>Recompensa o sorpresa</v>
      </c>
    </row>
    <row r="247" spans="1:46" x14ac:dyDescent="0.2">
      <c r="A247" s="96" t="s">
        <v>1118</v>
      </c>
      <c r="B247" s="96" t="s">
        <v>277</v>
      </c>
      <c r="C247" s="96" t="s">
        <v>923</v>
      </c>
      <c r="D247" s="96" t="s">
        <v>729</v>
      </c>
      <c r="E247" s="96" t="s">
        <v>469</v>
      </c>
      <c r="F247" s="96" t="s">
        <v>470</v>
      </c>
      <c r="G247" s="97">
        <v>479366</v>
      </c>
      <c r="H247" s="97">
        <v>177413</v>
      </c>
      <c r="I247" s="97">
        <v>38210</v>
      </c>
      <c r="J247" s="98">
        <v>1.94</v>
      </c>
      <c r="K247" s="98">
        <v>3.41</v>
      </c>
      <c r="L247" s="99">
        <v>24126.65</v>
      </c>
      <c r="M247" s="100">
        <f t="shared" si="72"/>
        <v>37.009925610076642</v>
      </c>
      <c r="N247" s="100">
        <f t="shared" si="73"/>
        <v>7.9709449564633283</v>
      </c>
      <c r="O247" s="100">
        <f t="shared" si="74"/>
        <v>21.537316882077413</v>
      </c>
      <c r="P247" s="100">
        <f t="shared" si="75"/>
        <v>50.330332147044224</v>
      </c>
      <c r="Q247" s="100">
        <f t="shared" si="76"/>
        <v>29.233022524783024</v>
      </c>
      <c r="R247" s="100">
        <f t="shared" si="77"/>
        <v>30.71114383300629</v>
      </c>
      <c r="S247" s="101">
        <f t="shared" si="78"/>
        <v>45873</v>
      </c>
      <c r="T247" s="102" t="str">
        <f t="shared" si="79"/>
        <v>Agosto</v>
      </c>
      <c r="U247" s="102" t="str">
        <f t="shared" si="80"/>
        <v>Lunes</v>
      </c>
      <c r="V247" s="102">
        <f t="shared" si="81"/>
        <v>10</v>
      </c>
      <c r="W247" s="102" t="str">
        <f t="shared" si="82"/>
        <v>Días después del pago</v>
      </c>
      <c r="X247" s="102">
        <f t="shared" si="83"/>
        <v>24</v>
      </c>
      <c r="Y247" s="102" t="str">
        <f t="shared" si="84"/>
        <v>Sí</v>
      </c>
      <c r="Z247" s="102" t="str">
        <f>CHOOSE(MATCH(B247,{"Customer Appreciation","Exclusive Offers","Flash Sale","Holiday Discounts","New Product Launch","Newsletter"},0),"Fidelizar","Vender","Vender","Vender","Lanzar","Educar")</f>
        <v>Vender</v>
      </c>
      <c r="AA247" s="102" t="str">
        <f t="shared" si="85"/>
        <v>Más de 400 mil</v>
      </c>
      <c r="AB247" s="102">
        <f>COUNTIFS($E$5:$E$493,E247,$S$5:$S$493,"&lt;"&amp;S247)+COUNTIFS($E$5:E247,E247,$S$5:S247,S247)</f>
        <v>1</v>
      </c>
      <c r="AC247" s="102">
        <f t="shared" si="86"/>
        <v>20</v>
      </c>
      <c r="AD247" s="102" t="str">
        <f t="shared" si="87"/>
        <v>Primer tercio</v>
      </c>
      <c r="AE247" s="103">
        <f t="shared" si="88"/>
        <v>7.7769030852936183</v>
      </c>
      <c r="AF247" s="102" t="str">
        <f t="shared" si="89"/>
        <v xml:space="preserve">  celebra con nosotros  descuentos festivos para regalar </v>
      </c>
      <c r="AG247" s="102" t="str">
        <f t="shared" si="90"/>
        <v xml:space="preserve"> regalos perfectos y ofertas que te encantarán   descubre más  </v>
      </c>
      <c r="AH247" s="102" t="str">
        <f>IF(SUMPRODUCT(--(LEFT(IF(LEFT(LOWER(E247),1)="¡",MID(LOWER(E247),2,300),LOWER(E247)),LEN({"actualizaci","el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247" s="102" t="str">
        <f>IF(OR(SUMPRODUCT(--ISNUMBER(SEARCH({"descuento","oferta","ahorr","precio"," sale ","flash","deals"},AF247)))&gt;0,SUMPRODUCT(--ISNUMBER(SEARCH({"descuento","oferta","ahorr","precio"," sale ","flash","deals"},AG247)))&gt;0),"Sí","No")</f>
        <v>Sí</v>
      </c>
      <c r="AJ247" s="102" t="str">
        <f>IF(SUMPRODUCT(--ISNUMBER(SEARCH({" hoy ","horas","tiempo limitado","antes de que","se acab","se agot","finalic","última oportunidad","oportunidad única","relámpago","express","no esperes","no volver","no parpadees"},AF247)))&gt;0,"Sí","No")</f>
        <v>No</v>
      </c>
      <c r="AK247" s="102" t="str">
        <f>IF(SUMPRODUCT(--ISNUMBER(SEARCH({" hoy ","horas","tiempo limitado","antes de que","se acab","se agot","finalic","última oportunidad","oportunidad única","relámpago","express","no esperes","no volver","no parpadees"},AG247)))&gt;0,"Sí","No")</f>
        <v>No</v>
      </c>
      <c r="AL247" s="102" t="str">
        <f t="shared" si="91"/>
        <v>Descuento sin tiempo límite</v>
      </c>
      <c r="AM247" s="102" t="str">
        <f>IF(SUMPRODUCT(--ISNUMBER(SEARCH({"0","1","2","3","4","5","6","7","8","9","favorit","maquillaje","piel","cabello","productos","belleza","regalo"},E247)))&gt;0,"Sí","No")</f>
        <v>No</v>
      </c>
      <c r="AN247" s="102" t="str">
        <f>IF(SUMPRODUCT(--ISNUMBER(SEARCH({"lo que tenemos","estas ofertas","algo especial","ofertas únicas","que preparamos","no te quedes","echa un vistazo"},F247)))&gt;0,"Sí","No")</f>
        <v>No</v>
      </c>
      <c r="AO247" s="102">
        <f t="shared" si="92"/>
        <v>55</v>
      </c>
      <c r="AP247" s="102">
        <f t="shared" si="93"/>
        <v>7</v>
      </c>
      <c r="AQ247" s="102">
        <f>SUMPRODUCT(LEN(E247)-LEN(SUBSTITUTE(E247,{"!","¡","?","¿",":",",",".","%","·","-",";"},"")))</f>
        <v>2</v>
      </c>
      <c r="AR247" s="102" t="str">
        <f t="shared" si="94"/>
        <v>Sí</v>
      </c>
      <c r="AS247" s="102" t="str">
        <f t="shared" si="95"/>
        <v>No</v>
      </c>
      <c r="AT247" s="102" t="str">
        <f>IF(SUMPRODUCT(--ISNUMBER(FIND({"0","1","2","3","4","5","6","7","8","9"},E247)))&gt;0,"Con cifra concreta",IF(OR(ISNUMBER(FIND("?",E247)),ISNUMBER(FIND("¿",E247))),"Pregunta abierta",IF(SUMPRODUCT(--ISNUMBER(SEARCH({" hoy ","horas","tiempo limitado","antes de que","se acab","se agot","finalic","última oportunidad","oportunidad única","relámpago","express","no esperes","no volver","no parpadees"," ya ","últimas horas","últimas unidades"," ahora "},AF247)))&gt;0,"Solo urgencia, sin cifra",IF(SUMPRODUCT(--ISNUMBER(SEARCH({"recompensa","sorpresa","regalo","lealtad","detalle","gracias","pensamos en ti","para ti"},E247)))&gt;0,"Recompensa o sorpresa","Otro: beneficio o novedad"))))</f>
        <v>Otro: beneficio o novedad</v>
      </c>
    </row>
    <row r="248" spans="1:46" x14ac:dyDescent="0.2">
      <c r="A248" s="104" t="s">
        <v>1119</v>
      </c>
      <c r="B248" s="104" t="s">
        <v>278</v>
      </c>
      <c r="C248" s="104" t="s">
        <v>793</v>
      </c>
      <c r="D248" s="104" t="s">
        <v>947</v>
      </c>
      <c r="E248" s="104" t="s">
        <v>367</v>
      </c>
      <c r="F248" s="104" t="s">
        <v>458</v>
      </c>
      <c r="G248" s="105">
        <v>355941</v>
      </c>
      <c r="H248" s="105">
        <v>157608</v>
      </c>
      <c r="I248" s="105">
        <v>38053</v>
      </c>
      <c r="J248" s="106">
        <v>1.78</v>
      </c>
      <c r="K248" s="106">
        <v>3.62</v>
      </c>
      <c r="L248" s="107">
        <v>32246.09</v>
      </c>
      <c r="M248" s="108">
        <f t="shared" si="72"/>
        <v>44.279248527143544</v>
      </c>
      <c r="N248" s="108">
        <f t="shared" si="73"/>
        <v>10.690816736481608</v>
      </c>
      <c r="O248" s="108">
        <f t="shared" si="74"/>
        <v>24.144078980762398</v>
      </c>
      <c r="P248" s="108">
        <f t="shared" si="75"/>
        <v>90.593918655058005</v>
      </c>
      <c r="Q248" s="108">
        <f t="shared" si="76"/>
        <v>36.132518317209367</v>
      </c>
      <c r="R248" s="108">
        <f t="shared" si="77"/>
        <v>29.458247936272421</v>
      </c>
      <c r="S248" s="101">
        <f t="shared" si="78"/>
        <v>45939</v>
      </c>
      <c r="T248" s="102" t="str">
        <f t="shared" si="79"/>
        <v>Octubre</v>
      </c>
      <c r="U248" s="102" t="str">
        <f t="shared" si="80"/>
        <v>Jueves</v>
      </c>
      <c r="V248" s="102">
        <f t="shared" si="81"/>
        <v>9</v>
      </c>
      <c r="W248" s="102" t="str">
        <f t="shared" si="82"/>
        <v>Resto del mes</v>
      </c>
      <c r="X248" s="102">
        <f t="shared" si="83"/>
        <v>27</v>
      </c>
      <c r="Y248" s="102" t="str">
        <f t="shared" si="84"/>
        <v>Sí</v>
      </c>
      <c r="Z248" s="102" t="str">
        <f>CHOOSE(MATCH(B248,{"Customer Appreciation","Exclusive Offers","Flash Sale","Holiday Discounts","New Product Launch","Newsletter"},0),"Fidelizar","Vender","Vender","Vender","Lanzar","Educar")</f>
        <v>Lanzar</v>
      </c>
      <c r="AA248" s="102" t="str">
        <f t="shared" si="85"/>
        <v>300 a 400 mil</v>
      </c>
      <c r="AB248" s="102">
        <f>COUNTIFS($E$5:$E$493,E248,$S$5:$S$493,"&lt;"&amp;S248)+COUNTIFS($E$5:E248,E248,$S$5:S248,S248)</f>
        <v>14</v>
      </c>
      <c r="AC248" s="102">
        <f t="shared" si="86"/>
        <v>25</v>
      </c>
      <c r="AD248" s="102" t="str">
        <f t="shared" si="87"/>
        <v>Medio</v>
      </c>
      <c r="AE248" s="103">
        <f t="shared" si="88"/>
        <v>8.1467302099341765</v>
      </c>
      <c r="AF248" s="102" t="str">
        <f t="shared" si="89"/>
        <v xml:space="preserve">  el futuro de tu piel ha llegado  nuevo producto revolucionario </v>
      </c>
      <c r="AG248" s="102" t="str">
        <f t="shared" si="90"/>
        <v xml:space="preserve"> una fórmula revolucionaria para resultados visibles   compruébalo  </v>
      </c>
      <c r="AH248" s="102" t="str">
        <f>IF(SUMPRODUCT(--(LEFT(IF(LEFT(LOWER(E248),1)="¡",MID(LOWER(E248),2,300),LOWER(E248)),LEN({"actualizaci","el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248" s="102" t="str">
        <f>IF(OR(SUMPRODUCT(--ISNUMBER(SEARCH({"descuento","oferta","ahorr","precio"," sale ","flash","deals"},AF248)))&gt;0,SUMPRODUCT(--ISNUMBER(SEARCH({"descuento","oferta","ahorr","precio"," sale ","flash","deals"},AG248)))&gt;0),"Sí","No")</f>
        <v>No</v>
      </c>
      <c r="AJ248" s="102" t="str">
        <f>IF(SUMPRODUCT(--ISNUMBER(SEARCH({" hoy ","horas","tiempo limitado","antes de que","se acab","se agot","finalic","última oportunidad","oportunidad única","relámpago","express","no esperes","no volver","no parpadees"},AF248)))&gt;0,"Sí","No")</f>
        <v>No</v>
      </c>
      <c r="AK248" s="102" t="str">
        <f>IF(SUMPRODUCT(--ISNUMBER(SEARCH({" hoy ","horas","tiempo limitado","antes de que","se acab","se agot","finalic","última oportunidad","oportunidad única","relámpago","express","no esperes","no volver","no parpadees"},AG248)))&gt;0,"Sí","No")</f>
        <v>No</v>
      </c>
      <c r="AL248" s="102" t="str">
        <f t="shared" si="91"/>
        <v>Sin descuento</v>
      </c>
      <c r="AM248" s="102" t="str">
        <f>IF(SUMPRODUCT(--ISNUMBER(SEARCH({"0","1","2","3","4","5","6","7","8","9","favorit","maquillaje","piel","cabello","productos","belleza","regalo"},E248)))&gt;0,"Sí","No")</f>
        <v>Sí</v>
      </c>
      <c r="AN248" s="102" t="str">
        <f>IF(SUMPRODUCT(--ISNUMBER(SEARCH({"lo que tenemos","estas ofertas","algo especial","ofertas únicas","que preparamos","no te quedes","echa un vistazo"},F248)))&gt;0,"Sí","No")</f>
        <v>No</v>
      </c>
      <c r="AO248" s="102">
        <f t="shared" si="92"/>
        <v>63</v>
      </c>
      <c r="AP248" s="102">
        <f t="shared" si="93"/>
        <v>10</v>
      </c>
      <c r="AQ248" s="102">
        <f>SUMPRODUCT(LEN(E248)-LEN(SUBSTITUTE(E248,{"!","¡","?","¿",":",",",".","%","·","-",";"},"")))</f>
        <v>2</v>
      </c>
      <c r="AR248" s="102" t="str">
        <f t="shared" si="94"/>
        <v>No</v>
      </c>
      <c r="AS248" s="102" t="str">
        <f t="shared" si="95"/>
        <v>No</v>
      </c>
      <c r="AT248" s="102" t="str">
        <f>IF(SUMPRODUCT(--ISNUMBER(FIND({"0","1","2","3","4","5","6","7","8","9"},E248)))&gt;0,"Con cifra concreta",IF(OR(ISNUMBER(FIND("?",E248)),ISNUMBER(FIND("¿",E248))),"Pregunta abierta",IF(SUMPRODUCT(--ISNUMBER(SEARCH({" hoy ","horas","tiempo limitado","antes de que","se acab","se agot","finalic","última oportunidad","oportunidad única","relámpago","express","no esperes","no volver","no parpadees"," ya ","últimas horas","últimas unidades"," ahora "},AF248)))&gt;0,"Solo urgencia, sin cifra",IF(SUMPRODUCT(--ISNUMBER(SEARCH({"recompensa","sorpresa","regalo","lealtad","detalle","gracias","pensamos en ti","para ti"},E248)))&gt;0,"Recompensa o sorpresa","Otro: beneficio o novedad"))))</f>
        <v>Otro: beneficio o novedad</v>
      </c>
    </row>
    <row r="249" spans="1:46" x14ac:dyDescent="0.2">
      <c r="A249" s="96" t="s">
        <v>1120</v>
      </c>
      <c r="B249" s="96" t="s">
        <v>277</v>
      </c>
      <c r="C249" s="96" t="s">
        <v>830</v>
      </c>
      <c r="D249" s="96" t="s">
        <v>950</v>
      </c>
      <c r="E249" s="96" t="s">
        <v>461</v>
      </c>
      <c r="F249" s="96" t="s">
        <v>462</v>
      </c>
      <c r="G249" s="97">
        <v>92782</v>
      </c>
      <c r="H249" s="97">
        <v>40742</v>
      </c>
      <c r="I249" s="97">
        <v>14966</v>
      </c>
      <c r="J249" s="98">
        <v>7.3</v>
      </c>
      <c r="K249" s="98">
        <v>4.26</v>
      </c>
      <c r="L249" s="99">
        <v>25400.77</v>
      </c>
      <c r="M249" s="100">
        <f t="shared" si="72"/>
        <v>43.911534564894048</v>
      </c>
      <c r="N249" s="100">
        <f t="shared" si="73"/>
        <v>16.130283891272015</v>
      </c>
      <c r="O249" s="100">
        <f t="shared" si="74"/>
        <v>36.733591870796722</v>
      </c>
      <c r="P249" s="100">
        <f t="shared" si="75"/>
        <v>273.76829557457268</v>
      </c>
      <c r="Q249" s="100">
        <f t="shared" si="76"/>
        <v>35.409886702202286</v>
      </c>
      <c r="R249" s="100">
        <f t="shared" si="77"/>
        <v>30.71114383300629</v>
      </c>
      <c r="S249" s="101">
        <f t="shared" si="78"/>
        <v>45901</v>
      </c>
      <c r="T249" s="102" t="str">
        <f t="shared" si="79"/>
        <v>Septiembre</v>
      </c>
      <c r="U249" s="102" t="str">
        <f t="shared" si="80"/>
        <v>Lunes</v>
      </c>
      <c r="V249" s="102">
        <f t="shared" si="81"/>
        <v>14</v>
      </c>
      <c r="W249" s="102" t="str">
        <f t="shared" si="82"/>
        <v>Quincena</v>
      </c>
      <c r="X249" s="102">
        <f t="shared" si="83"/>
        <v>29</v>
      </c>
      <c r="Y249" s="102" t="str">
        <f t="shared" si="84"/>
        <v>Sí</v>
      </c>
      <c r="Z249" s="102" t="str">
        <f>CHOOSE(MATCH(B249,{"Customer Appreciation","Exclusive Offers","Flash Sale","Holiday Discounts","New Product Launch","Newsletter"},0),"Fidelizar","Vender","Vender","Vender","Lanzar","Educar")</f>
        <v>Vender</v>
      </c>
      <c r="AA249" s="102" t="str">
        <f t="shared" si="85"/>
        <v>Menos de 100 mil</v>
      </c>
      <c r="AB249" s="102">
        <f>COUNTIFS($E$5:$E$493,E249,$S$5:$S$493,"&lt;"&amp;S249)+COUNTIFS($E$5:E249,E249,$S$5:S249,S249)</f>
        <v>12</v>
      </c>
      <c r="AC249" s="102">
        <f t="shared" si="86"/>
        <v>30</v>
      </c>
      <c r="AD249" s="102" t="str">
        <f t="shared" si="87"/>
        <v>Medio</v>
      </c>
      <c r="AE249" s="103">
        <f t="shared" si="88"/>
        <v>8.5016478626917618</v>
      </c>
      <c r="AF249" s="102" t="str">
        <f t="shared" si="89"/>
        <v xml:space="preserve">  regalos perfectos te esperan  descuentos de lujo  l'oréal </v>
      </c>
      <c r="AG249" s="102" t="str">
        <f t="shared" si="90"/>
        <v xml:space="preserve"> encuentra ese detalle especial para ti o tus seres queridos   descubre  </v>
      </c>
      <c r="AH249" s="102" t="str">
        <f>IF(SUMPRODUCT(--(LEFT(IF(LEFT(LOWER(E249),1)="¡",MID(LOWER(E249),2,300),LOWER(E249)),LEN({"actualizaci","el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249" s="102" t="str">
        <f>IF(OR(SUMPRODUCT(--ISNUMBER(SEARCH({"descuento","oferta","ahorr","precio"," sale ","flash","deals"},AF249)))&gt;0,SUMPRODUCT(--ISNUMBER(SEARCH({"descuento","oferta","ahorr","precio"," sale ","flash","deals"},AG249)))&gt;0),"Sí","No")</f>
        <v>Sí</v>
      </c>
      <c r="AJ249" s="102" t="str">
        <f>IF(SUMPRODUCT(--ISNUMBER(SEARCH({" hoy ","horas","tiempo limitado","antes de que","se acab","se agot","finalic","última oportunidad","oportunidad única","relámpago","express","no esperes","no volver","no parpadees"},AF249)))&gt;0,"Sí","No")</f>
        <v>No</v>
      </c>
      <c r="AK249" s="102" t="str">
        <f>IF(SUMPRODUCT(--ISNUMBER(SEARCH({" hoy ","horas","tiempo limitado","antes de que","se acab","se agot","finalic","última oportunidad","oportunidad única","relámpago","express","no esperes","no volver","no parpadees"},AG249)))&gt;0,"Sí","No")</f>
        <v>No</v>
      </c>
      <c r="AL249" s="102" t="str">
        <f t="shared" si="91"/>
        <v>Descuento sin tiempo límite</v>
      </c>
      <c r="AM249" s="102" t="str">
        <f>IF(SUMPRODUCT(--ISNUMBER(SEARCH({"0","1","2","3","4","5","6","7","8","9","favorit","maquillaje","piel","cabello","productos","belleza","regalo"},E249)))&gt;0,"Sí","No")</f>
        <v>Sí</v>
      </c>
      <c r="AN249" s="102" t="str">
        <f>IF(SUMPRODUCT(--ISNUMBER(SEARCH({"lo que tenemos","estas ofertas","algo especial","ofertas únicas","que preparamos","no te quedes","echa un vistazo"},F249)))&gt;0,"Sí","No")</f>
        <v>No</v>
      </c>
      <c r="AO249" s="102">
        <f t="shared" si="92"/>
        <v>58</v>
      </c>
      <c r="AP249" s="102">
        <f t="shared" si="93"/>
        <v>8</v>
      </c>
      <c r="AQ249" s="102">
        <f>SUMPRODUCT(LEN(E249)-LEN(SUBSTITUTE(E249,{"!","¡","?","¿",":",",",".","%","·","-",";"},"")))</f>
        <v>3</v>
      </c>
      <c r="AR249" s="102" t="str">
        <f t="shared" si="94"/>
        <v>Sí</v>
      </c>
      <c r="AS249" s="102" t="str">
        <f t="shared" si="95"/>
        <v>No</v>
      </c>
      <c r="AT249" s="102" t="str">
        <f>IF(SUMPRODUCT(--ISNUMBER(FIND({"0","1","2","3","4","5","6","7","8","9"},E249)))&gt;0,"Con cifra concreta",IF(OR(ISNUMBER(FIND("?",E249)),ISNUMBER(FIND("¿",E249))),"Pregunta abierta",IF(SUMPRODUCT(--ISNUMBER(SEARCH({" hoy ","horas","tiempo limitado","antes de que","se acab","se agot","finalic","última oportunidad","oportunidad única","relámpago","express","no esperes","no volver","no parpadees"," ya ","últimas horas","últimas unidades"," ahora "},AF249)))&gt;0,"Solo urgencia, sin cifra",IF(SUMPRODUCT(--ISNUMBER(SEARCH({"recompensa","sorpresa","regalo","lealtad","detalle","gracias","pensamos en ti","para ti"},E249)))&gt;0,"Recompensa o sorpresa","Otro: beneficio o novedad"))))</f>
        <v>Recompensa o sorpresa</v>
      </c>
    </row>
    <row r="250" spans="1:46" x14ac:dyDescent="0.2">
      <c r="A250" s="104" t="s">
        <v>1121</v>
      </c>
      <c r="B250" s="104" t="s">
        <v>274</v>
      </c>
      <c r="C250" s="104" t="s">
        <v>976</v>
      </c>
      <c r="D250" s="104" t="s">
        <v>751</v>
      </c>
      <c r="E250" s="104" t="s">
        <v>371</v>
      </c>
      <c r="F250" s="104" t="s">
        <v>452</v>
      </c>
      <c r="G250" s="105">
        <v>495187</v>
      </c>
      <c r="H250" s="105">
        <v>160538</v>
      </c>
      <c r="I250" s="105">
        <v>54124</v>
      </c>
      <c r="J250" s="106">
        <v>1.71</v>
      </c>
      <c r="K250" s="106">
        <v>1.05</v>
      </c>
      <c r="L250" s="107">
        <v>93809.82</v>
      </c>
      <c r="M250" s="108">
        <f t="shared" si="72"/>
        <v>32.419671760365276</v>
      </c>
      <c r="N250" s="108">
        <f t="shared" si="73"/>
        <v>10.930012298384247</v>
      </c>
      <c r="O250" s="108">
        <f t="shared" si="74"/>
        <v>33.714136216970438</v>
      </c>
      <c r="P250" s="108">
        <f t="shared" si="75"/>
        <v>189.44322043995501</v>
      </c>
      <c r="Q250" s="108">
        <f t="shared" si="76"/>
        <v>40.72142758959253</v>
      </c>
      <c r="R250" s="108">
        <f t="shared" si="77"/>
        <v>31.113650744455075</v>
      </c>
      <c r="S250" s="101">
        <f t="shared" si="78"/>
        <v>45892</v>
      </c>
      <c r="T250" s="102" t="str">
        <f t="shared" si="79"/>
        <v>Agosto</v>
      </c>
      <c r="U250" s="102" t="str">
        <f t="shared" si="80"/>
        <v>Sábado</v>
      </c>
      <c r="V250" s="102">
        <f t="shared" si="81"/>
        <v>11</v>
      </c>
      <c r="W250" s="102" t="str">
        <f t="shared" si="82"/>
        <v>Resto del mes</v>
      </c>
      <c r="X250" s="102">
        <f t="shared" si="83"/>
        <v>25</v>
      </c>
      <c r="Y250" s="102" t="str">
        <f t="shared" si="84"/>
        <v>Sí</v>
      </c>
      <c r="Z250" s="102" t="str">
        <f>CHOOSE(MATCH(B250,{"Customer Appreciation","Exclusive Offers","Flash Sale","Holiday Discounts","New Product Launch","Newsletter"},0),"Fidelizar","Vender","Vender","Vender","Lanzar","Educar")</f>
        <v>Fidelizar</v>
      </c>
      <c r="AA250" s="102" t="str">
        <f t="shared" si="85"/>
        <v>Más de 400 mil</v>
      </c>
      <c r="AB250" s="102">
        <f>COUNTIFS($E$5:$E$493,E250,$S$5:$S$493,"&lt;"&amp;S250)+COUNTIFS($E$5:E250,E250,$S$5:S250,S250)</f>
        <v>3</v>
      </c>
      <c r="AC250" s="102">
        <f t="shared" si="86"/>
        <v>16</v>
      </c>
      <c r="AD250" s="102" t="str">
        <f t="shared" si="87"/>
        <v>Primer tercio</v>
      </c>
      <c r="AE250" s="103">
        <f t="shared" si="88"/>
        <v>-8.301755829227254</v>
      </c>
      <c r="AF250" s="102" t="str">
        <f t="shared" si="89"/>
        <v xml:space="preserve">  tu lealtad tiene recompensa  descúbrela  sorpresas para ti </v>
      </c>
      <c r="AG250" s="102" t="str">
        <f t="shared" si="90"/>
        <v xml:space="preserve"> ofertas exclusivas para nuestros clientes más especiales   no te las pierdas  </v>
      </c>
      <c r="AH250" s="102" t="str">
        <f>IF(SUMPRODUCT(--(LEFT(IF(LEFT(LOWER(E250),1)="¡",MID(LOWER(E250),2,300),LOWER(E250)),LEN({"actualizaci","el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250" s="102" t="str">
        <f>IF(OR(SUMPRODUCT(--ISNUMBER(SEARCH({"descuento","oferta","ahorr","precio"," sale ","flash","deals"},AF250)))&gt;0,SUMPRODUCT(--ISNUMBER(SEARCH({"descuento","oferta","ahorr","precio"," sale ","flash","deals"},AG250)))&gt;0),"Sí","No")</f>
        <v>Sí</v>
      </c>
      <c r="AJ250" s="102" t="str">
        <f>IF(SUMPRODUCT(--ISNUMBER(SEARCH({" hoy ","horas","tiempo limitado","antes de que","se acab","se agot","finalic","última oportunidad","oportunidad única","relámpago","express","no esperes","no volver","no parpadees"},AF250)))&gt;0,"Sí","No")</f>
        <v>No</v>
      </c>
      <c r="AK250" s="102" t="str">
        <f>IF(SUMPRODUCT(--ISNUMBER(SEARCH({" hoy ","horas","tiempo limitado","antes de que","se acab","se agot","finalic","última oportunidad","oportunidad única","relámpago","express","no esperes","no volver","no parpadees"},AG250)))&gt;0,"Sí","No")</f>
        <v>No</v>
      </c>
      <c r="AL250" s="102" t="str">
        <f t="shared" si="91"/>
        <v>Descuento sin tiempo límite</v>
      </c>
      <c r="AM250" s="102" t="str">
        <f>IF(SUMPRODUCT(--ISNUMBER(SEARCH({"0","1","2","3","4","5","6","7","8","9","favorit","maquillaje","piel","cabello","productos","belleza","regalo"},E250)))&gt;0,"Sí","No")</f>
        <v>No</v>
      </c>
      <c r="AN250" s="102" t="str">
        <f>IF(SUMPRODUCT(--ISNUMBER(SEARCH({"lo que tenemos","estas ofertas","algo especial","ofertas únicas","que preparamos","no te quedes","echa un vistazo"},F250)))&gt;0,"Sí","No")</f>
        <v>No</v>
      </c>
      <c r="AO250" s="102">
        <f t="shared" si="92"/>
        <v>59</v>
      </c>
      <c r="AP250" s="102">
        <f t="shared" si="93"/>
        <v>8</v>
      </c>
      <c r="AQ250" s="102">
        <f>SUMPRODUCT(LEN(E250)-LEN(SUBSTITUTE(E250,{"!","¡","?","¿",":",",",".","%","·","-",";"},"")))</f>
        <v>3</v>
      </c>
      <c r="AR250" s="102" t="str">
        <f t="shared" si="94"/>
        <v>Sí</v>
      </c>
      <c r="AS250" s="102" t="str">
        <f t="shared" si="95"/>
        <v>No</v>
      </c>
      <c r="AT250" s="102" t="str">
        <f>IF(SUMPRODUCT(--ISNUMBER(FIND({"0","1","2","3","4","5","6","7","8","9"},E250)))&gt;0,"Con cifra concreta",IF(OR(ISNUMBER(FIND("?",E250)),ISNUMBER(FIND("¿",E250))),"Pregunta abierta",IF(SUMPRODUCT(--ISNUMBER(SEARCH({" hoy ","horas","tiempo limitado","antes de que","se acab","se agot","finalic","última oportunidad","oportunidad única","relámpago","express","no esperes","no volver","no parpadees"," ya ","últimas horas","últimas unidades"," ahora "},AF250)))&gt;0,"Solo urgencia, sin cifra",IF(SUMPRODUCT(--ISNUMBER(SEARCH({"recompensa","sorpresa","regalo","lealtad","detalle","gracias","pensamos en ti","para ti"},E250)))&gt;0,"Recompensa o sorpresa","Otro: beneficio o novedad"))))</f>
        <v>Recompensa o sorpresa</v>
      </c>
    </row>
    <row r="251" spans="1:46" x14ac:dyDescent="0.2">
      <c r="A251" s="96" t="s">
        <v>1122</v>
      </c>
      <c r="B251" s="96" t="s">
        <v>278</v>
      </c>
      <c r="C251" s="96" t="s">
        <v>742</v>
      </c>
      <c r="D251" s="96" t="s">
        <v>702</v>
      </c>
      <c r="E251" s="96" t="s">
        <v>368</v>
      </c>
      <c r="F251" s="96" t="s">
        <v>471</v>
      </c>
      <c r="G251" s="97">
        <v>192395</v>
      </c>
      <c r="H251" s="97">
        <v>80790</v>
      </c>
      <c r="I251" s="97">
        <v>18855</v>
      </c>
      <c r="J251" s="98">
        <v>7.83</v>
      </c>
      <c r="K251" s="98">
        <v>2.46</v>
      </c>
      <c r="L251" s="99">
        <v>59693.48</v>
      </c>
      <c r="M251" s="100">
        <f t="shared" si="72"/>
        <v>41.991735751968605</v>
      </c>
      <c r="N251" s="100">
        <f t="shared" si="73"/>
        <v>9.800150731567868</v>
      </c>
      <c r="O251" s="100">
        <f t="shared" si="74"/>
        <v>23.338284441143706</v>
      </c>
      <c r="P251" s="100">
        <f t="shared" si="75"/>
        <v>310.2652355830453</v>
      </c>
      <c r="Q251" s="100">
        <f t="shared" si="76"/>
        <v>23.315840784070005</v>
      </c>
      <c r="R251" s="100">
        <f t="shared" si="77"/>
        <v>29.458247936272421</v>
      </c>
      <c r="S251" s="101">
        <f t="shared" si="78"/>
        <v>45948</v>
      </c>
      <c r="T251" s="102" t="str">
        <f t="shared" si="79"/>
        <v>Octubre</v>
      </c>
      <c r="U251" s="102" t="str">
        <f t="shared" si="80"/>
        <v>Sábado</v>
      </c>
      <c r="V251" s="102">
        <f t="shared" si="81"/>
        <v>16</v>
      </c>
      <c r="W251" s="102" t="str">
        <f t="shared" si="82"/>
        <v>Días después del pago</v>
      </c>
      <c r="X251" s="102">
        <f t="shared" si="83"/>
        <v>27</v>
      </c>
      <c r="Y251" s="102" t="str">
        <f t="shared" si="84"/>
        <v>Sí</v>
      </c>
      <c r="Z251" s="102" t="str">
        <f>CHOOSE(MATCH(B251,{"Customer Appreciation","Exclusive Offers","Flash Sale","Holiday Discounts","New Product Launch","Newsletter"},0),"Fidelizar","Vender","Vender","Vender","Lanzar","Educar")</f>
        <v>Lanzar</v>
      </c>
      <c r="AA251" s="102" t="str">
        <f t="shared" si="85"/>
        <v>100 a 200 mil</v>
      </c>
      <c r="AB251" s="102">
        <f>COUNTIFS($E$5:$E$493,E251,$S$5:$S$493,"&lt;"&amp;S251)+COUNTIFS($E$5:E251,E251,$S$5:S251,S251)</f>
        <v>27</v>
      </c>
      <c r="AC251" s="102">
        <f t="shared" si="86"/>
        <v>33</v>
      </c>
      <c r="AD251" s="102" t="str">
        <f t="shared" si="87"/>
        <v>Último tercio</v>
      </c>
      <c r="AE251" s="103">
        <f t="shared" si="88"/>
        <v>18.6758949678986</v>
      </c>
      <c r="AF251" s="102" t="str">
        <f t="shared" si="89"/>
        <v xml:space="preserve"> presentamos  nuestro último lanzamiento de belleza  imperdible  </v>
      </c>
      <c r="AG251" s="102" t="str">
        <f t="shared" si="90"/>
        <v xml:space="preserve"> una innovación que cambiará tu rutina   sé de los primeros  </v>
      </c>
      <c r="AH251" s="102" t="str">
        <f>IF(SUMPRODUCT(--(LEFT(IF(LEFT(LOWER(E251),1)="¡",MID(LOWER(E251),2,300),LOWER(E251)),LEN({"actualizaci","el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Sí</v>
      </c>
      <c r="AI251" s="102" t="str">
        <f>IF(OR(SUMPRODUCT(--ISNUMBER(SEARCH({"descuento","oferta","ahorr","precio"," sale ","flash","deals"},AF251)))&gt;0,SUMPRODUCT(--ISNUMBER(SEARCH({"descuento","oferta","ahorr","precio"," sale ","flash","deals"},AG251)))&gt;0),"Sí","No")</f>
        <v>No</v>
      </c>
      <c r="AJ251" s="102" t="str">
        <f>IF(SUMPRODUCT(--ISNUMBER(SEARCH({" hoy ","horas","tiempo limitado","antes de que","se acab","se agot","finalic","última oportunidad","oportunidad única","relámpago","express","no esperes","no volver","no parpadees"},AF251)))&gt;0,"Sí","No")</f>
        <v>No</v>
      </c>
      <c r="AK251" s="102" t="str">
        <f>IF(SUMPRODUCT(--ISNUMBER(SEARCH({" hoy ","horas","tiempo limitado","antes de que","se acab","se agot","finalic","última oportunidad","oportunidad única","relámpago","express","no esperes","no volver","no parpadees"},AG251)))&gt;0,"Sí","No")</f>
        <v>No</v>
      </c>
      <c r="AL251" s="102" t="str">
        <f t="shared" si="91"/>
        <v>Sin descuento</v>
      </c>
      <c r="AM251" s="102" t="str">
        <f>IF(SUMPRODUCT(--ISNUMBER(SEARCH({"0","1","2","3","4","5","6","7","8","9","favorit","maquillaje","piel","cabello","productos","belleza","regalo"},E251)))&gt;0,"Sí","No")</f>
        <v>Sí</v>
      </c>
      <c r="AN251" s="102" t="str">
        <f>IF(SUMPRODUCT(--ISNUMBER(SEARCH({"lo que tenemos","estas ofertas","algo especial","ofertas únicas","que preparamos","no te quedes","echa un vistazo"},F251)))&gt;0,"Sí","No")</f>
        <v>No</v>
      </c>
      <c r="AO251" s="102">
        <f t="shared" si="92"/>
        <v>63</v>
      </c>
      <c r="AP251" s="102">
        <f t="shared" si="93"/>
        <v>7</v>
      </c>
      <c r="AQ251" s="102">
        <f>SUMPRODUCT(LEN(E251)-LEN(SUBSTITUTE(E251,{"!","¡","?","¿",":",",",".","%","·","-",";"},"")))</f>
        <v>3</v>
      </c>
      <c r="AR251" s="102" t="str">
        <f t="shared" si="94"/>
        <v>No</v>
      </c>
      <c r="AS251" s="102" t="str">
        <f t="shared" si="95"/>
        <v>No</v>
      </c>
      <c r="AT251" s="102" t="str">
        <f>IF(SUMPRODUCT(--ISNUMBER(FIND({"0","1","2","3","4","5","6","7","8","9"},E251)))&gt;0,"Con cifra concreta",IF(OR(ISNUMBER(FIND("?",E251)),ISNUMBER(FIND("¿",E251))),"Pregunta abierta",IF(SUMPRODUCT(--ISNUMBER(SEARCH({" hoy ","horas","tiempo limitado","antes de que","se acab","se agot","finalic","última oportunidad","oportunidad única","relámpago","express","no esperes","no volver","no parpadees"," ya ","últimas horas","últimas unidades"," ahora "},AF251)))&gt;0,"Solo urgencia, sin cifra",IF(SUMPRODUCT(--ISNUMBER(SEARCH({"recompensa","sorpresa","regalo","lealtad","detalle","gracias","pensamos en ti","para ti"},E251)))&gt;0,"Recompensa o sorpresa","Otro: beneficio o novedad"))))</f>
        <v>Otro: beneficio o novedad</v>
      </c>
    </row>
    <row r="252" spans="1:46" x14ac:dyDescent="0.2">
      <c r="A252" s="104" t="s">
        <v>1123</v>
      </c>
      <c r="B252" s="104" t="s">
        <v>274</v>
      </c>
      <c r="C252" s="104" t="s">
        <v>773</v>
      </c>
      <c r="D252" s="104" t="s">
        <v>707</v>
      </c>
      <c r="E252" s="104" t="s">
        <v>453</v>
      </c>
      <c r="F252" s="104" t="s">
        <v>454</v>
      </c>
      <c r="G252" s="105">
        <v>12059</v>
      </c>
      <c r="H252" s="105">
        <v>5959</v>
      </c>
      <c r="I252" s="105">
        <v>2368</v>
      </c>
      <c r="J252" s="106">
        <v>9.08</v>
      </c>
      <c r="K252" s="106">
        <v>0.53</v>
      </c>
      <c r="L252" s="107">
        <v>93351.79</v>
      </c>
      <c r="M252" s="108">
        <f t="shared" si="72"/>
        <v>49.415374409154985</v>
      </c>
      <c r="N252" s="108">
        <f t="shared" si="73"/>
        <v>19.636785803134586</v>
      </c>
      <c r="O252" s="108">
        <f t="shared" si="74"/>
        <v>39.738211109246521</v>
      </c>
      <c r="P252" s="108">
        <f t="shared" si="75"/>
        <v>7741.254664565884</v>
      </c>
      <c r="Q252" s="108">
        <f t="shared" si="76"/>
        <v>39.210446566150395</v>
      </c>
      <c r="R252" s="108">
        <f t="shared" si="77"/>
        <v>31.113650744455075</v>
      </c>
      <c r="S252" s="101">
        <f t="shared" si="78"/>
        <v>45909</v>
      </c>
      <c r="T252" s="102" t="str">
        <f t="shared" si="79"/>
        <v>Septiembre</v>
      </c>
      <c r="U252" s="102" t="str">
        <f t="shared" si="80"/>
        <v>Martes</v>
      </c>
      <c r="V252" s="102">
        <f t="shared" si="81"/>
        <v>13</v>
      </c>
      <c r="W252" s="102" t="str">
        <f t="shared" si="82"/>
        <v>Resto del mes</v>
      </c>
      <c r="X252" s="102">
        <f t="shared" si="83"/>
        <v>28</v>
      </c>
      <c r="Y252" s="102" t="str">
        <f t="shared" si="84"/>
        <v>Sí</v>
      </c>
      <c r="Z252" s="102" t="str">
        <f>CHOOSE(MATCH(B252,{"Customer Appreciation","Exclusive Offers","Flash Sale","Holiday Discounts","New Product Launch","Newsletter"},0),"Fidelizar","Vender","Vender","Vender","Lanzar","Educar")</f>
        <v>Fidelizar</v>
      </c>
      <c r="AA252" s="102" t="str">
        <f t="shared" si="85"/>
        <v>Menos de 100 mil</v>
      </c>
      <c r="AB252" s="102">
        <f>COUNTIFS($E$5:$E$493,E252,$S$5:$S$493,"&lt;"&amp;S252)+COUNTIFS($E$5:E252,E252,$S$5:S252,S252)</f>
        <v>16</v>
      </c>
      <c r="AC252" s="102">
        <f t="shared" si="86"/>
        <v>20</v>
      </c>
      <c r="AD252" s="102" t="str">
        <f t="shared" si="87"/>
        <v>Último tercio</v>
      </c>
      <c r="AE252" s="103">
        <f t="shared" si="88"/>
        <v>10.20492784300459</v>
      </c>
      <c r="AF252" s="102" t="str">
        <f t="shared" si="89"/>
        <v xml:space="preserve">  pensamos en ti  descubre estas sorpresas exclusivas </v>
      </c>
      <c r="AG252" s="102" t="str">
        <f t="shared" si="90"/>
        <v xml:space="preserve"> ofertas exclusivas por tu lealtad a l'oréal   aprovecha  </v>
      </c>
      <c r="AH252" s="102" t="str">
        <f>IF(SUMPRODUCT(--(LEFT(IF(LEFT(LOWER(E252),1)="¡",MID(LOWER(E252),2,300),LOWER(E252)),LEN({"actualizaci","el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252" s="102" t="str">
        <f>IF(OR(SUMPRODUCT(--ISNUMBER(SEARCH({"descuento","oferta","ahorr","precio"," sale ","flash","deals"},AF252)))&gt;0,SUMPRODUCT(--ISNUMBER(SEARCH({"descuento","oferta","ahorr","precio"," sale ","flash","deals"},AG252)))&gt;0),"Sí","No")</f>
        <v>Sí</v>
      </c>
      <c r="AJ252" s="102" t="str">
        <f>IF(SUMPRODUCT(--ISNUMBER(SEARCH({" hoy ","horas","tiempo limitado","antes de que","se acab","se agot","finalic","última oportunidad","oportunidad única","relámpago","express","no esperes","no volver","no parpadees"},AF252)))&gt;0,"Sí","No")</f>
        <v>No</v>
      </c>
      <c r="AK252" s="102" t="str">
        <f>IF(SUMPRODUCT(--ISNUMBER(SEARCH({" hoy ","horas","tiempo limitado","antes de que","se acab","se agot","finalic","última oportunidad","oportunidad única","relámpago","express","no esperes","no volver","no parpadees"},AG252)))&gt;0,"Sí","No")</f>
        <v>No</v>
      </c>
      <c r="AL252" s="102" t="str">
        <f t="shared" si="91"/>
        <v>Descuento sin tiempo límite</v>
      </c>
      <c r="AM252" s="102" t="str">
        <f>IF(SUMPRODUCT(--ISNUMBER(SEARCH({"0","1","2","3","4","5","6","7","8","9","favorit","maquillaje","piel","cabello","productos","belleza","regalo"},E252)))&gt;0,"Sí","No")</f>
        <v>No</v>
      </c>
      <c r="AN252" s="102" t="str">
        <f>IF(SUMPRODUCT(--ISNUMBER(SEARCH({"lo que tenemos","estas ofertas","algo especial","ofertas únicas","que preparamos","no te quedes","echa un vistazo"},F252)))&gt;0,"Sí","No")</f>
        <v>No</v>
      </c>
      <c r="AO252" s="102">
        <f t="shared" si="92"/>
        <v>52</v>
      </c>
      <c r="AP252" s="102">
        <f t="shared" si="93"/>
        <v>7</v>
      </c>
      <c r="AQ252" s="102">
        <f>SUMPRODUCT(LEN(E252)-LEN(SUBSTITUTE(E252,{"!","¡","?","¿",":",",",".","%","·","-",";"},"")))</f>
        <v>2</v>
      </c>
      <c r="AR252" s="102" t="str">
        <f t="shared" si="94"/>
        <v>Sí</v>
      </c>
      <c r="AS252" s="102" t="str">
        <f t="shared" si="95"/>
        <v>No</v>
      </c>
      <c r="AT252" s="102" t="str">
        <f>IF(SUMPRODUCT(--ISNUMBER(FIND({"0","1","2","3","4","5","6","7","8","9"},E252)))&gt;0,"Con cifra concreta",IF(OR(ISNUMBER(FIND("?",E252)),ISNUMBER(FIND("¿",E252))),"Pregunta abierta",IF(SUMPRODUCT(--ISNUMBER(SEARCH({" hoy ","horas","tiempo limitado","antes de que","se acab","se agot","finalic","última oportunidad","oportunidad única","relámpago","express","no esperes","no volver","no parpadees"," ya ","últimas horas","últimas unidades"," ahora "},AF252)))&gt;0,"Solo urgencia, sin cifra",IF(SUMPRODUCT(--ISNUMBER(SEARCH({"recompensa","sorpresa","regalo","lealtad","detalle","gracias","pensamos en ti","para ti"},E252)))&gt;0,"Recompensa o sorpresa","Otro: beneficio o novedad"))))</f>
        <v>Recompensa o sorpresa</v>
      </c>
    </row>
    <row r="253" spans="1:46" x14ac:dyDescent="0.2">
      <c r="A253" s="96" t="s">
        <v>1124</v>
      </c>
      <c r="B253" s="96" t="s">
        <v>276</v>
      </c>
      <c r="C253" s="96" t="s">
        <v>980</v>
      </c>
      <c r="D253" s="96" t="s">
        <v>824</v>
      </c>
      <c r="E253" s="96" t="s">
        <v>474</v>
      </c>
      <c r="F253" s="96" t="s">
        <v>475</v>
      </c>
      <c r="G253" s="97">
        <v>387545</v>
      </c>
      <c r="H253" s="97">
        <v>69212</v>
      </c>
      <c r="I253" s="97">
        <v>20155</v>
      </c>
      <c r="J253" s="98">
        <v>4.09</v>
      </c>
      <c r="K253" s="98">
        <v>2.38</v>
      </c>
      <c r="L253" s="99">
        <v>69462.86</v>
      </c>
      <c r="M253" s="100">
        <f t="shared" si="72"/>
        <v>17.859087331793727</v>
      </c>
      <c r="N253" s="100">
        <f t="shared" si="73"/>
        <v>5.2006863719051974</v>
      </c>
      <c r="O253" s="100">
        <f t="shared" si="74"/>
        <v>29.120672715714036</v>
      </c>
      <c r="P253" s="100">
        <f t="shared" si="75"/>
        <v>179.23817879214027</v>
      </c>
      <c r="Q253" s="100">
        <f t="shared" si="76"/>
        <v>22.775066640377752</v>
      </c>
      <c r="R253" s="100">
        <f t="shared" si="77"/>
        <v>29.440902453236173</v>
      </c>
      <c r="S253" s="101">
        <f t="shared" si="78"/>
        <v>45875</v>
      </c>
      <c r="T253" s="102" t="str">
        <f t="shared" si="79"/>
        <v>Agosto</v>
      </c>
      <c r="U253" s="102" t="str">
        <f t="shared" si="80"/>
        <v>Miércoles</v>
      </c>
      <c r="V253" s="102">
        <f t="shared" si="81"/>
        <v>10</v>
      </c>
      <c r="W253" s="102" t="str">
        <f t="shared" si="82"/>
        <v>Resto del mes</v>
      </c>
      <c r="X253" s="102">
        <f t="shared" si="83"/>
        <v>28</v>
      </c>
      <c r="Y253" s="102" t="str">
        <f t="shared" si="84"/>
        <v>Sí</v>
      </c>
      <c r="Z253" s="102" t="str">
        <f>CHOOSE(MATCH(B253,{"Customer Appreciation","Exclusive Offers","Flash Sale","Holiday Discounts","New Product Launch","Newsletter"},0),"Fidelizar","Vender","Vender","Vender","Lanzar","Educar")</f>
        <v>Vender</v>
      </c>
      <c r="AA253" s="102" t="str">
        <f t="shared" si="85"/>
        <v>300 a 400 mil</v>
      </c>
      <c r="AB253" s="102">
        <f>COUNTIFS($E$5:$E$493,E253,$S$5:$S$493,"&lt;"&amp;S253)+COUNTIFS($E$5:E253,E253,$S$5:S253,S253)</f>
        <v>2</v>
      </c>
      <c r="AC253" s="102">
        <f t="shared" si="86"/>
        <v>20</v>
      </c>
      <c r="AD253" s="102" t="str">
        <f t="shared" si="87"/>
        <v>Primer tercio</v>
      </c>
      <c r="AE253" s="103">
        <f t="shared" si="88"/>
        <v>-4.9159793085840242</v>
      </c>
      <c r="AF253" s="102" t="str">
        <f t="shared" si="89"/>
        <v xml:space="preserve">  aprovecha antes de que se acabe  oferta flash  productos top </v>
      </c>
      <c r="AG253" s="102" t="str">
        <f t="shared" si="90"/>
        <v xml:space="preserve"> grandes descuentos por tiempo limitado   no te lo pierdas  </v>
      </c>
      <c r="AH253" s="102" t="str">
        <f>IF(SUMPRODUCT(--(LEFT(IF(LEFT(LOWER(E253),1)="¡",MID(LOWER(E253),2,300),LOWER(E253)),LEN({"actualizaci","el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253" s="102" t="str">
        <f>IF(OR(SUMPRODUCT(--ISNUMBER(SEARCH({"descuento","oferta","ahorr","precio"," sale ","flash","deals"},AF253)))&gt;0,SUMPRODUCT(--ISNUMBER(SEARCH({"descuento","oferta","ahorr","precio"," sale ","flash","deals"},AG253)))&gt;0),"Sí","No")</f>
        <v>Sí</v>
      </c>
      <c r="AJ253" s="102" t="str">
        <f>IF(SUMPRODUCT(--ISNUMBER(SEARCH({" hoy ","horas","tiempo limitado","antes de que","se acab","se agot","finalic","última oportunidad","oportunidad única","relámpago","express","no esperes","no volver","no parpadees"},AF253)))&gt;0,"Sí","No")</f>
        <v>Sí</v>
      </c>
      <c r="AK253" s="102" t="str">
        <f>IF(SUMPRODUCT(--ISNUMBER(SEARCH({" hoy ","horas","tiempo limitado","antes de que","se acab","se agot","finalic","última oportunidad","oportunidad única","relámpago","express","no esperes","no volver","no parpadees"},AG253)))&gt;0,"Sí","No")</f>
        <v>Sí</v>
      </c>
      <c r="AL253" s="102" t="str">
        <f t="shared" si="91"/>
        <v>Descuento con tiempo límite en el asunto</v>
      </c>
      <c r="AM253" s="102" t="str">
        <f>IF(SUMPRODUCT(--ISNUMBER(SEARCH({"0","1","2","3","4","5","6","7","8","9","favorit","maquillaje","piel","cabello","productos","belleza","regalo"},E253)))&gt;0,"Sí","No")</f>
        <v>Sí</v>
      </c>
      <c r="AN253" s="102" t="str">
        <f>IF(SUMPRODUCT(--ISNUMBER(SEARCH({"lo que tenemos","estas ofertas","algo especial","ofertas únicas","que preparamos","no te quedes","echa un vistazo"},F253)))&gt;0,"Sí","No")</f>
        <v>No</v>
      </c>
      <c r="AO253" s="102">
        <f t="shared" si="92"/>
        <v>61</v>
      </c>
      <c r="AP253" s="102">
        <f t="shared" si="93"/>
        <v>10</v>
      </c>
      <c r="AQ253" s="102">
        <f>SUMPRODUCT(LEN(E253)-LEN(SUBSTITUTE(E253,{"!","¡","?","¿",":",",",".","%","·","-",";"},"")))</f>
        <v>3</v>
      </c>
      <c r="AR253" s="102" t="str">
        <f t="shared" si="94"/>
        <v>No</v>
      </c>
      <c r="AS253" s="102" t="str">
        <f t="shared" si="95"/>
        <v>No</v>
      </c>
      <c r="AT253" s="102" t="str">
        <f>IF(SUMPRODUCT(--ISNUMBER(FIND({"0","1","2","3","4","5","6","7","8","9"},E253)))&gt;0,"Con cifra concreta",IF(OR(ISNUMBER(FIND("?",E253)),ISNUMBER(FIND("¿",E253))),"Pregunta abierta",IF(SUMPRODUCT(--ISNUMBER(SEARCH({" hoy ","horas","tiempo limitado","antes de que","se acab","se agot","finalic","última oportunidad","oportunidad única","relámpago","express","no esperes","no volver","no parpadees"," ya ","últimas horas","últimas unidades"," ahora "},AF253)))&gt;0,"Solo urgencia, sin cifra",IF(SUMPRODUCT(--ISNUMBER(SEARCH({"recompensa","sorpresa","regalo","lealtad","detalle","gracias","pensamos en ti","para ti"},E253)))&gt;0,"Recompensa o sorpresa","Otro: beneficio o novedad"))))</f>
        <v>Solo urgencia, sin cifra</v>
      </c>
    </row>
    <row r="254" spans="1:46" x14ac:dyDescent="0.2">
      <c r="A254" s="104" t="s">
        <v>1125</v>
      </c>
      <c r="B254" s="104" t="s">
        <v>275</v>
      </c>
      <c r="C254" s="104" t="s">
        <v>869</v>
      </c>
      <c r="D254" s="104" t="s">
        <v>821</v>
      </c>
      <c r="E254" s="104" t="s">
        <v>481</v>
      </c>
      <c r="F254" s="104" t="s">
        <v>482</v>
      </c>
      <c r="G254" s="105">
        <v>36249</v>
      </c>
      <c r="H254" s="105">
        <v>4820</v>
      </c>
      <c r="I254" s="105">
        <v>1501</v>
      </c>
      <c r="J254" s="106">
        <v>1.41</v>
      </c>
      <c r="K254" s="106">
        <v>1.48</v>
      </c>
      <c r="L254" s="107">
        <v>87067.26</v>
      </c>
      <c r="M254" s="108">
        <f t="shared" si="72"/>
        <v>13.296918535683744</v>
      </c>
      <c r="N254" s="108">
        <f t="shared" si="73"/>
        <v>4.1408038842450825</v>
      </c>
      <c r="O254" s="108">
        <f t="shared" si="74"/>
        <v>31.141078838174273</v>
      </c>
      <c r="P254" s="108">
        <f t="shared" si="75"/>
        <v>2401.9217081850529</v>
      </c>
      <c r="Q254" s="108">
        <f t="shared" si="76"/>
        <v>18.428686186240089</v>
      </c>
      <c r="R254" s="108">
        <f t="shared" si="77"/>
        <v>27.021447627328243</v>
      </c>
      <c r="S254" s="101">
        <f t="shared" si="78"/>
        <v>45917</v>
      </c>
      <c r="T254" s="102" t="str">
        <f t="shared" si="79"/>
        <v>Septiembre</v>
      </c>
      <c r="U254" s="102" t="str">
        <f t="shared" si="80"/>
        <v>Miércoles</v>
      </c>
      <c r="V254" s="102">
        <f t="shared" si="81"/>
        <v>8</v>
      </c>
      <c r="W254" s="102" t="str">
        <f t="shared" si="82"/>
        <v>Días después del pago</v>
      </c>
      <c r="X254" s="102">
        <f t="shared" si="83"/>
        <v>26</v>
      </c>
      <c r="Y254" s="102" t="str">
        <f t="shared" si="84"/>
        <v>Sí</v>
      </c>
      <c r="Z254" s="102" t="str">
        <f>CHOOSE(MATCH(B254,{"Customer Appreciation","Exclusive Offers","Flash Sale","Holiday Discounts","New Product Launch","Newsletter"},0),"Fidelizar","Vender","Vender","Vender","Lanzar","Educar")</f>
        <v>Vender</v>
      </c>
      <c r="AA254" s="102" t="str">
        <f t="shared" si="85"/>
        <v>Menos de 100 mil</v>
      </c>
      <c r="AB254" s="102">
        <f>COUNTIFS($E$5:$E$493,E254,$S$5:$S$493,"&lt;"&amp;S254)+COUNTIFS($E$5:E254,E254,$S$5:S254,S254)</f>
        <v>4</v>
      </c>
      <c r="AC254" s="102">
        <f t="shared" si="86"/>
        <v>11</v>
      </c>
      <c r="AD254" s="102" t="str">
        <f t="shared" si="87"/>
        <v>Medio</v>
      </c>
      <c r="AE254" s="103">
        <f t="shared" si="88"/>
        <v>-5.1317676505563448</v>
      </c>
      <c r="AF254" s="102" t="str">
        <f t="shared" si="89"/>
        <v xml:space="preserve">  oportunidad única  solo por hoy  tus favoritos a un clic </v>
      </c>
      <c r="AG254" s="102" t="str">
        <f t="shared" si="90"/>
        <v xml:space="preserve"> tus productos favoritos con un precio que no volverás a ver   aprovecha  </v>
      </c>
      <c r="AH254" s="102" t="str">
        <f>IF(SUMPRODUCT(--(LEFT(IF(LEFT(LOWER(E254),1)="¡",MID(LOWER(E254),2,300),LOWER(E254)),LEN({"actualizaci","el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Sí</v>
      </c>
      <c r="AI254" s="102" t="str">
        <f>IF(OR(SUMPRODUCT(--ISNUMBER(SEARCH({"descuento","oferta","ahorr","precio"," sale ","flash","deals"},AF254)))&gt;0,SUMPRODUCT(--ISNUMBER(SEARCH({"descuento","oferta","ahorr","precio"," sale ","flash","deals"},AG254)))&gt;0),"Sí","No")</f>
        <v>Sí</v>
      </c>
      <c r="AJ254" s="102" t="str">
        <f>IF(SUMPRODUCT(--ISNUMBER(SEARCH({" hoy ","horas","tiempo limitado","antes de que","se acab","se agot","finalic","última oportunidad","oportunidad única","relámpago","express","no esperes","no volver","no parpadees"},AF254)))&gt;0,"Sí","No")</f>
        <v>Sí</v>
      </c>
      <c r="AK254" s="102" t="str">
        <f>IF(SUMPRODUCT(--ISNUMBER(SEARCH({" hoy ","horas","tiempo limitado","antes de que","se acab","se agot","finalic","última oportunidad","oportunidad única","relámpago","express","no esperes","no volver","no parpadees"},AG254)))&gt;0,"Sí","No")</f>
        <v>Sí</v>
      </c>
      <c r="AL254" s="102" t="str">
        <f t="shared" si="91"/>
        <v>Descuento con tiempo límite en el asunto</v>
      </c>
      <c r="AM254" s="102" t="str">
        <f>IF(SUMPRODUCT(--ISNUMBER(SEARCH({"0","1","2","3","4","5","6","7","8","9","favorit","maquillaje","piel","cabello","productos","belleza","regalo"},E254)))&gt;0,"Sí","No")</f>
        <v>Sí</v>
      </c>
      <c r="AN254" s="102" t="str">
        <f>IF(SUMPRODUCT(--ISNUMBER(SEARCH({"lo que tenemos","estas ofertas","algo especial","ofertas únicas","que preparamos","no te quedes","echa un vistazo"},F254)))&gt;0,"Sí","No")</f>
        <v>No</v>
      </c>
      <c r="AO254" s="102">
        <f t="shared" si="92"/>
        <v>57</v>
      </c>
      <c r="AP254" s="102">
        <f t="shared" si="93"/>
        <v>10</v>
      </c>
      <c r="AQ254" s="102">
        <f>SUMPRODUCT(LEN(E254)-LEN(SUBSTITUTE(E254,{"!","¡","?","¿",":",",",".","%","·","-",";"},"")))</f>
        <v>3</v>
      </c>
      <c r="AR254" s="102" t="str">
        <f t="shared" si="94"/>
        <v>No</v>
      </c>
      <c r="AS254" s="102" t="str">
        <f t="shared" si="95"/>
        <v>No</v>
      </c>
      <c r="AT254" s="102" t="str">
        <f>IF(SUMPRODUCT(--ISNUMBER(FIND({"0","1","2","3","4","5","6","7","8","9"},E254)))&gt;0,"Con cifra concreta",IF(OR(ISNUMBER(FIND("?",E254)),ISNUMBER(FIND("¿",E254))),"Pregunta abierta",IF(SUMPRODUCT(--ISNUMBER(SEARCH({" hoy ","horas","tiempo limitado","antes de que","se acab","se agot","finalic","última oportunidad","oportunidad única","relámpago","express","no esperes","no volver","no parpadees"," ya ","últimas horas","últimas unidades"," ahora "},AF254)))&gt;0,"Solo urgencia, sin cifra",IF(SUMPRODUCT(--ISNUMBER(SEARCH({"recompensa","sorpresa","regalo","lealtad","detalle","gracias","pensamos en ti","para ti"},E254)))&gt;0,"Recompensa o sorpresa","Otro: beneficio o novedad"))))</f>
        <v>Solo urgencia, sin cifra</v>
      </c>
    </row>
    <row r="255" spans="1:46" x14ac:dyDescent="0.2">
      <c r="A255" s="96" t="s">
        <v>1126</v>
      </c>
      <c r="B255" s="96" t="s">
        <v>276</v>
      </c>
      <c r="C255" s="96" t="s">
        <v>928</v>
      </c>
      <c r="D255" s="96" t="s">
        <v>715</v>
      </c>
      <c r="E255" s="96" t="s">
        <v>483</v>
      </c>
      <c r="F255" s="96" t="s">
        <v>484</v>
      </c>
      <c r="G255" s="97">
        <v>101435</v>
      </c>
      <c r="H255" s="97">
        <v>14708</v>
      </c>
      <c r="I255" s="97">
        <v>13075</v>
      </c>
      <c r="J255" s="98">
        <v>7.69</v>
      </c>
      <c r="K255" s="98">
        <v>2.77</v>
      </c>
      <c r="L255" s="99">
        <v>70039.62</v>
      </c>
      <c r="M255" s="100">
        <f t="shared" si="72"/>
        <v>14.499926061024301</v>
      </c>
      <c r="N255" s="100">
        <f t="shared" si="73"/>
        <v>12.890028096810765</v>
      </c>
      <c r="O255" s="100">
        <f t="shared" si="74"/>
        <v>88.897198803372319</v>
      </c>
      <c r="P255" s="100">
        <f t="shared" si="75"/>
        <v>690.48770148370875</v>
      </c>
      <c r="Q255" s="100">
        <f t="shared" si="76"/>
        <v>17.395911943759799</v>
      </c>
      <c r="R255" s="100">
        <f t="shared" si="77"/>
        <v>29.440902453236173</v>
      </c>
      <c r="S255" s="101">
        <f t="shared" si="78"/>
        <v>45883</v>
      </c>
      <c r="T255" s="102" t="str">
        <f t="shared" si="79"/>
        <v>Agosto</v>
      </c>
      <c r="U255" s="102" t="str">
        <f t="shared" si="80"/>
        <v>Jueves</v>
      </c>
      <c r="V255" s="102">
        <f t="shared" si="81"/>
        <v>11</v>
      </c>
      <c r="W255" s="102" t="str">
        <f t="shared" si="82"/>
        <v>Quincena</v>
      </c>
      <c r="X255" s="102">
        <f t="shared" si="83"/>
        <v>23</v>
      </c>
      <c r="Y255" s="102" t="str">
        <f t="shared" si="84"/>
        <v>Sí</v>
      </c>
      <c r="Z255" s="102" t="str">
        <f>CHOOSE(MATCH(B255,{"Customer Appreciation","Exclusive Offers","Flash Sale","Holiday Discounts","New Product Launch","Newsletter"},0),"Fidelizar","Vender","Vender","Vender","Lanzar","Educar")</f>
        <v>Vender</v>
      </c>
      <c r="AA255" s="102" t="str">
        <f t="shared" si="85"/>
        <v>100 a 200 mil</v>
      </c>
      <c r="AB255" s="102">
        <f>COUNTIFS($E$5:$E$493,E255,$S$5:$S$493,"&lt;"&amp;S255)+COUNTIFS($E$5:E255,E255,$S$5:S255,S255)</f>
        <v>3</v>
      </c>
      <c r="AC255" s="102">
        <f t="shared" si="86"/>
        <v>9</v>
      </c>
      <c r="AD255" s="102" t="str">
        <f t="shared" si="87"/>
        <v>Primer tercio</v>
      </c>
      <c r="AE255" s="103">
        <f t="shared" si="88"/>
        <v>-2.8959858827354985</v>
      </c>
      <c r="AF255" s="102" t="str">
        <f t="shared" si="89"/>
        <v xml:space="preserve">  gran oferta  por tiempo limitado  no te lo pierdas </v>
      </c>
      <c r="AG255" s="102" t="str">
        <f t="shared" si="90"/>
        <v xml:space="preserve"> aprovecha los descuentos en tus productos esenciales   compra ahora  </v>
      </c>
      <c r="AH255" s="102" t="str">
        <f>IF(SUMPRODUCT(--(LEFT(IF(LEFT(LOWER(E255),1)="¡",MID(LOWER(E255),2,300),LOWER(E255)),LEN({"actualizaci","el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Sí</v>
      </c>
      <c r="AI255" s="102" t="str">
        <f>IF(OR(SUMPRODUCT(--ISNUMBER(SEARCH({"descuento","oferta","ahorr","precio"," sale ","flash","deals"},AF255)))&gt;0,SUMPRODUCT(--ISNUMBER(SEARCH({"descuento","oferta","ahorr","precio"," sale ","flash","deals"},AG255)))&gt;0),"Sí","No")</f>
        <v>Sí</v>
      </c>
      <c r="AJ255" s="102" t="str">
        <f>IF(SUMPRODUCT(--ISNUMBER(SEARCH({" hoy ","horas","tiempo limitado","antes de que","se acab","se agot","finalic","última oportunidad","oportunidad única","relámpago","express","no esperes","no volver","no parpadees"},AF255)))&gt;0,"Sí","No")</f>
        <v>Sí</v>
      </c>
      <c r="AK255" s="102" t="str">
        <f>IF(SUMPRODUCT(--ISNUMBER(SEARCH({" hoy ","horas","tiempo limitado","antes de que","se acab","se agot","finalic","última oportunidad","oportunidad única","relámpago","express","no esperes","no volver","no parpadees"},AG255)))&gt;0,"Sí","No")</f>
        <v>No</v>
      </c>
      <c r="AL255" s="102" t="str">
        <f t="shared" si="91"/>
        <v>Descuento con tiempo límite en el asunto</v>
      </c>
      <c r="AM255" s="102" t="str">
        <f>IF(SUMPRODUCT(--ISNUMBER(SEARCH({"0","1","2","3","4","5","6","7","8","9","favorit","maquillaje","piel","cabello","productos","belleza","regalo"},E255)))&gt;0,"Sí","No")</f>
        <v>No</v>
      </c>
      <c r="AN255" s="102" t="str">
        <f>IF(SUMPRODUCT(--ISNUMBER(SEARCH({"lo que tenemos","estas ofertas","algo especial","ofertas únicas","que preparamos","no te quedes","echa un vistazo"},F255)))&gt;0,"Sí","No")</f>
        <v>No</v>
      </c>
      <c r="AO255" s="102">
        <f t="shared" si="92"/>
        <v>51</v>
      </c>
      <c r="AP255" s="102">
        <f t="shared" si="93"/>
        <v>9</v>
      </c>
      <c r="AQ255" s="102">
        <f>SUMPRODUCT(LEN(E255)-LEN(SUBSTITUTE(E255,{"!","¡","?","¿",":",",",".","%","·","-",";"},"")))</f>
        <v>3</v>
      </c>
      <c r="AR255" s="102" t="str">
        <f t="shared" si="94"/>
        <v>Sí</v>
      </c>
      <c r="AS255" s="102" t="str">
        <f t="shared" si="95"/>
        <v>No</v>
      </c>
      <c r="AT255" s="102" t="str">
        <f>IF(SUMPRODUCT(--ISNUMBER(FIND({"0","1","2","3","4","5","6","7","8","9"},E255)))&gt;0,"Con cifra concreta",IF(OR(ISNUMBER(FIND("?",E255)),ISNUMBER(FIND("¿",E255))),"Pregunta abierta",IF(SUMPRODUCT(--ISNUMBER(SEARCH({" hoy ","horas","tiempo limitado","antes de que","se acab","se agot","finalic","última oportunidad","oportunidad única","relámpago","express","no esperes","no volver","no parpadees"," ya ","últimas horas","últimas unidades"," ahora "},AF255)))&gt;0,"Solo urgencia, sin cifra",IF(SUMPRODUCT(--ISNUMBER(SEARCH({"recompensa","sorpresa","regalo","lealtad","detalle","gracias","pensamos en ti","para ti"},E255)))&gt;0,"Recompensa o sorpresa","Otro: beneficio o novedad"))))</f>
        <v>Solo urgencia, sin cifra</v>
      </c>
    </row>
    <row r="256" spans="1:46" x14ac:dyDescent="0.2">
      <c r="A256" s="104" t="s">
        <v>1127</v>
      </c>
      <c r="B256" s="104" t="s">
        <v>275</v>
      </c>
      <c r="C256" s="104" t="s">
        <v>944</v>
      </c>
      <c r="D256" s="104" t="s">
        <v>794</v>
      </c>
      <c r="E256" s="104" t="s">
        <v>465</v>
      </c>
      <c r="F256" s="104" t="s">
        <v>466</v>
      </c>
      <c r="G256" s="105">
        <v>204990</v>
      </c>
      <c r="H256" s="105">
        <v>89004</v>
      </c>
      <c r="I256" s="105">
        <v>5166</v>
      </c>
      <c r="J256" s="106">
        <v>6.76</v>
      </c>
      <c r="K256" s="106">
        <v>2.9</v>
      </c>
      <c r="L256" s="107">
        <v>55380.89</v>
      </c>
      <c r="M256" s="108">
        <f t="shared" si="72"/>
        <v>43.418703351382995</v>
      </c>
      <c r="N256" s="108">
        <f t="shared" si="73"/>
        <v>2.5201229328259913</v>
      </c>
      <c r="O256" s="108">
        <f t="shared" si="74"/>
        <v>5.8042335175947146</v>
      </c>
      <c r="P256" s="108">
        <f t="shared" si="75"/>
        <v>270.1638616517879</v>
      </c>
      <c r="Q256" s="108">
        <f t="shared" si="76"/>
        <v>33.047230763392911</v>
      </c>
      <c r="R256" s="108">
        <f t="shared" si="77"/>
        <v>27.021447627328243</v>
      </c>
      <c r="S256" s="101">
        <f t="shared" si="78"/>
        <v>45943</v>
      </c>
      <c r="T256" s="102" t="str">
        <f t="shared" si="79"/>
        <v>Octubre</v>
      </c>
      <c r="U256" s="102" t="str">
        <f t="shared" si="80"/>
        <v>Lunes</v>
      </c>
      <c r="V256" s="102">
        <f t="shared" si="81"/>
        <v>12</v>
      </c>
      <c r="W256" s="102" t="str">
        <f t="shared" si="82"/>
        <v>Resto del mes</v>
      </c>
      <c r="X256" s="102">
        <f t="shared" si="83"/>
        <v>23</v>
      </c>
      <c r="Y256" s="102" t="str">
        <f t="shared" si="84"/>
        <v>Sí</v>
      </c>
      <c r="Z256" s="102" t="str">
        <f>CHOOSE(MATCH(B256,{"Customer Appreciation","Exclusive Offers","Flash Sale","Holiday Discounts","New Product Launch","Newsletter"},0),"Fidelizar","Vender","Vender","Vender","Lanzar","Educar")</f>
        <v>Vender</v>
      </c>
      <c r="AA256" s="102" t="str">
        <f t="shared" si="85"/>
        <v>200 a 300 mil</v>
      </c>
      <c r="AB256" s="102">
        <f>COUNTIFS($E$5:$E$493,E256,$S$5:$S$493,"&lt;"&amp;S256)+COUNTIFS($E$5:E256,E256,$S$5:S256,S256)</f>
        <v>16</v>
      </c>
      <c r="AC256" s="102">
        <f t="shared" si="86"/>
        <v>22</v>
      </c>
      <c r="AD256" s="102" t="str">
        <f t="shared" si="87"/>
        <v>Último tercio</v>
      </c>
      <c r="AE256" s="103">
        <f t="shared" si="88"/>
        <v>10.371472587990084</v>
      </c>
      <c r="AF256" s="102" t="str">
        <f t="shared" si="89"/>
        <v xml:space="preserve">  ofertas exclusivas  solo para nuestra comunidad vip </v>
      </c>
      <c r="AG256" s="102" t="str">
        <f t="shared" si="90"/>
        <v xml:space="preserve"> productos premium con descuentos únicos   acceso limitado  </v>
      </c>
      <c r="AH256" s="102" t="str">
        <f>IF(SUMPRODUCT(--(LEFT(IF(LEFT(LOWER(E256),1)="¡",MID(LOWER(E256),2,300),LOWER(E256)),LEN({"actualizaci","el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256" s="102" t="str">
        <f>IF(OR(SUMPRODUCT(--ISNUMBER(SEARCH({"descuento","oferta","ahorr","precio"," sale ","flash","deals"},AF256)))&gt;0,SUMPRODUCT(--ISNUMBER(SEARCH({"descuento","oferta","ahorr","precio"," sale ","flash","deals"},AG256)))&gt;0),"Sí","No")</f>
        <v>Sí</v>
      </c>
      <c r="AJ256" s="102" t="str">
        <f>IF(SUMPRODUCT(--ISNUMBER(SEARCH({" hoy ","horas","tiempo limitado","antes de que","se acab","se agot","finalic","última oportunidad","oportunidad única","relámpago","express","no esperes","no volver","no parpadees"},AF256)))&gt;0,"Sí","No")</f>
        <v>No</v>
      </c>
      <c r="AK256" s="102" t="str">
        <f>IF(SUMPRODUCT(--ISNUMBER(SEARCH({" hoy ","horas","tiempo limitado","antes de que","se acab","se agot","finalic","última oportunidad","oportunidad única","relámpago","express","no esperes","no volver","no parpadees"},AG256)))&gt;0,"Sí","No")</f>
        <v>No</v>
      </c>
      <c r="AL256" s="102" t="str">
        <f t="shared" si="91"/>
        <v>Descuento sin tiempo límite</v>
      </c>
      <c r="AM256" s="102" t="str">
        <f>IF(SUMPRODUCT(--ISNUMBER(SEARCH({"0","1","2","3","4","5","6","7","8","9","favorit","maquillaje","piel","cabello","productos","belleza","regalo"},E256)))&gt;0,"Sí","No")</f>
        <v>No</v>
      </c>
      <c r="AN256" s="102" t="str">
        <f>IF(SUMPRODUCT(--ISNUMBER(SEARCH({"lo que tenemos","estas ofertas","algo especial","ofertas únicas","que preparamos","no te quedes","echa un vistazo"},F256)))&gt;0,"Sí","No")</f>
        <v>No</v>
      </c>
      <c r="AO256" s="102">
        <f t="shared" si="92"/>
        <v>52</v>
      </c>
      <c r="AP256" s="102">
        <f t="shared" si="93"/>
        <v>7</v>
      </c>
      <c r="AQ256" s="102">
        <f>SUMPRODUCT(LEN(E256)-LEN(SUBSTITUTE(E256,{"!","¡","?","¿",":",",",".","%","·","-",";"},"")))</f>
        <v>2</v>
      </c>
      <c r="AR256" s="102" t="str">
        <f t="shared" si="94"/>
        <v>Sí</v>
      </c>
      <c r="AS256" s="102" t="str">
        <f t="shared" si="95"/>
        <v>No</v>
      </c>
      <c r="AT256" s="102" t="str">
        <f>IF(SUMPRODUCT(--ISNUMBER(FIND({"0","1","2","3","4","5","6","7","8","9"},E256)))&gt;0,"Con cifra concreta",IF(OR(ISNUMBER(FIND("?",E256)),ISNUMBER(FIND("¿",E256))),"Pregunta abierta",IF(SUMPRODUCT(--ISNUMBER(SEARCH({" hoy ","horas","tiempo limitado","antes de que","se acab","se agot","finalic","última oportunidad","oportunidad única","relámpago","express","no esperes","no volver","no parpadees"," ya ","últimas horas","últimas unidades"," ahora "},AF256)))&gt;0,"Solo urgencia, sin cifra",IF(SUMPRODUCT(--ISNUMBER(SEARCH({"recompensa","sorpresa","regalo","lealtad","detalle","gracias","pensamos en ti","para ti"},E256)))&gt;0,"Recompensa o sorpresa","Otro: beneficio o novedad"))))</f>
        <v>Otro: beneficio o novedad</v>
      </c>
    </row>
    <row r="257" spans="1:46" x14ac:dyDescent="0.2">
      <c r="A257" s="96" t="s">
        <v>1128</v>
      </c>
      <c r="B257" s="96" t="s">
        <v>275</v>
      </c>
      <c r="C257" s="96" t="s">
        <v>889</v>
      </c>
      <c r="D257" s="96" t="s">
        <v>761</v>
      </c>
      <c r="E257" s="96" t="s">
        <v>862</v>
      </c>
      <c r="F257" s="96" t="s">
        <v>863</v>
      </c>
      <c r="G257" s="97">
        <v>10846</v>
      </c>
      <c r="H257" s="97">
        <v>2362</v>
      </c>
      <c r="I257" s="97">
        <v>264</v>
      </c>
      <c r="J257" s="98">
        <v>5.83</v>
      </c>
      <c r="K257" s="98">
        <v>2.6</v>
      </c>
      <c r="L257" s="99">
        <v>82070.850000000006</v>
      </c>
      <c r="M257" s="100">
        <f t="shared" si="72"/>
        <v>21.777613866863359</v>
      </c>
      <c r="N257" s="100">
        <f t="shared" si="73"/>
        <v>2.4340770791075048</v>
      </c>
      <c r="O257" s="100">
        <f t="shared" si="74"/>
        <v>11.17696867061812</v>
      </c>
      <c r="P257" s="100">
        <f t="shared" si="75"/>
        <v>7566.923289692053</v>
      </c>
      <c r="Q257" s="100">
        <f t="shared" si="76"/>
        <v>16.495238452924411</v>
      </c>
      <c r="R257" s="100">
        <f t="shared" si="77"/>
        <v>27.021447627328243</v>
      </c>
      <c r="S257" s="101">
        <f t="shared" si="78"/>
        <v>45908</v>
      </c>
      <c r="T257" s="102" t="str">
        <f t="shared" si="79"/>
        <v>Septiembre</v>
      </c>
      <c r="U257" s="102" t="str">
        <f t="shared" si="80"/>
        <v>Lunes</v>
      </c>
      <c r="V257" s="102">
        <f t="shared" si="81"/>
        <v>10</v>
      </c>
      <c r="W257" s="102" t="str">
        <f t="shared" si="82"/>
        <v>Resto del mes</v>
      </c>
      <c r="X257" s="102">
        <f t="shared" si="83"/>
        <v>28</v>
      </c>
      <c r="Y257" s="102" t="str">
        <f t="shared" si="84"/>
        <v>Sí</v>
      </c>
      <c r="Z257" s="102" t="str">
        <f>CHOOSE(MATCH(B257,{"Customer Appreciation","Exclusive Offers","Flash Sale","Holiday Discounts","New Product Launch","Newsletter"},0),"Fidelizar","Vender","Vender","Vender","Lanzar","Educar")</f>
        <v>Vender</v>
      </c>
      <c r="AA257" s="102" t="str">
        <f t="shared" si="85"/>
        <v>Menos de 100 mil</v>
      </c>
      <c r="AB257" s="102">
        <f>COUNTIFS($E$5:$E$493,E257,$S$5:$S$493,"&lt;"&amp;S257)+COUNTIFS($E$5:E257,E257,$S$5:S257,S257)</f>
        <v>2</v>
      </c>
      <c r="AC257" s="102">
        <f t="shared" si="86"/>
        <v>3</v>
      </c>
      <c r="AD257" s="102" t="str">
        <f t="shared" si="87"/>
        <v/>
      </c>
      <c r="AE257" s="103">
        <f t="shared" si="88"/>
        <v>5.2823754139389472</v>
      </c>
      <c r="AF257" s="102" t="str">
        <f t="shared" si="89"/>
        <v xml:space="preserve">  tu oportunidad de conseguirlo  ofertas vip  solo por hoy </v>
      </c>
      <c r="AG257" s="102" t="str">
        <f t="shared" si="90"/>
        <v xml:space="preserve"> descuentos únicos en productos seleccionados   acceso limitado  </v>
      </c>
      <c r="AH257" s="102" t="str">
        <f>IF(SUMPRODUCT(--(LEFT(IF(LEFT(LOWER(E257),1)="¡",MID(LOWER(E257),2,300),LOWER(E257)),LEN({"actualizaci","el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Sí</v>
      </c>
      <c r="AI257" s="102" t="str">
        <f>IF(OR(SUMPRODUCT(--ISNUMBER(SEARCH({"descuento","oferta","ahorr","precio"," sale ","flash","deals"},AF257)))&gt;0,SUMPRODUCT(--ISNUMBER(SEARCH({"descuento","oferta","ahorr","precio"," sale ","flash","deals"},AG257)))&gt;0),"Sí","No")</f>
        <v>Sí</v>
      </c>
      <c r="AJ257" s="102" t="str">
        <f>IF(SUMPRODUCT(--ISNUMBER(SEARCH({" hoy ","horas","tiempo limitado","antes de que","se acab","se agot","finalic","última oportunidad","oportunidad única","relámpago","express","no esperes","no volver","no parpadees"},AF257)))&gt;0,"Sí","No")</f>
        <v>Sí</v>
      </c>
      <c r="AK257" s="102" t="str">
        <f>IF(SUMPRODUCT(--ISNUMBER(SEARCH({" hoy ","horas","tiempo limitado","antes de que","se acab","se agot","finalic","última oportunidad","oportunidad única","relámpago","express","no esperes","no volver","no parpadees"},AG257)))&gt;0,"Sí","No")</f>
        <v>No</v>
      </c>
      <c r="AL257" s="102" t="str">
        <f t="shared" si="91"/>
        <v>Descuento con tiempo límite en el asunto</v>
      </c>
      <c r="AM257" s="102" t="str">
        <f>IF(SUMPRODUCT(--ISNUMBER(SEARCH({"0","1","2","3","4","5","6","7","8","9","favorit","maquillaje","piel","cabello","productos","belleza","regalo"},E257)))&gt;0,"Sí","No")</f>
        <v>No</v>
      </c>
      <c r="AN257" s="102" t="str">
        <f>IF(SUMPRODUCT(--ISNUMBER(SEARCH({"lo que tenemos","estas ofertas","algo especial","ofertas únicas","que preparamos","no te quedes","echa un vistazo"},F257)))&gt;0,"Sí","No")</f>
        <v>No</v>
      </c>
      <c r="AO257" s="102">
        <f t="shared" si="92"/>
        <v>57</v>
      </c>
      <c r="AP257" s="102">
        <f t="shared" si="93"/>
        <v>9</v>
      </c>
      <c r="AQ257" s="102">
        <f>SUMPRODUCT(LEN(E257)-LEN(SUBSTITUTE(E257,{"!","¡","?","¿",":",",",".","%","·","-",";"},"")))</f>
        <v>3</v>
      </c>
      <c r="AR257" s="102" t="str">
        <f t="shared" si="94"/>
        <v>Sí</v>
      </c>
      <c r="AS257" s="102" t="str">
        <f t="shared" si="95"/>
        <v>No</v>
      </c>
      <c r="AT257" s="102" t="str">
        <f>IF(SUMPRODUCT(--ISNUMBER(FIND({"0","1","2","3","4","5","6","7","8","9"},E257)))&gt;0,"Con cifra concreta",IF(OR(ISNUMBER(FIND("?",E257)),ISNUMBER(FIND("¿",E257))),"Pregunta abierta",IF(SUMPRODUCT(--ISNUMBER(SEARCH({" hoy ","horas","tiempo limitado","antes de que","se acab","se agot","finalic","última oportunidad","oportunidad única","relámpago","express","no esperes","no volver","no parpadees"," ya ","últimas horas","últimas unidades"," ahora "},AF257)))&gt;0,"Solo urgencia, sin cifra",IF(SUMPRODUCT(--ISNUMBER(SEARCH({"recompensa","sorpresa","regalo","lealtad","detalle","gracias","pensamos en ti","para ti"},E257)))&gt;0,"Recompensa o sorpresa","Otro: beneficio o novedad"))))</f>
        <v>Solo urgencia, sin cifra</v>
      </c>
    </row>
    <row r="258" spans="1:46" x14ac:dyDescent="0.2">
      <c r="A258" s="104" t="s">
        <v>1129</v>
      </c>
      <c r="B258" s="104" t="s">
        <v>274</v>
      </c>
      <c r="C258" s="104" t="s">
        <v>891</v>
      </c>
      <c r="D258" s="104" t="s">
        <v>786</v>
      </c>
      <c r="E258" s="104" t="s">
        <v>453</v>
      </c>
      <c r="F258" s="104" t="s">
        <v>454</v>
      </c>
      <c r="G258" s="105">
        <v>227477</v>
      </c>
      <c r="H258" s="105">
        <v>85304</v>
      </c>
      <c r="I258" s="105">
        <v>21250</v>
      </c>
      <c r="J258" s="106">
        <v>1.24</v>
      </c>
      <c r="K258" s="106">
        <v>3.65</v>
      </c>
      <c r="L258" s="107">
        <v>63544.72</v>
      </c>
      <c r="M258" s="108">
        <f t="shared" si="72"/>
        <v>37.500054950610391</v>
      </c>
      <c r="N258" s="108">
        <f t="shared" si="73"/>
        <v>9.3416037665346376</v>
      </c>
      <c r="O258" s="108">
        <f t="shared" si="74"/>
        <v>24.91090687423802</v>
      </c>
      <c r="P258" s="108">
        <f t="shared" si="75"/>
        <v>279.34569209194774</v>
      </c>
      <c r="Q258" s="108">
        <f t="shared" si="76"/>
        <v>39.210446566150395</v>
      </c>
      <c r="R258" s="108">
        <f t="shared" si="77"/>
        <v>31.113650744455075</v>
      </c>
      <c r="S258" s="101">
        <f t="shared" si="78"/>
        <v>45888</v>
      </c>
      <c r="T258" s="102" t="str">
        <f t="shared" si="79"/>
        <v>Agosto</v>
      </c>
      <c r="U258" s="102" t="str">
        <f t="shared" si="80"/>
        <v>Martes</v>
      </c>
      <c r="V258" s="102">
        <f t="shared" si="81"/>
        <v>15</v>
      </c>
      <c r="W258" s="102" t="str">
        <f t="shared" si="82"/>
        <v>Días después del pago</v>
      </c>
      <c r="X258" s="102">
        <f t="shared" si="83"/>
        <v>29</v>
      </c>
      <c r="Y258" s="102" t="str">
        <f t="shared" si="84"/>
        <v>Sí</v>
      </c>
      <c r="Z258" s="102" t="str">
        <f>CHOOSE(MATCH(B258,{"Customer Appreciation","Exclusive Offers","Flash Sale","Holiday Discounts","New Product Launch","Newsletter"},0),"Fidelizar","Vender","Vender","Vender","Lanzar","Educar")</f>
        <v>Fidelizar</v>
      </c>
      <c r="AA258" s="102" t="str">
        <f t="shared" si="85"/>
        <v>200 a 300 mil</v>
      </c>
      <c r="AB258" s="102">
        <f>COUNTIFS($E$5:$E$493,E258,$S$5:$S$493,"&lt;"&amp;S258)+COUNTIFS($E$5:E258,E258,$S$5:S258,S258)</f>
        <v>7</v>
      </c>
      <c r="AC258" s="102">
        <f t="shared" si="86"/>
        <v>20</v>
      </c>
      <c r="AD258" s="102" t="str">
        <f t="shared" si="87"/>
        <v>Medio</v>
      </c>
      <c r="AE258" s="103">
        <f t="shared" si="88"/>
        <v>-1.7103916155400043</v>
      </c>
      <c r="AF258" s="102" t="str">
        <f t="shared" si="89"/>
        <v xml:space="preserve">  pensamos en ti  descubre estas sorpresas exclusivas </v>
      </c>
      <c r="AG258" s="102" t="str">
        <f t="shared" si="90"/>
        <v xml:space="preserve"> ofertas exclusivas por tu lealtad a l'oréal   aprovecha  </v>
      </c>
      <c r="AH258" s="102" t="str">
        <f>IF(SUMPRODUCT(--(LEFT(IF(LEFT(LOWER(E258),1)="¡",MID(LOWER(E258),2,300),LOWER(E258)),LEN({"actualizaci","el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258" s="102" t="str">
        <f>IF(OR(SUMPRODUCT(--ISNUMBER(SEARCH({"descuento","oferta","ahorr","precio"," sale ","flash","deals"},AF258)))&gt;0,SUMPRODUCT(--ISNUMBER(SEARCH({"descuento","oferta","ahorr","precio"," sale ","flash","deals"},AG258)))&gt;0),"Sí","No")</f>
        <v>Sí</v>
      </c>
      <c r="AJ258" s="102" t="str">
        <f>IF(SUMPRODUCT(--ISNUMBER(SEARCH({" hoy ","horas","tiempo limitado","antes de que","se acab","se agot","finalic","última oportunidad","oportunidad única","relámpago","express","no esperes","no volver","no parpadees"},AF258)))&gt;0,"Sí","No")</f>
        <v>No</v>
      </c>
      <c r="AK258" s="102" t="str">
        <f>IF(SUMPRODUCT(--ISNUMBER(SEARCH({" hoy ","horas","tiempo limitado","antes de que","se acab","se agot","finalic","última oportunidad","oportunidad única","relámpago","express","no esperes","no volver","no parpadees"},AG258)))&gt;0,"Sí","No")</f>
        <v>No</v>
      </c>
      <c r="AL258" s="102" t="str">
        <f t="shared" si="91"/>
        <v>Descuento sin tiempo límite</v>
      </c>
      <c r="AM258" s="102" t="str">
        <f>IF(SUMPRODUCT(--ISNUMBER(SEARCH({"0","1","2","3","4","5","6","7","8","9","favorit","maquillaje","piel","cabello","productos","belleza","regalo"},E258)))&gt;0,"Sí","No")</f>
        <v>No</v>
      </c>
      <c r="AN258" s="102" t="str">
        <f>IF(SUMPRODUCT(--ISNUMBER(SEARCH({"lo que tenemos","estas ofertas","algo especial","ofertas únicas","que preparamos","no te quedes","echa un vistazo"},F258)))&gt;0,"Sí","No")</f>
        <v>No</v>
      </c>
      <c r="AO258" s="102">
        <f t="shared" si="92"/>
        <v>52</v>
      </c>
      <c r="AP258" s="102">
        <f t="shared" si="93"/>
        <v>7</v>
      </c>
      <c r="AQ258" s="102">
        <f>SUMPRODUCT(LEN(E258)-LEN(SUBSTITUTE(E258,{"!","¡","?","¿",":",",",".","%","·","-",";"},"")))</f>
        <v>2</v>
      </c>
      <c r="AR258" s="102" t="str">
        <f t="shared" si="94"/>
        <v>Sí</v>
      </c>
      <c r="AS258" s="102" t="str">
        <f t="shared" si="95"/>
        <v>No</v>
      </c>
      <c r="AT258" s="102" t="str">
        <f>IF(SUMPRODUCT(--ISNUMBER(FIND({"0","1","2","3","4","5","6","7","8","9"},E258)))&gt;0,"Con cifra concreta",IF(OR(ISNUMBER(FIND("?",E258)),ISNUMBER(FIND("¿",E258))),"Pregunta abierta",IF(SUMPRODUCT(--ISNUMBER(SEARCH({" hoy ","horas","tiempo limitado","antes de que","se acab","se agot","finalic","última oportunidad","oportunidad única","relámpago","express","no esperes","no volver","no parpadees"," ya ","últimas horas","últimas unidades"," ahora "},AF258)))&gt;0,"Solo urgencia, sin cifra",IF(SUMPRODUCT(--ISNUMBER(SEARCH({"recompensa","sorpresa","regalo","lealtad","detalle","gracias","pensamos en ti","para ti"},E258)))&gt;0,"Recompensa o sorpresa","Otro: beneficio o novedad"))))</f>
        <v>Recompensa o sorpresa</v>
      </c>
    </row>
    <row r="259" spans="1:46" x14ac:dyDescent="0.2">
      <c r="A259" s="96" t="s">
        <v>1130</v>
      </c>
      <c r="B259" s="96" t="s">
        <v>276</v>
      </c>
      <c r="C259" s="96" t="s">
        <v>915</v>
      </c>
      <c r="D259" s="96" t="s">
        <v>769</v>
      </c>
      <c r="E259" s="96" t="s">
        <v>450</v>
      </c>
      <c r="F259" s="96" t="s">
        <v>451</v>
      </c>
      <c r="G259" s="97">
        <v>264543</v>
      </c>
      <c r="H259" s="97">
        <v>120227</v>
      </c>
      <c r="I259" s="97">
        <v>6849</v>
      </c>
      <c r="J259" s="98">
        <v>8.69</v>
      </c>
      <c r="K259" s="98">
        <v>4.97</v>
      </c>
      <c r="L259" s="99">
        <v>44234.47</v>
      </c>
      <c r="M259" s="100">
        <f t="shared" si="72"/>
        <v>45.44705397610219</v>
      </c>
      <c r="N259" s="100">
        <f t="shared" si="73"/>
        <v>2.5889930937503545</v>
      </c>
      <c r="O259" s="100">
        <f t="shared" si="74"/>
        <v>5.6967236976719038</v>
      </c>
      <c r="P259" s="100">
        <f t="shared" si="75"/>
        <v>167.21088821099028</v>
      </c>
      <c r="Q259" s="100">
        <f t="shared" si="76"/>
        <v>41.593592985418489</v>
      </c>
      <c r="R259" s="100">
        <f t="shared" si="77"/>
        <v>29.440902453236173</v>
      </c>
      <c r="S259" s="101">
        <f t="shared" si="78"/>
        <v>45954</v>
      </c>
      <c r="T259" s="102" t="str">
        <f t="shared" si="79"/>
        <v>Octubre</v>
      </c>
      <c r="U259" s="102" t="str">
        <f t="shared" si="80"/>
        <v>Viernes</v>
      </c>
      <c r="V259" s="102">
        <f t="shared" si="81"/>
        <v>13</v>
      </c>
      <c r="W259" s="102" t="str">
        <f t="shared" si="82"/>
        <v>Resto del mes</v>
      </c>
      <c r="X259" s="102">
        <f t="shared" si="83"/>
        <v>29</v>
      </c>
      <c r="Y259" s="102" t="str">
        <f t="shared" si="84"/>
        <v>Sí</v>
      </c>
      <c r="Z259" s="102" t="str">
        <f>CHOOSE(MATCH(B259,{"Customer Appreciation","Exclusive Offers","Flash Sale","Holiday Discounts","New Product Launch","Newsletter"},0),"Fidelizar","Vender","Vender","Vender","Lanzar","Educar")</f>
        <v>Vender</v>
      </c>
      <c r="AA259" s="102" t="str">
        <f t="shared" si="85"/>
        <v>200 a 300 mil</v>
      </c>
      <c r="AB259" s="102">
        <f>COUNTIFS($E$5:$E$493,E259,$S$5:$S$493,"&lt;"&amp;S259)+COUNTIFS($E$5:E259,E259,$S$5:S259,S259)</f>
        <v>18</v>
      </c>
      <c r="AC259" s="102">
        <f t="shared" si="86"/>
        <v>21</v>
      </c>
      <c r="AD259" s="102" t="str">
        <f t="shared" si="87"/>
        <v>Último tercio</v>
      </c>
      <c r="AE259" s="103">
        <f t="shared" si="88"/>
        <v>3.8534609906837005</v>
      </c>
      <c r="AF259" s="102" t="str">
        <f t="shared" si="89"/>
        <v xml:space="preserve">  ahorra ya  flash sale  hasta 50% en tus favoritos </v>
      </c>
      <c r="AG259" s="102" t="str">
        <f t="shared" si="90"/>
        <v xml:space="preserve"> edición limitada  maquillaje  cuidado de piel y más   corre  </v>
      </c>
      <c r="AH259" s="102" t="str">
        <f>IF(SUMPRODUCT(--(LEFT(IF(LEFT(LOWER(E259),1)="¡",MID(LOWER(E259),2,300),LOWER(E259)),LEN({"actualizaci","el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259" s="102" t="str">
        <f>IF(OR(SUMPRODUCT(--ISNUMBER(SEARCH({"descuento","oferta","ahorr","precio"," sale ","flash","deals"},AF259)))&gt;0,SUMPRODUCT(--ISNUMBER(SEARCH({"descuento","oferta","ahorr","precio"," sale ","flash","deals"},AG259)))&gt;0),"Sí","No")</f>
        <v>Sí</v>
      </c>
      <c r="AJ259" s="102" t="str">
        <f>IF(SUMPRODUCT(--ISNUMBER(SEARCH({" hoy ","horas","tiempo limitado","antes de que","se acab","se agot","finalic","última oportunidad","oportunidad única","relámpago","express","no esperes","no volver","no parpadees"},AF259)))&gt;0,"Sí","No")</f>
        <v>No</v>
      </c>
      <c r="AK259" s="102" t="str">
        <f>IF(SUMPRODUCT(--ISNUMBER(SEARCH({" hoy ","horas","tiempo limitado","antes de que","se acab","se agot","finalic","última oportunidad","oportunidad única","relámpago","express","no esperes","no volver","no parpadees"},AG259)))&gt;0,"Sí","No")</f>
        <v>No</v>
      </c>
      <c r="AL259" s="102" t="str">
        <f t="shared" si="91"/>
        <v>Descuento sin tiempo límite</v>
      </c>
      <c r="AM259" s="102" t="str">
        <f>IF(SUMPRODUCT(--ISNUMBER(SEARCH({"0","1","2","3","4","5","6","7","8","9","favorit","maquillaje","piel","cabello","productos","belleza","regalo"},E259)))&gt;0,"Sí","No")</f>
        <v>Sí</v>
      </c>
      <c r="AN259" s="102" t="str">
        <f>IF(SUMPRODUCT(--ISNUMBER(SEARCH({"lo que tenemos","estas ofertas","algo especial","ofertas únicas","que preparamos","no te quedes","echa un vistazo"},F259)))&gt;0,"Sí","No")</f>
        <v>No</v>
      </c>
      <c r="AO259" s="102">
        <f t="shared" si="92"/>
        <v>50</v>
      </c>
      <c r="AP259" s="102">
        <f t="shared" si="93"/>
        <v>9</v>
      </c>
      <c r="AQ259" s="102">
        <f>SUMPRODUCT(LEN(E259)-LEN(SUBSTITUTE(E259,{"!","¡","?","¿",":",",",".","%","·","-",";"},"")))</f>
        <v>4</v>
      </c>
      <c r="AR259" s="102" t="str">
        <f t="shared" si="94"/>
        <v>No</v>
      </c>
      <c r="AS259" s="102" t="str">
        <f t="shared" si="95"/>
        <v>No</v>
      </c>
      <c r="AT259" s="102" t="str">
        <f>IF(SUMPRODUCT(--ISNUMBER(FIND({"0","1","2","3","4","5","6","7","8","9"},E259)))&gt;0,"Con cifra concreta",IF(OR(ISNUMBER(FIND("?",E259)),ISNUMBER(FIND("¿",E259))),"Pregunta abierta",IF(SUMPRODUCT(--ISNUMBER(SEARCH({" hoy ","horas","tiempo limitado","antes de que","se acab","se agot","finalic","última oportunidad","oportunidad única","relámpago","express","no esperes","no volver","no parpadees"," ya ","últimas horas","últimas unidades"," ahora "},AF259)))&gt;0,"Solo urgencia, sin cifra",IF(SUMPRODUCT(--ISNUMBER(SEARCH({"recompensa","sorpresa","regalo","lealtad","detalle","gracias","pensamos en ti","para ti"},E259)))&gt;0,"Recompensa o sorpresa","Otro: beneficio o novedad"))))</f>
        <v>Con cifra concreta</v>
      </c>
    </row>
    <row r="260" spans="1:46" x14ac:dyDescent="0.2">
      <c r="A260" s="104" t="s">
        <v>1131</v>
      </c>
      <c r="B260" s="104" t="s">
        <v>279</v>
      </c>
      <c r="C260" s="104" t="s">
        <v>917</v>
      </c>
      <c r="D260" s="104" t="s">
        <v>774</v>
      </c>
      <c r="E260" s="104" t="s">
        <v>463</v>
      </c>
      <c r="F260" s="104" t="s">
        <v>464</v>
      </c>
      <c r="G260" s="105">
        <v>476216</v>
      </c>
      <c r="H260" s="105">
        <v>216892</v>
      </c>
      <c r="I260" s="105">
        <v>33284</v>
      </c>
      <c r="J260" s="106">
        <v>5.1100000000000003</v>
      </c>
      <c r="K260" s="106">
        <v>2.86</v>
      </c>
      <c r="L260" s="107">
        <v>61753.67</v>
      </c>
      <c r="M260" s="108">
        <f t="shared" si="72"/>
        <v>45.544878794496611</v>
      </c>
      <c r="N260" s="108">
        <f t="shared" si="73"/>
        <v>6.9892653753758802</v>
      </c>
      <c r="O260" s="108">
        <f t="shared" si="74"/>
        <v>15.345886431956918</v>
      </c>
      <c r="P260" s="108">
        <f t="shared" si="75"/>
        <v>129.67575637945805</v>
      </c>
      <c r="Q260" s="108">
        <f t="shared" si="76"/>
        <v>33.412775116147934</v>
      </c>
      <c r="R260" s="108">
        <f t="shared" si="77"/>
        <v>27.75136451093497</v>
      </c>
      <c r="S260" s="101">
        <f t="shared" si="78"/>
        <v>45916</v>
      </c>
      <c r="T260" s="102" t="str">
        <f t="shared" si="79"/>
        <v>Septiembre</v>
      </c>
      <c r="U260" s="102" t="str">
        <f t="shared" si="80"/>
        <v>Martes</v>
      </c>
      <c r="V260" s="102">
        <f t="shared" si="81"/>
        <v>11</v>
      </c>
      <c r="W260" s="102" t="str">
        <f t="shared" si="82"/>
        <v>Quincena</v>
      </c>
      <c r="X260" s="102">
        <f t="shared" si="83"/>
        <v>27</v>
      </c>
      <c r="Y260" s="102" t="str">
        <f t="shared" si="84"/>
        <v>Sí</v>
      </c>
      <c r="Z260" s="102" t="str">
        <f>CHOOSE(MATCH(B260,{"Customer Appreciation","Exclusive Offers","Flash Sale","Holiday Discounts","New Product Launch","Newsletter"},0),"Fidelizar","Vender","Vender","Vender","Lanzar","Educar")</f>
        <v>Educar</v>
      </c>
      <c r="AA260" s="102" t="str">
        <f t="shared" si="85"/>
        <v>Más de 400 mil</v>
      </c>
      <c r="AB260" s="102">
        <f>COUNTIFS($E$5:$E$493,E260,$S$5:$S$493,"&lt;"&amp;S260)+COUNTIFS($E$5:E260,E260,$S$5:S260,S260)</f>
        <v>16</v>
      </c>
      <c r="AC260" s="102">
        <f t="shared" si="86"/>
        <v>25</v>
      </c>
      <c r="AD260" s="102" t="str">
        <f t="shared" si="87"/>
        <v>Medio</v>
      </c>
      <c r="AE260" s="103">
        <f t="shared" si="88"/>
        <v>12.132103678348678</v>
      </c>
      <c r="AF260" s="102" t="str">
        <f t="shared" si="89"/>
        <v xml:space="preserve"> tu dosis de belleza   no te lo pierdas  tips y trucos </v>
      </c>
      <c r="AG260" s="102" t="str">
        <f t="shared" si="90"/>
        <v xml:space="preserve"> consejos expertos  tendencias y más en tu bandeja de entrada   descúbrelo  </v>
      </c>
      <c r="AH260" s="102" t="str">
        <f>IF(SUMPRODUCT(--(LEFT(IF(LEFT(LOWER(E260),1)="¡",MID(LOWER(E260),2,300),LOWER(E260)),LEN({"actualizaci","el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260" s="102" t="str">
        <f>IF(OR(SUMPRODUCT(--ISNUMBER(SEARCH({"descuento","oferta","ahorr","precio"," sale ","flash","deals"},AF260)))&gt;0,SUMPRODUCT(--ISNUMBER(SEARCH({"descuento","oferta","ahorr","precio"," sale ","flash","deals"},AG260)))&gt;0),"Sí","No")</f>
        <v>No</v>
      </c>
      <c r="AJ260" s="102" t="str">
        <f>IF(SUMPRODUCT(--ISNUMBER(SEARCH({" hoy ","horas","tiempo limitado","antes de que","se acab","se agot","finalic","última oportunidad","oportunidad única","relámpago","express","no esperes","no volver","no parpadees"},AF260)))&gt;0,"Sí","No")</f>
        <v>No</v>
      </c>
      <c r="AK260" s="102" t="str">
        <f>IF(SUMPRODUCT(--ISNUMBER(SEARCH({" hoy ","horas","tiempo limitado","antes de que","se acab","se agot","finalic","última oportunidad","oportunidad única","relámpago","express","no esperes","no volver","no parpadees"},AG260)))&gt;0,"Sí","No")</f>
        <v>No</v>
      </c>
      <c r="AL260" s="102" t="str">
        <f t="shared" si="91"/>
        <v>Sin descuento</v>
      </c>
      <c r="AM260" s="102" t="str">
        <f>IF(SUMPRODUCT(--ISNUMBER(SEARCH({"0","1","2","3","4","5","6","7","8","9","favorit","maquillaje","piel","cabello","productos","belleza","regalo"},E260)))&gt;0,"Sí","No")</f>
        <v>Sí</v>
      </c>
      <c r="AN260" s="102" t="str">
        <f>IF(SUMPRODUCT(--ISNUMBER(SEARCH({"lo que tenemos","estas ofertas","algo especial","ofertas únicas","que preparamos","no te quedes","echa un vistazo"},F260)))&gt;0,"Sí","No")</f>
        <v>No</v>
      </c>
      <c r="AO260" s="102">
        <f t="shared" si="92"/>
        <v>53</v>
      </c>
      <c r="AP260" s="102">
        <f t="shared" si="93"/>
        <v>11</v>
      </c>
      <c r="AQ260" s="102">
        <f>SUMPRODUCT(LEN(E260)-LEN(SUBSTITUTE(E260,{"!","¡","?","¿",":",",",".","%","·","-",";"},"")))</f>
        <v>3</v>
      </c>
      <c r="AR260" s="102" t="str">
        <f t="shared" si="94"/>
        <v>No</v>
      </c>
      <c r="AS260" s="102" t="str">
        <f t="shared" si="95"/>
        <v>No</v>
      </c>
      <c r="AT260" s="102" t="str">
        <f>IF(SUMPRODUCT(--ISNUMBER(FIND({"0","1","2","3","4","5","6","7","8","9"},E260)))&gt;0,"Con cifra concreta",IF(OR(ISNUMBER(FIND("?",E260)),ISNUMBER(FIND("¿",E260))),"Pregunta abierta",IF(SUMPRODUCT(--ISNUMBER(SEARCH({" hoy ","horas","tiempo limitado","antes de que","se acab","se agot","finalic","última oportunidad","oportunidad única","relámpago","express","no esperes","no volver","no parpadees"," ya ","últimas horas","últimas unidades"," ahora "},AF260)))&gt;0,"Solo urgencia, sin cifra",IF(SUMPRODUCT(--ISNUMBER(SEARCH({"recompensa","sorpresa","regalo","lealtad","detalle","gracias","pensamos en ti","para ti"},E260)))&gt;0,"Recompensa o sorpresa","Otro: beneficio o novedad"))))</f>
        <v>Otro: beneficio o novedad</v>
      </c>
    </row>
    <row r="261" spans="1:46" x14ac:dyDescent="0.2">
      <c r="A261" s="96" t="s">
        <v>1132</v>
      </c>
      <c r="B261" s="96" t="s">
        <v>279</v>
      </c>
      <c r="C261" s="96" t="s">
        <v>923</v>
      </c>
      <c r="D261" s="96" t="s">
        <v>729</v>
      </c>
      <c r="E261" s="96" t="s">
        <v>369</v>
      </c>
      <c r="F261" s="96" t="s">
        <v>457</v>
      </c>
      <c r="G261" s="97">
        <v>132764</v>
      </c>
      <c r="H261" s="97">
        <v>40040</v>
      </c>
      <c r="I261" s="97">
        <v>16581</v>
      </c>
      <c r="J261" s="98">
        <v>4.63</v>
      </c>
      <c r="K261" s="98">
        <v>4.1100000000000003</v>
      </c>
      <c r="L261" s="99">
        <v>70697.41</v>
      </c>
      <c r="M261" s="100">
        <f t="shared" ref="M261:M324" si="96">IFERROR(H261/G261*100,"")</f>
        <v>30.158777981983071</v>
      </c>
      <c r="N261" s="100">
        <f t="shared" ref="N261:N324" si="97">IFERROR(I261/G261*100,"")</f>
        <v>12.489078364616914</v>
      </c>
      <c r="O261" s="100">
        <f t="shared" ref="O261:O324" si="98">IFERROR(I261/H261*100,"")</f>
        <v>41.41108891108891</v>
      </c>
      <c r="P261" s="100">
        <f t="shared" ref="P261:P324" si="99">IFERROR(L261/G261*1000,"")</f>
        <v>532.50436865415327</v>
      </c>
      <c r="Q261" s="100">
        <f t="shared" ref="Q261:Q324" si="100">AVERAGEIF($E$5:$E$493,$E261,$M$5:$M$493)</f>
        <v>36.827379346292652</v>
      </c>
      <c r="R261" s="100">
        <f t="shared" ref="R261:R324" si="101">AVERAGEIF($B$5:$B$493,$B261,$M$5:$M$493)</f>
        <v>27.75136451093497</v>
      </c>
      <c r="S261" s="101">
        <f t="shared" ref="S261:S324" si="102">DATEVALUE(C261)</f>
        <v>45873</v>
      </c>
      <c r="T261" s="102" t="str">
        <f t="shared" ref="T261:T324" si="103">CHOOSE(MONTH(S261)-7,"Agosto","Septiembre","Octubre")</f>
        <v>Agosto</v>
      </c>
      <c r="U261" s="102" t="str">
        <f t="shared" ref="U261:U324" si="104">CHOOSE(WEEKDAY(S261,2),"Lunes","Martes","Miércoles","Jueves","Viernes","Sábado","Domingo")</f>
        <v>Lunes</v>
      </c>
      <c r="V261" s="102">
        <f t="shared" ref="V261:V324" si="105">VALUE(LEFT(D261,2))</f>
        <v>10</v>
      </c>
      <c r="W261" s="102" t="str">
        <f t="shared" ref="W261:W324" si="106">IF(OR(AND(DAY(S261)&gt;=14,DAY(S261)&lt;=16),DAY(S261)&gt;=DAY(EOMONTH(S261,0))-1,DAY(S261)=1),"Quincena",IF(OR(AND(DAY(S261)&gt;=2,DAY(S261)&lt;=5),AND(DAY(S261)&gt;=17,DAY(S261)&lt;=20)),"Días después del pago","Resto del mes"))</f>
        <v>Días después del pago</v>
      </c>
      <c r="X261" s="102">
        <f t="shared" ref="X261:X324" si="107">COUNTIF($S$5:$S$493,S261)</f>
        <v>24</v>
      </c>
      <c r="Y261" s="102" t="str">
        <f t="shared" ref="Y261:Y324" si="108">IF(X261&gt;=20,"Sí","No")</f>
        <v>Sí</v>
      </c>
      <c r="Z261" s="102" t="str">
        <f>CHOOSE(MATCH(B261,{"Customer Appreciation","Exclusive Offers","Flash Sale","Holiday Discounts","New Product Launch","Newsletter"},0),"Fidelizar","Vender","Vender","Vender","Lanzar","Educar")</f>
        <v>Educar</v>
      </c>
      <c r="AA261" s="102" t="str">
        <f t="shared" ref="AA261:AA324" si="109">IF(G261&lt;100000,"Menos de 100 mil",IF(G261&lt;200000,"100 a 200 mil",IF(G261&lt;300000,"200 a 300 mil",IF(G261&lt;400000,"300 a 400 mil","Más de 400 mil"))))</f>
        <v>100 a 200 mil</v>
      </c>
      <c r="AB261" s="102">
        <f>COUNTIFS($E$5:$E$493,E261,$S$5:$S$493,"&lt;"&amp;S261)+COUNTIFS($E$5:E261,E261,$S$5:S261,S261)</f>
        <v>1</v>
      </c>
      <c r="AC261" s="102">
        <f t="shared" ref="AC261:AC324" si="110">COUNTIF($E$5:$E$493,E261)</f>
        <v>19</v>
      </c>
      <c r="AD261" s="102" t="str">
        <f t="shared" ref="AD261:AD324" si="111">IF(AC261&lt;8,"",IF(AB261&lt;=AC261/3,"Primer tercio",IF(AB261&gt;AC261*2/3,"Último tercio","Medio")))</f>
        <v>Primer tercio</v>
      </c>
      <c r="AE261" s="103">
        <f t="shared" ref="AE261:AE324" si="112">M261-Q261</f>
        <v>-6.6686013643095805</v>
      </c>
      <c r="AF261" s="102" t="str">
        <f t="shared" ref="AF261:AF324" si="113">" "&amp;LOWER(SUBSTITUTE(SUBSTITUTE(SUBSTITUTE(SUBSTITUTE(SUBSTITUTE(SUBSTITUTE(SUBSTITUTE(E261,"¡"," "),"!"," "),"¿"," "),"?"," "),":"," "),","," "),"."," "))&amp;" "</f>
        <v xml:space="preserve"> lo último en l'oréal  mantente informad@ de las novedades </v>
      </c>
      <c r="AG261" s="102" t="str">
        <f t="shared" ref="AG261:AG324" si="114">" "&amp;LOWER(SUBSTITUTE(SUBSTITUTE(SUBSTITUTE(SUBSTITUTE(SUBSTITUTE(SUBSTITUTE(SUBSTITUTE(F261,"¡"," "),"!"," "),"¿"," "),"?"," "),":"," "),","," "),"."," "))&amp;" "</f>
        <v xml:space="preserve"> descubre las novedades y tips de la semana   entra ya  </v>
      </c>
      <c r="AH261" s="102" t="str">
        <f>IF(SUMPRODUCT(--(LEFT(IF(LEFT(LOWER(E261),1)="¡",MID(LOWER(E261),2,300),LOWER(E261)),LEN({"actualizaci","el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261" s="102" t="str">
        <f>IF(OR(SUMPRODUCT(--ISNUMBER(SEARCH({"descuento","oferta","ahorr","precio"," sale ","flash","deals"},AF261)))&gt;0,SUMPRODUCT(--ISNUMBER(SEARCH({"descuento","oferta","ahorr","precio"," sale ","flash","deals"},AG261)))&gt;0),"Sí","No")</f>
        <v>No</v>
      </c>
      <c r="AJ261" s="102" t="str">
        <f>IF(SUMPRODUCT(--ISNUMBER(SEARCH({" hoy ","horas","tiempo limitado","antes de que","se acab","se agot","finalic","última oportunidad","oportunidad única","relámpago","express","no esperes","no volver","no parpadees"},AF261)))&gt;0,"Sí","No")</f>
        <v>No</v>
      </c>
      <c r="AK261" s="102" t="str">
        <f>IF(SUMPRODUCT(--ISNUMBER(SEARCH({" hoy ","horas","tiempo limitado","antes de que","se acab","se agot","finalic","última oportunidad","oportunidad única","relámpago","express","no esperes","no volver","no parpadees"},AG261)))&gt;0,"Sí","No")</f>
        <v>No</v>
      </c>
      <c r="AL261" s="102" t="str">
        <f t="shared" ref="AL261:AL324" si="115">IF(AI261="No","Sin descuento",IF(AJ261="Sí","Descuento con tiempo límite en el asunto",IF(AK261="Sí","Descuento con tiempo límite solo en el preheader","Descuento sin tiempo límite")))</f>
        <v>Sin descuento</v>
      </c>
      <c r="AM261" s="102" t="str">
        <f>IF(SUMPRODUCT(--ISNUMBER(SEARCH({"0","1","2","3","4","5","6","7","8","9","favorit","maquillaje","piel","cabello","productos","belleza","regalo"},E261)))&gt;0,"Sí","No")</f>
        <v>No</v>
      </c>
      <c r="AN261" s="102" t="str">
        <f>IF(SUMPRODUCT(--ISNUMBER(SEARCH({"lo que tenemos","estas ofertas","algo especial","ofertas únicas","que preparamos","no te quedes","echa un vistazo"},F261)))&gt;0,"Sí","No")</f>
        <v>No</v>
      </c>
      <c r="AO261" s="102">
        <f t="shared" ref="AO261:AO324" si="116">LEN(E261)-(LEN(E261)-LEN(SUBSTITUTE(E261,"🔥","")))/LEN("🔥")*(LEN("🔥")-1)</f>
        <v>57</v>
      </c>
      <c r="AP261" s="102">
        <f t="shared" ref="AP261:AP324" si="117">LEN(TRIM(E261))-LEN(SUBSTITUTE(TRIM(E261)," ",""))+1</f>
        <v>9</v>
      </c>
      <c r="AQ261" s="102">
        <f>SUMPRODUCT(LEN(E261)-LEN(SUBSTITUTE(E261,{"!","¡","?","¿",":",",",".","%","·","-",";"},"")))</f>
        <v>1</v>
      </c>
      <c r="AR261" s="102" t="str">
        <f t="shared" ref="AR261:AR324" si="118">IF(AND(AO261&lt;=60,AP261&lt;=9,AQ261&lt;=3,(LEN(E261)-LEN(SUBSTITUTE(E261,"🔥","")))/LEN("🔥")&lt;=1),"Sí","No")</f>
        <v>Sí</v>
      </c>
      <c r="AS261" s="102" t="str">
        <f t="shared" ref="AS261:AS324" si="119">IF(ISNUMBER(SEARCH("hot sale",E261)),"Sí","No")</f>
        <v>No</v>
      </c>
      <c r="AT261" s="102" t="str">
        <f>IF(SUMPRODUCT(--ISNUMBER(FIND({"0","1","2","3","4","5","6","7","8","9"},E261)))&gt;0,"Con cifra concreta",IF(OR(ISNUMBER(FIND("?",E261)),ISNUMBER(FIND("¿",E261))),"Pregunta abierta",IF(SUMPRODUCT(--ISNUMBER(SEARCH({" hoy ","horas","tiempo limitado","antes de que","se acab","se agot","finalic","última oportunidad","oportunidad única","relámpago","express","no esperes","no volver","no parpadees"," ya ","últimas horas","últimas unidades"," ahora "},AF261)))&gt;0,"Solo urgencia, sin cifra",IF(SUMPRODUCT(--ISNUMBER(SEARCH({"recompensa","sorpresa","regalo","lealtad","detalle","gracias","pensamos en ti","para ti"},E261)))&gt;0,"Recompensa o sorpresa","Otro: beneficio o novedad"))))</f>
        <v>Otro: beneficio o novedad</v>
      </c>
    </row>
    <row r="262" spans="1:46" x14ac:dyDescent="0.2">
      <c r="A262" s="104" t="s">
        <v>1133</v>
      </c>
      <c r="B262" s="104" t="s">
        <v>275</v>
      </c>
      <c r="C262" s="104" t="s">
        <v>793</v>
      </c>
      <c r="D262" s="104" t="s">
        <v>947</v>
      </c>
      <c r="E262" s="104" t="s">
        <v>481</v>
      </c>
      <c r="F262" s="104" t="s">
        <v>482</v>
      </c>
      <c r="G262" s="105">
        <v>485216</v>
      </c>
      <c r="H262" s="105">
        <v>27750</v>
      </c>
      <c r="I262" s="105">
        <v>17300</v>
      </c>
      <c r="J262" s="106">
        <v>8.81</v>
      </c>
      <c r="K262" s="106">
        <v>2.85</v>
      </c>
      <c r="L262" s="107">
        <v>95953.88</v>
      </c>
      <c r="M262" s="108">
        <f t="shared" si="96"/>
        <v>5.7191024203653633</v>
      </c>
      <c r="N262" s="108">
        <f t="shared" si="97"/>
        <v>3.5654224098133618</v>
      </c>
      <c r="O262" s="108">
        <f t="shared" si="98"/>
        <v>62.342342342342342</v>
      </c>
      <c r="P262" s="108">
        <f t="shared" si="99"/>
        <v>197.75497922574689</v>
      </c>
      <c r="Q262" s="108">
        <f t="shared" si="100"/>
        <v>18.428686186240089</v>
      </c>
      <c r="R262" s="108">
        <f t="shared" si="101"/>
        <v>27.021447627328243</v>
      </c>
      <c r="S262" s="101">
        <f t="shared" si="102"/>
        <v>45939</v>
      </c>
      <c r="T262" s="102" t="str">
        <f t="shared" si="103"/>
        <v>Octubre</v>
      </c>
      <c r="U262" s="102" t="str">
        <f t="shared" si="104"/>
        <v>Jueves</v>
      </c>
      <c r="V262" s="102">
        <f t="shared" si="105"/>
        <v>9</v>
      </c>
      <c r="W262" s="102" t="str">
        <f t="shared" si="106"/>
        <v>Resto del mes</v>
      </c>
      <c r="X262" s="102">
        <f t="shared" si="107"/>
        <v>27</v>
      </c>
      <c r="Y262" s="102" t="str">
        <f t="shared" si="108"/>
        <v>Sí</v>
      </c>
      <c r="Z262" s="102" t="str">
        <f>CHOOSE(MATCH(B262,{"Customer Appreciation","Exclusive Offers","Flash Sale","Holiday Discounts","New Product Launch","Newsletter"},0),"Fidelizar","Vender","Vender","Vender","Lanzar","Educar")</f>
        <v>Vender</v>
      </c>
      <c r="AA262" s="102" t="str">
        <f t="shared" si="109"/>
        <v>Más de 400 mil</v>
      </c>
      <c r="AB262" s="102">
        <f>COUNTIFS($E$5:$E$493,E262,$S$5:$S$493,"&lt;"&amp;S262)+COUNTIFS($E$5:E262,E262,$S$5:S262,S262)</f>
        <v>6</v>
      </c>
      <c r="AC262" s="102">
        <f t="shared" si="110"/>
        <v>11</v>
      </c>
      <c r="AD262" s="102" t="str">
        <f t="shared" si="111"/>
        <v>Medio</v>
      </c>
      <c r="AE262" s="103">
        <f t="shared" si="112"/>
        <v>-12.709583765874726</v>
      </c>
      <c r="AF262" s="102" t="str">
        <f t="shared" si="113"/>
        <v xml:space="preserve">  oportunidad única  solo por hoy  tus favoritos a un clic </v>
      </c>
      <c r="AG262" s="102" t="str">
        <f t="shared" si="114"/>
        <v xml:space="preserve"> tus productos favoritos con un precio que no volverás a ver   aprovecha  </v>
      </c>
      <c r="AH262" s="102" t="str">
        <f>IF(SUMPRODUCT(--(LEFT(IF(LEFT(LOWER(E262),1)="¡",MID(LOWER(E262),2,300),LOWER(E262)),LEN({"actualizaci","el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Sí</v>
      </c>
      <c r="AI262" s="102" t="str">
        <f>IF(OR(SUMPRODUCT(--ISNUMBER(SEARCH({"descuento","oferta","ahorr","precio"," sale ","flash","deals"},AF262)))&gt;0,SUMPRODUCT(--ISNUMBER(SEARCH({"descuento","oferta","ahorr","precio"," sale ","flash","deals"},AG262)))&gt;0),"Sí","No")</f>
        <v>Sí</v>
      </c>
      <c r="AJ262" s="102" t="str">
        <f>IF(SUMPRODUCT(--ISNUMBER(SEARCH({" hoy ","horas","tiempo limitado","antes de que","se acab","se agot","finalic","última oportunidad","oportunidad única","relámpago","express","no esperes","no volver","no parpadees"},AF262)))&gt;0,"Sí","No")</f>
        <v>Sí</v>
      </c>
      <c r="AK262" s="102" t="str">
        <f>IF(SUMPRODUCT(--ISNUMBER(SEARCH({" hoy ","horas","tiempo limitado","antes de que","se acab","se agot","finalic","última oportunidad","oportunidad única","relámpago","express","no esperes","no volver","no parpadees"},AG262)))&gt;0,"Sí","No")</f>
        <v>Sí</v>
      </c>
      <c r="AL262" s="102" t="str">
        <f t="shared" si="115"/>
        <v>Descuento con tiempo límite en el asunto</v>
      </c>
      <c r="AM262" s="102" t="str">
        <f>IF(SUMPRODUCT(--ISNUMBER(SEARCH({"0","1","2","3","4","5","6","7","8","9","favorit","maquillaje","piel","cabello","productos","belleza","regalo"},E262)))&gt;0,"Sí","No")</f>
        <v>Sí</v>
      </c>
      <c r="AN262" s="102" t="str">
        <f>IF(SUMPRODUCT(--ISNUMBER(SEARCH({"lo que tenemos","estas ofertas","algo especial","ofertas únicas","que preparamos","no te quedes","echa un vistazo"},F262)))&gt;0,"Sí","No")</f>
        <v>No</v>
      </c>
      <c r="AO262" s="102">
        <f t="shared" si="116"/>
        <v>57</v>
      </c>
      <c r="AP262" s="102">
        <f t="shared" si="117"/>
        <v>10</v>
      </c>
      <c r="AQ262" s="102">
        <f>SUMPRODUCT(LEN(E262)-LEN(SUBSTITUTE(E262,{"!","¡","?","¿",":",",",".","%","·","-",";"},"")))</f>
        <v>3</v>
      </c>
      <c r="AR262" s="102" t="str">
        <f t="shared" si="118"/>
        <v>No</v>
      </c>
      <c r="AS262" s="102" t="str">
        <f t="shared" si="119"/>
        <v>No</v>
      </c>
      <c r="AT262" s="102" t="str">
        <f>IF(SUMPRODUCT(--ISNUMBER(FIND({"0","1","2","3","4","5","6","7","8","9"},E262)))&gt;0,"Con cifra concreta",IF(OR(ISNUMBER(FIND("?",E262)),ISNUMBER(FIND("¿",E262))),"Pregunta abierta",IF(SUMPRODUCT(--ISNUMBER(SEARCH({" hoy ","horas","tiempo limitado","antes de que","se acab","se agot","finalic","última oportunidad","oportunidad única","relámpago","express","no esperes","no volver","no parpadees"," ya ","últimas horas","últimas unidades"," ahora "},AF262)))&gt;0,"Solo urgencia, sin cifra",IF(SUMPRODUCT(--ISNUMBER(SEARCH({"recompensa","sorpresa","regalo","lealtad","detalle","gracias","pensamos en ti","para ti"},E262)))&gt;0,"Recompensa o sorpresa","Otro: beneficio o novedad"))))</f>
        <v>Solo urgencia, sin cifra</v>
      </c>
    </row>
    <row r="263" spans="1:46" x14ac:dyDescent="0.2">
      <c r="A263" s="96" t="s">
        <v>1134</v>
      </c>
      <c r="B263" s="96" t="s">
        <v>277</v>
      </c>
      <c r="C263" s="96" t="s">
        <v>830</v>
      </c>
      <c r="D263" s="96" t="s">
        <v>950</v>
      </c>
      <c r="E263" s="96" t="s">
        <v>469</v>
      </c>
      <c r="F263" s="96" t="s">
        <v>470</v>
      </c>
      <c r="G263" s="97">
        <v>27453</v>
      </c>
      <c r="H263" s="97">
        <v>8453</v>
      </c>
      <c r="I263" s="97">
        <v>1857</v>
      </c>
      <c r="J263" s="98">
        <v>2.74</v>
      </c>
      <c r="K263" s="98">
        <v>3.2</v>
      </c>
      <c r="L263" s="99">
        <v>59886.62</v>
      </c>
      <c r="M263" s="100">
        <f t="shared" si="96"/>
        <v>30.790806104979417</v>
      </c>
      <c r="N263" s="100">
        <f t="shared" si="97"/>
        <v>6.7642880559501695</v>
      </c>
      <c r="O263" s="100">
        <f t="shared" si="98"/>
        <v>21.968531882172009</v>
      </c>
      <c r="P263" s="100">
        <f t="shared" si="99"/>
        <v>2181.4235238407459</v>
      </c>
      <c r="Q263" s="100">
        <f t="shared" si="100"/>
        <v>29.233022524783024</v>
      </c>
      <c r="R263" s="100">
        <f t="shared" si="101"/>
        <v>30.71114383300629</v>
      </c>
      <c r="S263" s="101">
        <f t="shared" si="102"/>
        <v>45901</v>
      </c>
      <c r="T263" s="102" t="str">
        <f t="shared" si="103"/>
        <v>Septiembre</v>
      </c>
      <c r="U263" s="102" t="str">
        <f t="shared" si="104"/>
        <v>Lunes</v>
      </c>
      <c r="V263" s="102">
        <f t="shared" si="105"/>
        <v>14</v>
      </c>
      <c r="W263" s="102" t="str">
        <f t="shared" si="106"/>
        <v>Quincena</v>
      </c>
      <c r="X263" s="102">
        <f t="shared" si="107"/>
        <v>29</v>
      </c>
      <c r="Y263" s="102" t="str">
        <f t="shared" si="108"/>
        <v>Sí</v>
      </c>
      <c r="Z263" s="102" t="str">
        <f>CHOOSE(MATCH(B263,{"Customer Appreciation","Exclusive Offers","Flash Sale","Holiday Discounts","New Product Launch","Newsletter"},0),"Fidelizar","Vender","Vender","Vender","Lanzar","Educar")</f>
        <v>Vender</v>
      </c>
      <c r="AA263" s="102" t="str">
        <f t="shared" si="109"/>
        <v>Menos de 100 mil</v>
      </c>
      <c r="AB263" s="102">
        <f>COUNTIFS($E$5:$E$493,E263,$S$5:$S$493,"&lt;"&amp;S263)+COUNTIFS($E$5:E263,E263,$S$5:S263,S263)</f>
        <v>8</v>
      </c>
      <c r="AC263" s="102">
        <f t="shared" si="110"/>
        <v>20</v>
      </c>
      <c r="AD263" s="102" t="str">
        <f t="shared" si="111"/>
        <v>Medio</v>
      </c>
      <c r="AE263" s="103">
        <f t="shared" si="112"/>
        <v>1.5577835801963928</v>
      </c>
      <c r="AF263" s="102" t="str">
        <f t="shared" si="113"/>
        <v xml:space="preserve">  celebra con nosotros  descuentos festivos para regalar </v>
      </c>
      <c r="AG263" s="102" t="str">
        <f t="shared" si="114"/>
        <v xml:space="preserve"> regalos perfectos y ofertas que te encantarán   descubre más  </v>
      </c>
      <c r="AH263" s="102" t="str">
        <f>IF(SUMPRODUCT(--(LEFT(IF(LEFT(LOWER(E263),1)="¡",MID(LOWER(E263),2,300),LOWER(E263)),LEN({"actualizaci","el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263" s="102" t="str">
        <f>IF(OR(SUMPRODUCT(--ISNUMBER(SEARCH({"descuento","oferta","ahorr","precio"," sale ","flash","deals"},AF263)))&gt;0,SUMPRODUCT(--ISNUMBER(SEARCH({"descuento","oferta","ahorr","precio"," sale ","flash","deals"},AG263)))&gt;0),"Sí","No")</f>
        <v>Sí</v>
      </c>
      <c r="AJ263" s="102" t="str">
        <f>IF(SUMPRODUCT(--ISNUMBER(SEARCH({" hoy ","horas","tiempo limitado","antes de que","se acab","se agot","finalic","última oportunidad","oportunidad única","relámpago","express","no esperes","no volver","no parpadees"},AF263)))&gt;0,"Sí","No")</f>
        <v>No</v>
      </c>
      <c r="AK263" s="102" t="str">
        <f>IF(SUMPRODUCT(--ISNUMBER(SEARCH({" hoy ","horas","tiempo limitado","antes de que","se acab","se agot","finalic","última oportunidad","oportunidad única","relámpago","express","no esperes","no volver","no parpadees"},AG263)))&gt;0,"Sí","No")</f>
        <v>No</v>
      </c>
      <c r="AL263" s="102" t="str">
        <f t="shared" si="115"/>
        <v>Descuento sin tiempo límite</v>
      </c>
      <c r="AM263" s="102" t="str">
        <f>IF(SUMPRODUCT(--ISNUMBER(SEARCH({"0","1","2","3","4","5","6","7","8","9","favorit","maquillaje","piel","cabello","productos","belleza","regalo"},E263)))&gt;0,"Sí","No")</f>
        <v>No</v>
      </c>
      <c r="AN263" s="102" t="str">
        <f>IF(SUMPRODUCT(--ISNUMBER(SEARCH({"lo que tenemos","estas ofertas","algo especial","ofertas únicas","que preparamos","no te quedes","echa un vistazo"},F263)))&gt;0,"Sí","No")</f>
        <v>No</v>
      </c>
      <c r="AO263" s="102">
        <f t="shared" si="116"/>
        <v>55</v>
      </c>
      <c r="AP263" s="102">
        <f t="shared" si="117"/>
        <v>7</v>
      </c>
      <c r="AQ263" s="102">
        <f>SUMPRODUCT(LEN(E263)-LEN(SUBSTITUTE(E263,{"!","¡","?","¿",":",",",".","%","·","-",";"},"")))</f>
        <v>2</v>
      </c>
      <c r="AR263" s="102" t="str">
        <f t="shared" si="118"/>
        <v>Sí</v>
      </c>
      <c r="AS263" s="102" t="str">
        <f t="shared" si="119"/>
        <v>No</v>
      </c>
      <c r="AT263" s="102" t="str">
        <f>IF(SUMPRODUCT(--ISNUMBER(FIND({"0","1","2","3","4","5","6","7","8","9"},E263)))&gt;0,"Con cifra concreta",IF(OR(ISNUMBER(FIND("?",E263)),ISNUMBER(FIND("¿",E263))),"Pregunta abierta",IF(SUMPRODUCT(--ISNUMBER(SEARCH({" hoy ","horas","tiempo limitado","antes de que","se acab","se agot","finalic","última oportunidad","oportunidad única","relámpago","express","no esperes","no volver","no parpadees"," ya ","últimas horas","últimas unidades"," ahora "},AF263)))&gt;0,"Solo urgencia, sin cifra",IF(SUMPRODUCT(--ISNUMBER(SEARCH({"recompensa","sorpresa","regalo","lealtad","detalle","gracias","pensamos en ti","para ti"},E263)))&gt;0,"Recompensa o sorpresa","Otro: beneficio o novedad"))))</f>
        <v>Otro: beneficio o novedad</v>
      </c>
    </row>
    <row r="264" spans="1:46" x14ac:dyDescent="0.2">
      <c r="A264" s="104" t="s">
        <v>1135</v>
      </c>
      <c r="B264" s="104" t="s">
        <v>279</v>
      </c>
      <c r="C264" s="104" t="s">
        <v>976</v>
      </c>
      <c r="D264" s="104" t="s">
        <v>751</v>
      </c>
      <c r="E264" s="104" t="s">
        <v>472</v>
      </c>
      <c r="F264" s="104" t="s">
        <v>473</v>
      </c>
      <c r="G264" s="105">
        <v>380187</v>
      </c>
      <c r="H264" s="105">
        <v>151543</v>
      </c>
      <c r="I264" s="105">
        <v>45856</v>
      </c>
      <c r="J264" s="106">
        <v>7.27</v>
      </c>
      <c r="K264" s="106">
        <v>4.51</v>
      </c>
      <c r="L264" s="107">
        <v>63974.58</v>
      </c>
      <c r="M264" s="108">
        <f t="shared" si="96"/>
        <v>39.860121466541464</v>
      </c>
      <c r="N264" s="108">
        <f t="shared" si="97"/>
        <v>12.06143292642831</v>
      </c>
      <c r="O264" s="108">
        <f t="shared" si="98"/>
        <v>30.259398322588311</v>
      </c>
      <c r="P264" s="108">
        <f t="shared" si="99"/>
        <v>168.27135067742978</v>
      </c>
      <c r="Q264" s="108">
        <f t="shared" si="100"/>
        <v>22.891293825435607</v>
      </c>
      <c r="R264" s="108">
        <f t="shared" si="101"/>
        <v>27.75136451093497</v>
      </c>
      <c r="S264" s="101">
        <f t="shared" si="102"/>
        <v>45892</v>
      </c>
      <c r="T264" s="102" t="str">
        <f t="shared" si="103"/>
        <v>Agosto</v>
      </c>
      <c r="U264" s="102" t="str">
        <f t="shared" si="104"/>
        <v>Sábado</v>
      </c>
      <c r="V264" s="102">
        <f t="shared" si="105"/>
        <v>11</v>
      </c>
      <c r="W264" s="102" t="str">
        <f t="shared" si="106"/>
        <v>Resto del mes</v>
      </c>
      <c r="X264" s="102">
        <f t="shared" si="107"/>
        <v>25</v>
      </c>
      <c r="Y264" s="102" t="str">
        <f t="shared" si="108"/>
        <v>Sí</v>
      </c>
      <c r="Z264" s="102" t="str">
        <f>CHOOSE(MATCH(B264,{"Customer Appreciation","Exclusive Offers","Flash Sale","Holiday Discounts","New Product Launch","Newsletter"},0),"Fidelizar","Vender","Vender","Vender","Lanzar","Educar")</f>
        <v>Educar</v>
      </c>
      <c r="AA264" s="102" t="str">
        <f t="shared" si="109"/>
        <v>300 a 400 mil</v>
      </c>
      <c r="AB264" s="102">
        <f>COUNTIFS($E$5:$E$493,E264,$S$5:$S$493,"&lt;"&amp;S264)+COUNTIFS($E$5:E264,E264,$S$5:S264,S264)</f>
        <v>5</v>
      </c>
      <c r="AC264" s="102">
        <f t="shared" si="110"/>
        <v>22</v>
      </c>
      <c r="AD264" s="102" t="str">
        <f t="shared" si="111"/>
        <v>Primer tercio</v>
      </c>
      <c r="AE264" s="103">
        <f t="shared" si="112"/>
        <v>16.968827641105857</v>
      </c>
      <c r="AF264" s="102" t="str">
        <f t="shared" si="113"/>
        <v xml:space="preserve"> tu dosis semanal de belleza  novedades y tips </v>
      </c>
      <c r="AG264" s="102" t="str">
        <f t="shared" si="114"/>
        <v xml:space="preserve"> novedades  tips y más para tu rutina diaria   entra ya  </v>
      </c>
      <c r="AH264" s="102" t="str">
        <f>IF(SUMPRODUCT(--(LEFT(IF(LEFT(LOWER(E264),1)="¡",MID(LOWER(E264),2,300),LOWER(E264)),LEN({"actualizaci","el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264" s="102" t="str">
        <f>IF(OR(SUMPRODUCT(--ISNUMBER(SEARCH({"descuento","oferta","ahorr","precio"," sale ","flash","deals"},AF264)))&gt;0,SUMPRODUCT(--ISNUMBER(SEARCH({"descuento","oferta","ahorr","precio"," sale ","flash","deals"},AG264)))&gt;0),"Sí","No")</f>
        <v>No</v>
      </c>
      <c r="AJ264" s="102" t="str">
        <f>IF(SUMPRODUCT(--ISNUMBER(SEARCH({" hoy ","horas","tiempo limitado","antes de que","se acab","se agot","finalic","última oportunidad","oportunidad única","relámpago","express","no esperes","no volver","no parpadees"},AF264)))&gt;0,"Sí","No")</f>
        <v>No</v>
      </c>
      <c r="AK264" s="102" t="str">
        <f>IF(SUMPRODUCT(--ISNUMBER(SEARCH({" hoy ","horas","tiempo limitado","antes de que","se acab","se agot","finalic","última oportunidad","oportunidad única","relámpago","express","no esperes","no volver","no parpadees"},AG264)))&gt;0,"Sí","No")</f>
        <v>No</v>
      </c>
      <c r="AL264" s="102" t="str">
        <f t="shared" si="115"/>
        <v>Sin descuento</v>
      </c>
      <c r="AM264" s="102" t="str">
        <f>IF(SUMPRODUCT(--ISNUMBER(SEARCH({"0","1","2","3","4","5","6","7","8","9","favorit","maquillaje","piel","cabello","productos","belleza","regalo"},E264)))&gt;0,"Sí","No")</f>
        <v>Sí</v>
      </c>
      <c r="AN264" s="102" t="str">
        <f>IF(SUMPRODUCT(--ISNUMBER(SEARCH({"lo que tenemos","estas ofertas","algo especial","ofertas únicas","que preparamos","no te quedes","echa un vistazo"},F264)))&gt;0,"Sí","No")</f>
        <v>No</v>
      </c>
      <c r="AO264" s="102">
        <f t="shared" si="116"/>
        <v>45</v>
      </c>
      <c r="AP264" s="102">
        <f t="shared" si="117"/>
        <v>8</v>
      </c>
      <c r="AQ264" s="102">
        <f>SUMPRODUCT(LEN(E264)-LEN(SUBSTITUTE(E264,{"!","¡","?","¿",":",",",".","%","·","-",";"},"")))</f>
        <v>1</v>
      </c>
      <c r="AR264" s="102" t="str">
        <f t="shared" si="118"/>
        <v>Sí</v>
      </c>
      <c r="AS264" s="102" t="str">
        <f t="shared" si="119"/>
        <v>No</v>
      </c>
      <c r="AT264" s="102" t="str">
        <f>IF(SUMPRODUCT(--ISNUMBER(FIND({"0","1","2","3","4","5","6","7","8","9"},E264)))&gt;0,"Con cifra concreta",IF(OR(ISNUMBER(FIND("?",E264)),ISNUMBER(FIND("¿",E264))),"Pregunta abierta",IF(SUMPRODUCT(--ISNUMBER(SEARCH({" hoy ","horas","tiempo limitado","antes de que","se acab","se agot","finalic","última oportunidad","oportunidad única","relámpago","express","no esperes","no volver","no parpadees"," ya ","últimas horas","últimas unidades"," ahora "},AF264)))&gt;0,"Solo urgencia, sin cifra",IF(SUMPRODUCT(--ISNUMBER(SEARCH({"recompensa","sorpresa","regalo","lealtad","detalle","gracias","pensamos en ti","para ti"},E264)))&gt;0,"Recompensa o sorpresa","Otro: beneficio o novedad"))))</f>
        <v>Otro: beneficio o novedad</v>
      </c>
    </row>
    <row r="265" spans="1:46" x14ac:dyDescent="0.2">
      <c r="A265" s="96" t="s">
        <v>1136</v>
      </c>
      <c r="B265" s="96" t="s">
        <v>275</v>
      </c>
      <c r="C265" s="96" t="s">
        <v>773</v>
      </c>
      <c r="D265" s="96" t="s">
        <v>707</v>
      </c>
      <c r="E265" s="96" t="s">
        <v>486</v>
      </c>
      <c r="F265" s="96" t="s">
        <v>487</v>
      </c>
      <c r="G265" s="97">
        <v>270848</v>
      </c>
      <c r="H265" s="97">
        <v>20937</v>
      </c>
      <c r="I265" s="97">
        <v>16301</v>
      </c>
      <c r="J265" s="98">
        <v>5.87</v>
      </c>
      <c r="K265" s="98">
        <v>1.1599999999999999</v>
      </c>
      <c r="L265" s="99">
        <v>43115.58</v>
      </c>
      <c r="M265" s="100">
        <f t="shared" si="96"/>
        <v>7.7301659971644607</v>
      </c>
      <c r="N265" s="100">
        <f t="shared" si="97"/>
        <v>6.0185048440453688</v>
      </c>
      <c r="O265" s="100">
        <f t="shared" si="98"/>
        <v>77.857381668815975</v>
      </c>
      <c r="P265" s="100">
        <f t="shared" si="99"/>
        <v>159.18736708412098</v>
      </c>
      <c r="Q265" s="100">
        <f t="shared" si="100"/>
        <v>10.717211021745861</v>
      </c>
      <c r="R265" s="100">
        <f t="shared" si="101"/>
        <v>27.021447627328243</v>
      </c>
      <c r="S265" s="101">
        <f t="shared" si="102"/>
        <v>45909</v>
      </c>
      <c r="T265" s="102" t="str">
        <f t="shared" si="103"/>
        <v>Septiembre</v>
      </c>
      <c r="U265" s="102" t="str">
        <f t="shared" si="104"/>
        <v>Martes</v>
      </c>
      <c r="V265" s="102">
        <f t="shared" si="105"/>
        <v>13</v>
      </c>
      <c r="W265" s="102" t="str">
        <f t="shared" si="106"/>
        <v>Resto del mes</v>
      </c>
      <c r="X265" s="102">
        <f t="shared" si="107"/>
        <v>28</v>
      </c>
      <c r="Y265" s="102" t="str">
        <f t="shared" si="108"/>
        <v>Sí</v>
      </c>
      <c r="Z265" s="102" t="str">
        <f>CHOOSE(MATCH(B265,{"Customer Appreciation","Exclusive Offers","Flash Sale","Holiday Discounts","New Product Launch","Newsletter"},0),"Fidelizar","Vender","Vender","Vender","Lanzar","Educar")</f>
        <v>Vender</v>
      </c>
      <c r="AA265" s="102" t="str">
        <f t="shared" si="109"/>
        <v>200 a 300 mil</v>
      </c>
      <c r="AB265" s="102">
        <f>COUNTIFS($E$5:$E$493,E265,$S$5:$S$493,"&lt;"&amp;S265)+COUNTIFS($E$5:E265,E265,$S$5:S265,S265)</f>
        <v>2</v>
      </c>
      <c r="AC265" s="102">
        <f t="shared" si="110"/>
        <v>8</v>
      </c>
      <c r="AD265" s="102" t="str">
        <f t="shared" si="111"/>
        <v>Primer tercio</v>
      </c>
      <c r="AE265" s="103">
        <f t="shared" si="112"/>
        <v>-2.9870450245814002</v>
      </c>
      <c r="AF265" s="102" t="str">
        <f t="shared" si="113"/>
        <v xml:space="preserve">  oportunidades de ahorro  descúbrelas  solo para ti </v>
      </c>
      <c r="AG265" s="102" t="str">
        <f t="shared" si="114"/>
        <v xml:space="preserve"> no te pierdas estas ofertas únicas que tenemos para ti   entra ya  </v>
      </c>
      <c r="AH265" s="102" t="str">
        <f>IF(SUMPRODUCT(--(LEFT(IF(LEFT(LOWER(E265),1)="¡",MID(LOWER(E265),2,300),LOWER(E265)),LEN({"actualizaci","el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Sí</v>
      </c>
      <c r="AI265" s="102" t="str">
        <f>IF(OR(SUMPRODUCT(--ISNUMBER(SEARCH({"descuento","oferta","ahorr","precio"," sale ","flash","deals"},AF265)))&gt;0,SUMPRODUCT(--ISNUMBER(SEARCH({"descuento","oferta","ahorr","precio"," sale ","flash","deals"},AG265)))&gt;0),"Sí","No")</f>
        <v>Sí</v>
      </c>
      <c r="AJ265" s="102" t="str">
        <f>IF(SUMPRODUCT(--ISNUMBER(SEARCH({" hoy ","horas","tiempo limitado","antes de que","se acab","se agot","finalic","última oportunidad","oportunidad única","relámpago","express","no esperes","no volver","no parpadees"},AF265)))&gt;0,"Sí","No")</f>
        <v>No</v>
      </c>
      <c r="AK265" s="102" t="str">
        <f>IF(SUMPRODUCT(--ISNUMBER(SEARCH({" hoy ","horas","tiempo limitado","antes de que","se acab","se agot","finalic","última oportunidad","oportunidad única","relámpago","express","no esperes","no volver","no parpadees"},AG265)))&gt;0,"Sí","No")</f>
        <v>No</v>
      </c>
      <c r="AL265" s="102" t="str">
        <f t="shared" si="115"/>
        <v>Descuento sin tiempo límite</v>
      </c>
      <c r="AM265" s="102" t="str">
        <f>IF(SUMPRODUCT(--ISNUMBER(SEARCH({"0","1","2","3","4","5","6","7","8","9","favorit","maquillaje","piel","cabello","productos","belleza","regalo"},E265)))&gt;0,"Sí","No")</f>
        <v>No</v>
      </c>
      <c r="AN265" s="102" t="str">
        <f>IF(SUMPRODUCT(--ISNUMBER(SEARCH({"lo que tenemos","estas ofertas","algo especial","ofertas únicas","que preparamos","no te quedes","echa un vistazo"},F265)))&gt;0,"Sí","No")</f>
        <v>Sí</v>
      </c>
      <c r="AO265" s="102">
        <f t="shared" si="116"/>
        <v>51</v>
      </c>
      <c r="AP265" s="102">
        <f t="shared" si="117"/>
        <v>7</v>
      </c>
      <c r="AQ265" s="102">
        <f>SUMPRODUCT(LEN(E265)-LEN(SUBSTITUTE(E265,{"!","¡","?","¿",":",",",".","%","·","-",";"},"")))</f>
        <v>3</v>
      </c>
      <c r="AR265" s="102" t="str">
        <f t="shared" si="118"/>
        <v>Sí</v>
      </c>
      <c r="AS265" s="102" t="str">
        <f t="shared" si="119"/>
        <v>No</v>
      </c>
      <c r="AT265" s="102" t="str">
        <f>IF(SUMPRODUCT(--ISNUMBER(FIND({"0","1","2","3","4","5","6","7","8","9"},E265)))&gt;0,"Con cifra concreta",IF(OR(ISNUMBER(FIND("?",E265)),ISNUMBER(FIND("¿",E265))),"Pregunta abierta",IF(SUMPRODUCT(--ISNUMBER(SEARCH({" hoy ","horas","tiempo limitado","antes de que","se acab","se agot","finalic","última oportunidad","oportunidad única","relámpago","express","no esperes","no volver","no parpadees"," ya ","últimas horas","últimas unidades"," ahora "},AF265)))&gt;0,"Solo urgencia, sin cifra",IF(SUMPRODUCT(--ISNUMBER(SEARCH({"recompensa","sorpresa","regalo","lealtad","detalle","gracias","pensamos en ti","para ti"},E265)))&gt;0,"Recompensa o sorpresa","Otro: beneficio o novedad"))))</f>
        <v>Recompensa o sorpresa</v>
      </c>
    </row>
    <row r="266" spans="1:46" x14ac:dyDescent="0.2">
      <c r="A266" s="104" t="s">
        <v>1137</v>
      </c>
      <c r="B266" s="104" t="s">
        <v>274</v>
      </c>
      <c r="C266" s="104" t="s">
        <v>980</v>
      </c>
      <c r="D266" s="104" t="s">
        <v>824</v>
      </c>
      <c r="E266" s="104" t="s">
        <v>453</v>
      </c>
      <c r="F266" s="104" t="s">
        <v>454</v>
      </c>
      <c r="G266" s="105">
        <v>34525</v>
      </c>
      <c r="H266" s="105">
        <v>15301</v>
      </c>
      <c r="I266" s="105">
        <v>5413</v>
      </c>
      <c r="J266" s="106">
        <v>3.67</v>
      </c>
      <c r="K266" s="106">
        <v>4.63</v>
      </c>
      <c r="L266" s="107">
        <v>9557.11</v>
      </c>
      <c r="M266" s="108">
        <f t="shared" si="96"/>
        <v>44.318609703113687</v>
      </c>
      <c r="N266" s="108">
        <f t="shared" si="97"/>
        <v>15.678493845039826</v>
      </c>
      <c r="O266" s="108">
        <f t="shared" si="98"/>
        <v>35.376772759950335</v>
      </c>
      <c r="P266" s="108">
        <f t="shared" si="99"/>
        <v>276.81708906589432</v>
      </c>
      <c r="Q266" s="108">
        <f t="shared" si="100"/>
        <v>39.210446566150395</v>
      </c>
      <c r="R266" s="108">
        <f t="shared" si="101"/>
        <v>31.113650744455075</v>
      </c>
      <c r="S266" s="101">
        <f t="shared" si="102"/>
        <v>45875</v>
      </c>
      <c r="T266" s="102" t="str">
        <f t="shared" si="103"/>
        <v>Agosto</v>
      </c>
      <c r="U266" s="102" t="str">
        <f t="shared" si="104"/>
        <v>Miércoles</v>
      </c>
      <c r="V266" s="102">
        <f t="shared" si="105"/>
        <v>10</v>
      </c>
      <c r="W266" s="102" t="str">
        <f t="shared" si="106"/>
        <v>Resto del mes</v>
      </c>
      <c r="X266" s="102">
        <f t="shared" si="107"/>
        <v>28</v>
      </c>
      <c r="Y266" s="102" t="str">
        <f t="shared" si="108"/>
        <v>Sí</v>
      </c>
      <c r="Z266" s="102" t="str">
        <f>CHOOSE(MATCH(B266,{"Customer Appreciation","Exclusive Offers","Flash Sale","Holiday Discounts","New Product Launch","Newsletter"},0),"Fidelizar","Vender","Vender","Vender","Lanzar","Educar")</f>
        <v>Fidelizar</v>
      </c>
      <c r="AA266" s="102" t="str">
        <f t="shared" si="109"/>
        <v>Menos de 100 mil</v>
      </c>
      <c r="AB266" s="102">
        <f>COUNTIFS($E$5:$E$493,E266,$S$5:$S$493,"&lt;"&amp;S266)+COUNTIFS($E$5:E266,E266,$S$5:S266,S266)</f>
        <v>2</v>
      </c>
      <c r="AC266" s="102">
        <f t="shared" si="110"/>
        <v>20</v>
      </c>
      <c r="AD266" s="102" t="str">
        <f t="shared" si="111"/>
        <v>Primer tercio</v>
      </c>
      <c r="AE266" s="103">
        <f t="shared" si="112"/>
        <v>5.1081631369632916</v>
      </c>
      <c r="AF266" s="102" t="str">
        <f t="shared" si="113"/>
        <v xml:space="preserve">  pensamos en ti  descubre estas sorpresas exclusivas </v>
      </c>
      <c r="AG266" s="102" t="str">
        <f t="shared" si="114"/>
        <v xml:space="preserve"> ofertas exclusivas por tu lealtad a l'oréal   aprovecha  </v>
      </c>
      <c r="AH266" s="102" t="str">
        <f>IF(SUMPRODUCT(--(LEFT(IF(LEFT(LOWER(E266),1)="¡",MID(LOWER(E266),2,300),LOWER(E266)),LEN({"actualizaci","el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266" s="102" t="str">
        <f>IF(OR(SUMPRODUCT(--ISNUMBER(SEARCH({"descuento","oferta","ahorr","precio"," sale ","flash","deals"},AF266)))&gt;0,SUMPRODUCT(--ISNUMBER(SEARCH({"descuento","oferta","ahorr","precio"," sale ","flash","deals"},AG266)))&gt;0),"Sí","No")</f>
        <v>Sí</v>
      </c>
      <c r="AJ266" s="102" t="str">
        <f>IF(SUMPRODUCT(--ISNUMBER(SEARCH({" hoy ","horas","tiempo limitado","antes de que","se acab","se agot","finalic","última oportunidad","oportunidad única","relámpago","express","no esperes","no volver","no parpadees"},AF266)))&gt;0,"Sí","No")</f>
        <v>No</v>
      </c>
      <c r="AK266" s="102" t="str">
        <f>IF(SUMPRODUCT(--ISNUMBER(SEARCH({" hoy ","horas","tiempo limitado","antes de que","se acab","se agot","finalic","última oportunidad","oportunidad única","relámpago","express","no esperes","no volver","no parpadees"},AG266)))&gt;0,"Sí","No")</f>
        <v>No</v>
      </c>
      <c r="AL266" s="102" t="str">
        <f t="shared" si="115"/>
        <v>Descuento sin tiempo límite</v>
      </c>
      <c r="AM266" s="102" t="str">
        <f>IF(SUMPRODUCT(--ISNUMBER(SEARCH({"0","1","2","3","4","5","6","7","8","9","favorit","maquillaje","piel","cabello","productos","belleza","regalo"},E266)))&gt;0,"Sí","No")</f>
        <v>No</v>
      </c>
      <c r="AN266" s="102" t="str">
        <f>IF(SUMPRODUCT(--ISNUMBER(SEARCH({"lo que tenemos","estas ofertas","algo especial","ofertas únicas","que preparamos","no te quedes","echa un vistazo"},F266)))&gt;0,"Sí","No")</f>
        <v>No</v>
      </c>
      <c r="AO266" s="102">
        <f t="shared" si="116"/>
        <v>52</v>
      </c>
      <c r="AP266" s="102">
        <f t="shared" si="117"/>
        <v>7</v>
      </c>
      <c r="AQ266" s="102">
        <f>SUMPRODUCT(LEN(E266)-LEN(SUBSTITUTE(E266,{"!","¡","?","¿",":",",",".","%","·","-",";"},"")))</f>
        <v>2</v>
      </c>
      <c r="AR266" s="102" t="str">
        <f t="shared" si="118"/>
        <v>Sí</v>
      </c>
      <c r="AS266" s="102" t="str">
        <f t="shared" si="119"/>
        <v>No</v>
      </c>
      <c r="AT266" s="102" t="str">
        <f>IF(SUMPRODUCT(--ISNUMBER(FIND({"0","1","2","3","4","5","6","7","8","9"},E266)))&gt;0,"Con cifra concreta",IF(OR(ISNUMBER(FIND("?",E266)),ISNUMBER(FIND("¿",E266))),"Pregunta abierta",IF(SUMPRODUCT(--ISNUMBER(SEARCH({" hoy ","horas","tiempo limitado","antes de que","se acab","se agot","finalic","última oportunidad","oportunidad única","relámpago","express","no esperes","no volver","no parpadees"," ya ","últimas horas","últimas unidades"," ahora "},AF266)))&gt;0,"Solo urgencia, sin cifra",IF(SUMPRODUCT(--ISNUMBER(SEARCH({"recompensa","sorpresa","regalo","lealtad","detalle","gracias","pensamos en ti","para ti"},E266)))&gt;0,"Recompensa o sorpresa","Otro: beneficio o novedad"))))</f>
        <v>Recompensa o sorpresa</v>
      </c>
    </row>
    <row r="267" spans="1:46" x14ac:dyDescent="0.2">
      <c r="A267" s="96" t="s">
        <v>1138</v>
      </c>
      <c r="B267" s="96" t="s">
        <v>279</v>
      </c>
      <c r="C267" s="96" t="s">
        <v>815</v>
      </c>
      <c r="D267" s="96" t="s">
        <v>764</v>
      </c>
      <c r="E267" s="96" t="s">
        <v>370</v>
      </c>
      <c r="F267" s="96" t="s">
        <v>485</v>
      </c>
      <c r="G267" s="97">
        <v>304435</v>
      </c>
      <c r="H267" s="97">
        <v>24080</v>
      </c>
      <c r="I267" s="97">
        <v>17387</v>
      </c>
      <c r="J267" s="98">
        <v>5.4</v>
      </c>
      <c r="K267" s="98">
        <v>3.1</v>
      </c>
      <c r="L267" s="99">
        <v>74255.990000000005</v>
      </c>
      <c r="M267" s="100">
        <f t="shared" si="96"/>
        <v>7.9097344260679616</v>
      </c>
      <c r="N267" s="100">
        <f t="shared" si="97"/>
        <v>5.7112355675267299</v>
      </c>
      <c r="O267" s="100">
        <f t="shared" si="98"/>
        <v>72.205149501661126</v>
      </c>
      <c r="P267" s="100">
        <f t="shared" si="99"/>
        <v>243.91410317473353</v>
      </c>
      <c r="Q267" s="100">
        <f t="shared" si="100"/>
        <v>15.908213539730554</v>
      </c>
      <c r="R267" s="100">
        <f t="shared" si="101"/>
        <v>27.75136451093497</v>
      </c>
      <c r="S267" s="101">
        <f t="shared" si="102"/>
        <v>45959</v>
      </c>
      <c r="T267" s="102" t="str">
        <f t="shared" si="103"/>
        <v>Octubre</v>
      </c>
      <c r="U267" s="102" t="str">
        <f t="shared" si="104"/>
        <v>Miércoles</v>
      </c>
      <c r="V267" s="102">
        <f t="shared" si="105"/>
        <v>15</v>
      </c>
      <c r="W267" s="102" t="str">
        <f t="shared" si="106"/>
        <v>Resto del mes</v>
      </c>
      <c r="X267" s="102">
        <f t="shared" si="107"/>
        <v>27</v>
      </c>
      <c r="Y267" s="102" t="str">
        <f t="shared" si="108"/>
        <v>Sí</v>
      </c>
      <c r="Z267" s="102" t="str">
        <f>CHOOSE(MATCH(B267,{"Customer Appreciation","Exclusive Offers","Flash Sale","Holiday Discounts","New Product Launch","Newsletter"},0),"Fidelizar","Vender","Vender","Vender","Lanzar","Educar")</f>
        <v>Educar</v>
      </c>
      <c r="AA267" s="102" t="str">
        <f t="shared" si="109"/>
        <v>300 a 400 mil</v>
      </c>
      <c r="AB267" s="102">
        <f>COUNTIFS($E$5:$E$493,E267,$S$5:$S$493,"&lt;"&amp;S267)+COUNTIFS($E$5:E267,E267,$S$5:S267,S267)</f>
        <v>10</v>
      </c>
      <c r="AC267" s="102">
        <f t="shared" si="110"/>
        <v>10</v>
      </c>
      <c r="AD267" s="102" t="str">
        <f t="shared" si="111"/>
        <v>Último tercio</v>
      </c>
      <c r="AE267" s="103">
        <f t="shared" si="112"/>
        <v>-7.9984791136625919</v>
      </c>
      <c r="AF267" s="102" t="str">
        <f t="shared" si="113"/>
        <v xml:space="preserve"> actualización de l'oréal   qué hay de nuevo en el mundo beauty  </v>
      </c>
      <c r="AG267" s="102" t="str">
        <f t="shared" si="114"/>
        <v xml:space="preserve"> no te quedes atrás con las últimas tendencias   descubre más  </v>
      </c>
      <c r="AH267" s="102" t="str">
        <f>IF(SUMPRODUCT(--(LEFT(IF(LEFT(LOWER(E267),1)="¡",MID(LOWER(E267),2,300),LOWER(E267)),LEN({"actualizaci","el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Sí</v>
      </c>
      <c r="AI267" s="102" t="str">
        <f>IF(OR(SUMPRODUCT(--ISNUMBER(SEARCH({"descuento","oferta","ahorr","precio"," sale ","flash","deals"},AF267)))&gt;0,SUMPRODUCT(--ISNUMBER(SEARCH({"descuento","oferta","ahorr","precio"," sale ","flash","deals"},AG267)))&gt;0),"Sí","No")</f>
        <v>No</v>
      </c>
      <c r="AJ267" s="102" t="str">
        <f>IF(SUMPRODUCT(--ISNUMBER(SEARCH({" hoy ","horas","tiempo limitado","antes de que","se acab","se agot","finalic","última oportunidad","oportunidad única","relámpago","express","no esperes","no volver","no parpadees"},AF267)))&gt;0,"Sí","No")</f>
        <v>No</v>
      </c>
      <c r="AK267" s="102" t="str">
        <f>IF(SUMPRODUCT(--ISNUMBER(SEARCH({" hoy ","horas","tiempo limitado","antes de que","se acab","se agot","finalic","última oportunidad","oportunidad única","relámpago","express","no esperes","no volver","no parpadees"},AG267)))&gt;0,"Sí","No")</f>
        <v>No</v>
      </c>
      <c r="AL267" s="102" t="str">
        <f t="shared" si="115"/>
        <v>Sin descuento</v>
      </c>
      <c r="AM267" s="102" t="str">
        <f>IF(SUMPRODUCT(--ISNUMBER(SEARCH({"0","1","2","3","4","5","6","7","8","9","favorit","maquillaje","piel","cabello","productos","belleza","regalo"},E267)))&gt;0,"Sí","No")</f>
        <v>No</v>
      </c>
      <c r="AN267" s="102" t="str">
        <f>IF(SUMPRODUCT(--ISNUMBER(SEARCH({"lo que tenemos","estas ofertas","algo especial","ofertas únicas","que preparamos","no te quedes","echa un vistazo"},F267)))&gt;0,"Sí","No")</f>
        <v>Sí</v>
      </c>
      <c r="AO267" s="102">
        <f t="shared" si="116"/>
        <v>63</v>
      </c>
      <c r="AP267" s="102">
        <f t="shared" si="117"/>
        <v>11</v>
      </c>
      <c r="AQ267" s="102">
        <f>SUMPRODUCT(LEN(E267)-LEN(SUBSTITUTE(E267,{"!","¡","?","¿",":",",",".","%","·","-",";"},"")))</f>
        <v>3</v>
      </c>
      <c r="AR267" s="102" t="str">
        <f t="shared" si="118"/>
        <v>No</v>
      </c>
      <c r="AS267" s="102" t="str">
        <f t="shared" si="119"/>
        <v>No</v>
      </c>
      <c r="AT267" s="102" t="str">
        <f>IF(SUMPRODUCT(--ISNUMBER(FIND({"0","1","2","3","4","5","6","7","8","9"},E267)))&gt;0,"Con cifra concreta",IF(OR(ISNUMBER(FIND("?",E267)),ISNUMBER(FIND("¿",E267))),"Pregunta abierta",IF(SUMPRODUCT(--ISNUMBER(SEARCH({" hoy ","horas","tiempo limitado","antes de que","se acab","se agot","finalic","última oportunidad","oportunidad única","relámpago","express","no esperes","no volver","no parpadees"," ya ","últimas horas","últimas unidades"," ahora "},AF267)))&gt;0,"Solo urgencia, sin cifra",IF(SUMPRODUCT(--ISNUMBER(SEARCH({"recompensa","sorpresa","regalo","lealtad","detalle","gracias","pensamos en ti","para ti"},E267)))&gt;0,"Recompensa o sorpresa","Otro: beneficio o novedad"))))</f>
        <v>Pregunta abierta</v>
      </c>
    </row>
    <row r="268" spans="1:46" x14ac:dyDescent="0.2">
      <c r="A268" s="104" t="s">
        <v>1139</v>
      </c>
      <c r="B268" s="104" t="s">
        <v>278</v>
      </c>
      <c r="C268" s="104" t="s">
        <v>869</v>
      </c>
      <c r="D268" s="104" t="s">
        <v>821</v>
      </c>
      <c r="E268" s="104" t="s">
        <v>368</v>
      </c>
      <c r="F268" s="104" t="s">
        <v>471</v>
      </c>
      <c r="G268" s="105">
        <v>246573</v>
      </c>
      <c r="H268" s="105">
        <v>34520</v>
      </c>
      <c r="I268" s="105">
        <v>25345</v>
      </c>
      <c r="J268" s="106">
        <v>3.37</v>
      </c>
      <c r="K268" s="106">
        <v>2.69</v>
      </c>
      <c r="L268" s="107">
        <v>99909.8</v>
      </c>
      <c r="M268" s="108">
        <f t="shared" si="96"/>
        <v>13.999910776930157</v>
      </c>
      <c r="N268" s="108">
        <f t="shared" si="97"/>
        <v>10.278903205136004</v>
      </c>
      <c r="O268" s="108">
        <f t="shared" si="98"/>
        <v>73.42120509849363</v>
      </c>
      <c r="P268" s="108">
        <f t="shared" si="99"/>
        <v>405.19359378358536</v>
      </c>
      <c r="Q268" s="108">
        <f t="shared" si="100"/>
        <v>23.315840784070005</v>
      </c>
      <c r="R268" s="108">
        <f t="shared" si="101"/>
        <v>29.458247936272421</v>
      </c>
      <c r="S268" s="101">
        <f t="shared" si="102"/>
        <v>45917</v>
      </c>
      <c r="T268" s="102" t="str">
        <f t="shared" si="103"/>
        <v>Septiembre</v>
      </c>
      <c r="U268" s="102" t="str">
        <f t="shared" si="104"/>
        <v>Miércoles</v>
      </c>
      <c r="V268" s="102">
        <f t="shared" si="105"/>
        <v>8</v>
      </c>
      <c r="W268" s="102" t="str">
        <f t="shared" si="106"/>
        <v>Días después del pago</v>
      </c>
      <c r="X268" s="102">
        <f t="shared" si="107"/>
        <v>26</v>
      </c>
      <c r="Y268" s="102" t="str">
        <f t="shared" si="108"/>
        <v>Sí</v>
      </c>
      <c r="Z268" s="102" t="str">
        <f>CHOOSE(MATCH(B268,{"Customer Appreciation","Exclusive Offers","Flash Sale","Holiday Discounts","New Product Launch","Newsletter"},0),"Fidelizar","Vender","Vender","Vender","Lanzar","Educar")</f>
        <v>Lanzar</v>
      </c>
      <c r="AA268" s="102" t="str">
        <f t="shared" si="109"/>
        <v>200 a 300 mil</v>
      </c>
      <c r="AB268" s="102">
        <f>COUNTIFS($E$5:$E$493,E268,$S$5:$S$493,"&lt;"&amp;S268)+COUNTIFS($E$5:E268,E268,$S$5:S268,S268)</f>
        <v>17</v>
      </c>
      <c r="AC268" s="102">
        <f t="shared" si="110"/>
        <v>33</v>
      </c>
      <c r="AD268" s="102" t="str">
        <f t="shared" si="111"/>
        <v>Medio</v>
      </c>
      <c r="AE268" s="103">
        <f t="shared" si="112"/>
        <v>-9.3159300071398476</v>
      </c>
      <c r="AF268" s="102" t="str">
        <f t="shared" si="113"/>
        <v xml:space="preserve"> presentamos  nuestro último lanzamiento de belleza  imperdible  </v>
      </c>
      <c r="AG268" s="102" t="str">
        <f t="shared" si="114"/>
        <v xml:space="preserve"> una innovación que cambiará tu rutina   sé de los primeros  </v>
      </c>
      <c r="AH268" s="102" t="str">
        <f>IF(SUMPRODUCT(--(LEFT(IF(LEFT(LOWER(E268),1)="¡",MID(LOWER(E268),2,300),LOWER(E268)),LEN({"actualizaci","el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Sí</v>
      </c>
      <c r="AI268" s="102" t="str">
        <f>IF(OR(SUMPRODUCT(--ISNUMBER(SEARCH({"descuento","oferta","ahorr","precio"," sale ","flash","deals"},AF268)))&gt;0,SUMPRODUCT(--ISNUMBER(SEARCH({"descuento","oferta","ahorr","precio"," sale ","flash","deals"},AG268)))&gt;0),"Sí","No")</f>
        <v>No</v>
      </c>
      <c r="AJ268" s="102" t="str">
        <f>IF(SUMPRODUCT(--ISNUMBER(SEARCH({" hoy ","horas","tiempo limitado","antes de que","se acab","se agot","finalic","última oportunidad","oportunidad única","relámpago","express","no esperes","no volver","no parpadees"},AF268)))&gt;0,"Sí","No")</f>
        <v>No</v>
      </c>
      <c r="AK268" s="102" t="str">
        <f>IF(SUMPRODUCT(--ISNUMBER(SEARCH({" hoy ","horas","tiempo limitado","antes de que","se acab","se agot","finalic","última oportunidad","oportunidad única","relámpago","express","no esperes","no volver","no parpadees"},AG268)))&gt;0,"Sí","No")</f>
        <v>No</v>
      </c>
      <c r="AL268" s="102" t="str">
        <f t="shared" si="115"/>
        <v>Sin descuento</v>
      </c>
      <c r="AM268" s="102" t="str">
        <f>IF(SUMPRODUCT(--ISNUMBER(SEARCH({"0","1","2","3","4","5","6","7","8","9","favorit","maquillaje","piel","cabello","productos","belleza","regalo"},E268)))&gt;0,"Sí","No")</f>
        <v>Sí</v>
      </c>
      <c r="AN268" s="102" t="str">
        <f>IF(SUMPRODUCT(--ISNUMBER(SEARCH({"lo que tenemos","estas ofertas","algo especial","ofertas únicas","que preparamos","no te quedes","echa un vistazo"},F268)))&gt;0,"Sí","No")</f>
        <v>No</v>
      </c>
      <c r="AO268" s="102">
        <f t="shared" si="116"/>
        <v>63</v>
      </c>
      <c r="AP268" s="102">
        <f t="shared" si="117"/>
        <v>7</v>
      </c>
      <c r="AQ268" s="102">
        <f>SUMPRODUCT(LEN(E268)-LEN(SUBSTITUTE(E268,{"!","¡","?","¿",":",",",".","%","·","-",";"},"")))</f>
        <v>3</v>
      </c>
      <c r="AR268" s="102" t="str">
        <f t="shared" si="118"/>
        <v>No</v>
      </c>
      <c r="AS268" s="102" t="str">
        <f t="shared" si="119"/>
        <v>No</v>
      </c>
      <c r="AT268" s="102" t="str">
        <f>IF(SUMPRODUCT(--ISNUMBER(FIND({"0","1","2","3","4","5","6","7","8","9"},E268)))&gt;0,"Con cifra concreta",IF(OR(ISNUMBER(FIND("?",E268)),ISNUMBER(FIND("¿",E268))),"Pregunta abierta",IF(SUMPRODUCT(--ISNUMBER(SEARCH({" hoy ","horas","tiempo limitado","antes de que","se acab","se agot","finalic","última oportunidad","oportunidad única","relámpago","express","no esperes","no volver","no parpadees"," ya ","últimas horas","últimas unidades"," ahora "},AF268)))&gt;0,"Solo urgencia, sin cifra",IF(SUMPRODUCT(--ISNUMBER(SEARCH({"recompensa","sorpresa","regalo","lealtad","detalle","gracias","pensamos en ti","para ti"},E268)))&gt;0,"Recompensa o sorpresa","Otro: beneficio o novedad"))))</f>
        <v>Otro: beneficio o novedad</v>
      </c>
    </row>
    <row r="269" spans="1:46" x14ac:dyDescent="0.2">
      <c r="A269" s="96" t="s">
        <v>1140</v>
      </c>
      <c r="B269" s="96" t="s">
        <v>277</v>
      </c>
      <c r="C269" s="96" t="s">
        <v>889</v>
      </c>
      <c r="D269" s="96" t="s">
        <v>761</v>
      </c>
      <c r="E269" s="96" t="s">
        <v>461</v>
      </c>
      <c r="F269" s="96" t="s">
        <v>462</v>
      </c>
      <c r="G269" s="97">
        <v>247891</v>
      </c>
      <c r="H269" s="97">
        <v>73319</v>
      </c>
      <c r="I269" s="97">
        <v>31988</v>
      </c>
      <c r="J269" s="98">
        <v>5.0199999999999996</v>
      </c>
      <c r="K269" s="98">
        <v>2.94</v>
      </c>
      <c r="L269" s="99">
        <v>23454.35</v>
      </c>
      <c r="M269" s="100">
        <f t="shared" si="96"/>
        <v>29.577112521229086</v>
      </c>
      <c r="N269" s="100">
        <f t="shared" si="97"/>
        <v>12.904058638675869</v>
      </c>
      <c r="O269" s="100">
        <f t="shared" si="98"/>
        <v>43.628527393990645</v>
      </c>
      <c r="P269" s="100">
        <f t="shared" si="99"/>
        <v>94.615577007636418</v>
      </c>
      <c r="Q269" s="100">
        <f t="shared" si="100"/>
        <v>35.409886702202286</v>
      </c>
      <c r="R269" s="100">
        <f t="shared" si="101"/>
        <v>30.71114383300629</v>
      </c>
      <c r="S269" s="101">
        <f t="shared" si="102"/>
        <v>45908</v>
      </c>
      <c r="T269" s="102" t="str">
        <f t="shared" si="103"/>
        <v>Septiembre</v>
      </c>
      <c r="U269" s="102" t="str">
        <f t="shared" si="104"/>
        <v>Lunes</v>
      </c>
      <c r="V269" s="102">
        <f t="shared" si="105"/>
        <v>10</v>
      </c>
      <c r="W269" s="102" t="str">
        <f t="shared" si="106"/>
        <v>Resto del mes</v>
      </c>
      <c r="X269" s="102">
        <f t="shared" si="107"/>
        <v>28</v>
      </c>
      <c r="Y269" s="102" t="str">
        <f t="shared" si="108"/>
        <v>Sí</v>
      </c>
      <c r="Z269" s="102" t="str">
        <f>CHOOSE(MATCH(B269,{"Customer Appreciation","Exclusive Offers","Flash Sale","Holiday Discounts","New Product Launch","Newsletter"},0),"Fidelizar","Vender","Vender","Vender","Lanzar","Educar")</f>
        <v>Vender</v>
      </c>
      <c r="AA269" s="102" t="str">
        <f t="shared" si="109"/>
        <v>200 a 300 mil</v>
      </c>
      <c r="AB269" s="102">
        <f>COUNTIFS($E$5:$E$493,E269,$S$5:$S$493,"&lt;"&amp;S269)+COUNTIFS($E$5:E269,E269,$S$5:S269,S269)</f>
        <v>15</v>
      </c>
      <c r="AC269" s="102">
        <f t="shared" si="110"/>
        <v>30</v>
      </c>
      <c r="AD269" s="102" t="str">
        <f t="shared" si="111"/>
        <v>Medio</v>
      </c>
      <c r="AE269" s="103">
        <f t="shared" si="112"/>
        <v>-5.8327741809731997</v>
      </c>
      <c r="AF269" s="102" t="str">
        <f t="shared" si="113"/>
        <v xml:space="preserve">  regalos perfectos te esperan  descuentos de lujo  l'oréal </v>
      </c>
      <c r="AG269" s="102" t="str">
        <f t="shared" si="114"/>
        <v xml:space="preserve"> encuentra ese detalle especial para ti o tus seres queridos   descubre  </v>
      </c>
      <c r="AH269" s="102" t="str">
        <f>IF(SUMPRODUCT(--(LEFT(IF(LEFT(LOWER(E269),1)="¡",MID(LOWER(E269),2,300),LOWER(E269)),LEN({"actualizaci","el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269" s="102" t="str">
        <f>IF(OR(SUMPRODUCT(--ISNUMBER(SEARCH({"descuento","oferta","ahorr","precio"," sale ","flash","deals"},AF269)))&gt;0,SUMPRODUCT(--ISNUMBER(SEARCH({"descuento","oferta","ahorr","precio"," sale ","flash","deals"},AG269)))&gt;0),"Sí","No")</f>
        <v>Sí</v>
      </c>
      <c r="AJ269" s="102" t="str">
        <f>IF(SUMPRODUCT(--ISNUMBER(SEARCH({" hoy ","horas","tiempo limitado","antes de que","se acab","se agot","finalic","última oportunidad","oportunidad única","relámpago","express","no esperes","no volver","no parpadees"},AF269)))&gt;0,"Sí","No")</f>
        <v>No</v>
      </c>
      <c r="AK269" s="102" t="str">
        <f>IF(SUMPRODUCT(--ISNUMBER(SEARCH({" hoy ","horas","tiempo limitado","antes de que","se acab","se agot","finalic","última oportunidad","oportunidad única","relámpago","express","no esperes","no volver","no parpadees"},AG269)))&gt;0,"Sí","No")</f>
        <v>No</v>
      </c>
      <c r="AL269" s="102" t="str">
        <f t="shared" si="115"/>
        <v>Descuento sin tiempo límite</v>
      </c>
      <c r="AM269" s="102" t="str">
        <f>IF(SUMPRODUCT(--ISNUMBER(SEARCH({"0","1","2","3","4","5","6","7","8","9","favorit","maquillaje","piel","cabello","productos","belleza","regalo"},E269)))&gt;0,"Sí","No")</f>
        <v>Sí</v>
      </c>
      <c r="AN269" s="102" t="str">
        <f>IF(SUMPRODUCT(--ISNUMBER(SEARCH({"lo que tenemos","estas ofertas","algo especial","ofertas únicas","que preparamos","no te quedes","echa un vistazo"},F269)))&gt;0,"Sí","No")</f>
        <v>No</v>
      </c>
      <c r="AO269" s="102">
        <f t="shared" si="116"/>
        <v>58</v>
      </c>
      <c r="AP269" s="102">
        <f t="shared" si="117"/>
        <v>8</v>
      </c>
      <c r="AQ269" s="102">
        <f>SUMPRODUCT(LEN(E269)-LEN(SUBSTITUTE(E269,{"!","¡","?","¿",":",",",".","%","·","-",";"},"")))</f>
        <v>3</v>
      </c>
      <c r="AR269" s="102" t="str">
        <f t="shared" si="118"/>
        <v>Sí</v>
      </c>
      <c r="AS269" s="102" t="str">
        <f t="shared" si="119"/>
        <v>No</v>
      </c>
      <c r="AT269" s="102" t="str">
        <f>IF(SUMPRODUCT(--ISNUMBER(FIND({"0","1","2","3","4","5","6","7","8","9"},E269)))&gt;0,"Con cifra concreta",IF(OR(ISNUMBER(FIND("?",E269)),ISNUMBER(FIND("¿",E269))),"Pregunta abierta",IF(SUMPRODUCT(--ISNUMBER(SEARCH({" hoy ","horas","tiempo limitado","antes de que","se acab","se agot","finalic","última oportunidad","oportunidad única","relámpago","express","no esperes","no volver","no parpadees"," ya ","últimas horas","últimas unidades"," ahora "},AF269)))&gt;0,"Solo urgencia, sin cifra",IF(SUMPRODUCT(--ISNUMBER(SEARCH({"recompensa","sorpresa","regalo","lealtad","detalle","gracias","pensamos en ti","para ti"},E269)))&gt;0,"Recompensa o sorpresa","Otro: beneficio o novedad"))))</f>
        <v>Recompensa o sorpresa</v>
      </c>
    </row>
    <row r="270" spans="1:46" x14ac:dyDescent="0.2">
      <c r="A270" s="104" t="s">
        <v>1141</v>
      </c>
      <c r="B270" s="104" t="s">
        <v>279</v>
      </c>
      <c r="C270" s="104" t="s">
        <v>891</v>
      </c>
      <c r="D270" s="104" t="s">
        <v>786</v>
      </c>
      <c r="E270" s="104" t="s">
        <v>463</v>
      </c>
      <c r="F270" s="104" t="s">
        <v>464</v>
      </c>
      <c r="G270" s="105">
        <v>49035</v>
      </c>
      <c r="H270" s="105">
        <v>16320</v>
      </c>
      <c r="I270" s="105">
        <v>6370</v>
      </c>
      <c r="J270" s="106">
        <v>6.92</v>
      </c>
      <c r="K270" s="106">
        <v>4.49</v>
      </c>
      <c r="L270" s="107">
        <v>4507.16</v>
      </c>
      <c r="M270" s="108">
        <f t="shared" si="96"/>
        <v>33.282349342306517</v>
      </c>
      <c r="N270" s="108">
        <f t="shared" si="97"/>
        <v>12.990720913633119</v>
      </c>
      <c r="O270" s="108">
        <f t="shared" si="98"/>
        <v>39.031862745098039</v>
      </c>
      <c r="P270" s="108">
        <f t="shared" si="99"/>
        <v>91.917201998572452</v>
      </c>
      <c r="Q270" s="108">
        <f t="shared" si="100"/>
        <v>33.412775116147934</v>
      </c>
      <c r="R270" s="108">
        <f t="shared" si="101"/>
        <v>27.75136451093497</v>
      </c>
      <c r="S270" s="101">
        <f t="shared" si="102"/>
        <v>45888</v>
      </c>
      <c r="T270" s="102" t="str">
        <f t="shared" si="103"/>
        <v>Agosto</v>
      </c>
      <c r="U270" s="102" t="str">
        <f t="shared" si="104"/>
        <v>Martes</v>
      </c>
      <c r="V270" s="102">
        <f t="shared" si="105"/>
        <v>15</v>
      </c>
      <c r="W270" s="102" t="str">
        <f t="shared" si="106"/>
        <v>Días después del pago</v>
      </c>
      <c r="X270" s="102">
        <f t="shared" si="107"/>
        <v>29</v>
      </c>
      <c r="Y270" s="102" t="str">
        <f t="shared" si="108"/>
        <v>Sí</v>
      </c>
      <c r="Z270" s="102" t="str">
        <f>CHOOSE(MATCH(B270,{"Customer Appreciation","Exclusive Offers","Flash Sale","Holiday Discounts","New Product Launch","Newsletter"},0),"Fidelizar","Vender","Vender","Vender","Lanzar","Educar")</f>
        <v>Educar</v>
      </c>
      <c r="AA270" s="102" t="str">
        <f t="shared" si="109"/>
        <v>Menos de 100 mil</v>
      </c>
      <c r="AB270" s="102">
        <f>COUNTIFS($E$5:$E$493,E270,$S$5:$S$493,"&lt;"&amp;S270)+COUNTIFS($E$5:E270,E270,$S$5:S270,S270)</f>
        <v>7</v>
      </c>
      <c r="AC270" s="102">
        <f t="shared" si="110"/>
        <v>25</v>
      </c>
      <c r="AD270" s="102" t="str">
        <f t="shared" si="111"/>
        <v>Primer tercio</v>
      </c>
      <c r="AE270" s="103">
        <f t="shared" si="112"/>
        <v>-0.13042577384141651</v>
      </c>
      <c r="AF270" s="102" t="str">
        <f t="shared" si="113"/>
        <v xml:space="preserve"> tu dosis de belleza   no te lo pierdas  tips y trucos </v>
      </c>
      <c r="AG270" s="102" t="str">
        <f t="shared" si="114"/>
        <v xml:space="preserve"> consejos expertos  tendencias y más en tu bandeja de entrada   descúbrelo  </v>
      </c>
      <c r="AH270" s="102" t="str">
        <f>IF(SUMPRODUCT(--(LEFT(IF(LEFT(LOWER(E270),1)="¡",MID(LOWER(E270),2,300),LOWER(E270)),LEN({"actualizaci","el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270" s="102" t="str">
        <f>IF(OR(SUMPRODUCT(--ISNUMBER(SEARCH({"descuento","oferta","ahorr","precio"," sale ","flash","deals"},AF270)))&gt;0,SUMPRODUCT(--ISNUMBER(SEARCH({"descuento","oferta","ahorr","precio"," sale ","flash","deals"},AG270)))&gt;0),"Sí","No")</f>
        <v>No</v>
      </c>
      <c r="AJ270" s="102" t="str">
        <f>IF(SUMPRODUCT(--ISNUMBER(SEARCH({" hoy ","horas","tiempo limitado","antes de que","se acab","se agot","finalic","última oportunidad","oportunidad única","relámpago","express","no esperes","no volver","no parpadees"},AF270)))&gt;0,"Sí","No")</f>
        <v>No</v>
      </c>
      <c r="AK270" s="102" t="str">
        <f>IF(SUMPRODUCT(--ISNUMBER(SEARCH({" hoy ","horas","tiempo limitado","antes de que","se acab","se agot","finalic","última oportunidad","oportunidad única","relámpago","express","no esperes","no volver","no parpadees"},AG270)))&gt;0,"Sí","No")</f>
        <v>No</v>
      </c>
      <c r="AL270" s="102" t="str">
        <f t="shared" si="115"/>
        <v>Sin descuento</v>
      </c>
      <c r="AM270" s="102" t="str">
        <f>IF(SUMPRODUCT(--ISNUMBER(SEARCH({"0","1","2","3","4","5","6","7","8","9","favorit","maquillaje","piel","cabello","productos","belleza","regalo"},E270)))&gt;0,"Sí","No")</f>
        <v>Sí</v>
      </c>
      <c r="AN270" s="102" t="str">
        <f>IF(SUMPRODUCT(--ISNUMBER(SEARCH({"lo que tenemos","estas ofertas","algo especial","ofertas únicas","que preparamos","no te quedes","echa un vistazo"},F270)))&gt;0,"Sí","No")</f>
        <v>No</v>
      </c>
      <c r="AO270" s="102">
        <f t="shared" si="116"/>
        <v>53</v>
      </c>
      <c r="AP270" s="102">
        <f t="shared" si="117"/>
        <v>11</v>
      </c>
      <c r="AQ270" s="102">
        <f>SUMPRODUCT(LEN(E270)-LEN(SUBSTITUTE(E270,{"!","¡","?","¿",":",",",".","%","·","-",";"},"")))</f>
        <v>3</v>
      </c>
      <c r="AR270" s="102" t="str">
        <f t="shared" si="118"/>
        <v>No</v>
      </c>
      <c r="AS270" s="102" t="str">
        <f t="shared" si="119"/>
        <v>No</v>
      </c>
      <c r="AT270" s="102" t="str">
        <f>IF(SUMPRODUCT(--ISNUMBER(FIND({"0","1","2","3","4","5","6","7","8","9"},E270)))&gt;0,"Con cifra concreta",IF(OR(ISNUMBER(FIND("?",E270)),ISNUMBER(FIND("¿",E270))),"Pregunta abierta",IF(SUMPRODUCT(--ISNUMBER(SEARCH({" hoy ","horas","tiempo limitado","antes de que","se acab","se agot","finalic","última oportunidad","oportunidad única","relámpago","express","no esperes","no volver","no parpadees"," ya ","últimas horas","últimas unidades"," ahora "},AF270)))&gt;0,"Solo urgencia, sin cifra",IF(SUMPRODUCT(--ISNUMBER(SEARCH({"recompensa","sorpresa","regalo","lealtad","detalle","gracias","pensamos en ti","para ti"},E270)))&gt;0,"Recompensa o sorpresa","Otro: beneficio o novedad"))))</f>
        <v>Otro: beneficio o novedad</v>
      </c>
    </row>
    <row r="271" spans="1:46" x14ac:dyDescent="0.2">
      <c r="A271" s="96" t="s">
        <v>1142</v>
      </c>
      <c r="B271" s="96" t="s">
        <v>279</v>
      </c>
      <c r="C271" s="96" t="s">
        <v>915</v>
      </c>
      <c r="D271" s="96" t="s">
        <v>769</v>
      </c>
      <c r="E271" s="96" t="s">
        <v>369</v>
      </c>
      <c r="F271" s="96" t="s">
        <v>457</v>
      </c>
      <c r="G271" s="97">
        <v>411566</v>
      </c>
      <c r="H271" s="97">
        <v>103001</v>
      </c>
      <c r="I271" s="97">
        <v>46497</v>
      </c>
      <c r="J271" s="98">
        <v>8.52</v>
      </c>
      <c r="K271" s="98">
        <v>3.97</v>
      </c>
      <c r="L271" s="99">
        <v>65663.14</v>
      </c>
      <c r="M271" s="100">
        <f t="shared" si="96"/>
        <v>25.026605696291725</v>
      </c>
      <c r="N271" s="100">
        <f t="shared" si="97"/>
        <v>11.297580460971023</v>
      </c>
      <c r="O271" s="100">
        <f t="shared" si="98"/>
        <v>45.142280172037161</v>
      </c>
      <c r="P271" s="100">
        <f t="shared" si="99"/>
        <v>159.54461738821962</v>
      </c>
      <c r="Q271" s="100">
        <f t="shared" si="100"/>
        <v>36.827379346292652</v>
      </c>
      <c r="R271" s="100">
        <f t="shared" si="101"/>
        <v>27.75136451093497</v>
      </c>
      <c r="S271" s="101">
        <f t="shared" si="102"/>
        <v>45954</v>
      </c>
      <c r="T271" s="102" t="str">
        <f t="shared" si="103"/>
        <v>Octubre</v>
      </c>
      <c r="U271" s="102" t="str">
        <f t="shared" si="104"/>
        <v>Viernes</v>
      </c>
      <c r="V271" s="102">
        <f t="shared" si="105"/>
        <v>13</v>
      </c>
      <c r="W271" s="102" t="str">
        <f t="shared" si="106"/>
        <v>Resto del mes</v>
      </c>
      <c r="X271" s="102">
        <f t="shared" si="107"/>
        <v>29</v>
      </c>
      <c r="Y271" s="102" t="str">
        <f t="shared" si="108"/>
        <v>Sí</v>
      </c>
      <c r="Z271" s="102" t="str">
        <f>CHOOSE(MATCH(B271,{"Customer Appreciation","Exclusive Offers","Flash Sale","Holiday Discounts","New Product Launch","Newsletter"},0),"Fidelizar","Vender","Vender","Vender","Lanzar","Educar")</f>
        <v>Educar</v>
      </c>
      <c r="AA271" s="102" t="str">
        <f t="shared" si="109"/>
        <v>Más de 400 mil</v>
      </c>
      <c r="AB271" s="102">
        <f>COUNTIFS($E$5:$E$493,E271,$S$5:$S$493,"&lt;"&amp;S271)+COUNTIFS($E$5:E271,E271,$S$5:S271,S271)</f>
        <v>15</v>
      </c>
      <c r="AC271" s="102">
        <f t="shared" si="110"/>
        <v>19</v>
      </c>
      <c r="AD271" s="102" t="str">
        <f t="shared" si="111"/>
        <v>Último tercio</v>
      </c>
      <c r="AE271" s="103">
        <f t="shared" si="112"/>
        <v>-11.800773650000927</v>
      </c>
      <c r="AF271" s="102" t="str">
        <f t="shared" si="113"/>
        <v xml:space="preserve"> lo último en l'oréal  mantente informad@ de las novedades </v>
      </c>
      <c r="AG271" s="102" t="str">
        <f t="shared" si="114"/>
        <v xml:space="preserve"> descubre las novedades y tips de la semana   entra ya  </v>
      </c>
      <c r="AH271" s="102" t="str">
        <f>IF(SUMPRODUCT(--(LEFT(IF(LEFT(LOWER(E271),1)="¡",MID(LOWER(E271),2,300),LOWER(E271)),LEN({"actualizaci","el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271" s="102" t="str">
        <f>IF(OR(SUMPRODUCT(--ISNUMBER(SEARCH({"descuento","oferta","ahorr","precio"," sale ","flash","deals"},AF271)))&gt;0,SUMPRODUCT(--ISNUMBER(SEARCH({"descuento","oferta","ahorr","precio"," sale ","flash","deals"},AG271)))&gt;0),"Sí","No")</f>
        <v>No</v>
      </c>
      <c r="AJ271" s="102" t="str">
        <f>IF(SUMPRODUCT(--ISNUMBER(SEARCH({" hoy ","horas","tiempo limitado","antes de que","se acab","se agot","finalic","última oportunidad","oportunidad única","relámpago","express","no esperes","no volver","no parpadees"},AF271)))&gt;0,"Sí","No")</f>
        <v>No</v>
      </c>
      <c r="AK271" s="102" t="str">
        <f>IF(SUMPRODUCT(--ISNUMBER(SEARCH({" hoy ","horas","tiempo limitado","antes de que","se acab","se agot","finalic","última oportunidad","oportunidad única","relámpago","express","no esperes","no volver","no parpadees"},AG271)))&gt;0,"Sí","No")</f>
        <v>No</v>
      </c>
      <c r="AL271" s="102" t="str">
        <f t="shared" si="115"/>
        <v>Sin descuento</v>
      </c>
      <c r="AM271" s="102" t="str">
        <f>IF(SUMPRODUCT(--ISNUMBER(SEARCH({"0","1","2","3","4","5","6","7","8","9","favorit","maquillaje","piel","cabello","productos","belleza","regalo"},E271)))&gt;0,"Sí","No")</f>
        <v>No</v>
      </c>
      <c r="AN271" s="102" t="str">
        <f>IF(SUMPRODUCT(--ISNUMBER(SEARCH({"lo que tenemos","estas ofertas","algo especial","ofertas únicas","que preparamos","no te quedes","echa un vistazo"},F271)))&gt;0,"Sí","No")</f>
        <v>No</v>
      </c>
      <c r="AO271" s="102">
        <f t="shared" si="116"/>
        <v>57</v>
      </c>
      <c r="AP271" s="102">
        <f t="shared" si="117"/>
        <v>9</v>
      </c>
      <c r="AQ271" s="102">
        <f>SUMPRODUCT(LEN(E271)-LEN(SUBSTITUTE(E271,{"!","¡","?","¿",":",",",".","%","·","-",";"},"")))</f>
        <v>1</v>
      </c>
      <c r="AR271" s="102" t="str">
        <f t="shared" si="118"/>
        <v>Sí</v>
      </c>
      <c r="AS271" s="102" t="str">
        <f t="shared" si="119"/>
        <v>No</v>
      </c>
      <c r="AT271" s="102" t="str">
        <f>IF(SUMPRODUCT(--ISNUMBER(FIND({"0","1","2","3","4","5","6","7","8","9"},E271)))&gt;0,"Con cifra concreta",IF(OR(ISNUMBER(FIND("?",E271)),ISNUMBER(FIND("¿",E271))),"Pregunta abierta",IF(SUMPRODUCT(--ISNUMBER(SEARCH({" hoy ","horas","tiempo limitado","antes de que","se acab","se agot","finalic","última oportunidad","oportunidad única","relámpago","express","no esperes","no volver","no parpadees"," ya ","últimas horas","últimas unidades"," ahora "},AF271)))&gt;0,"Solo urgencia, sin cifra",IF(SUMPRODUCT(--ISNUMBER(SEARCH({"recompensa","sorpresa","regalo","lealtad","detalle","gracias","pensamos en ti","para ti"},E271)))&gt;0,"Recompensa o sorpresa","Otro: beneficio o novedad"))))</f>
        <v>Otro: beneficio o novedad</v>
      </c>
    </row>
    <row r="272" spans="1:46" x14ac:dyDescent="0.2">
      <c r="A272" s="104" t="s">
        <v>1143</v>
      </c>
      <c r="B272" s="104" t="s">
        <v>274</v>
      </c>
      <c r="C272" s="104" t="s">
        <v>917</v>
      </c>
      <c r="D272" s="104" t="s">
        <v>774</v>
      </c>
      <c r="E272" s="104" t="s">
        <v>687</v>
      </c>
      <c r="F272" s="104" t="s">
        <v>688</v>
      </c>
      <c r="G272" s="105">
        <v>3374</v>
      </c>
      <c r="H272" s="105">
        <v>470</v>
      </c>
      <c r="I272" s="105">
        <v>207</v>
      </c>
      <c r="J272" s="106">
        <v>9.3000000000000007</v>
      </c>
      <c r="K272" s="106">
        <v>3.28</v>
      </c>
      <c r="L272" s="107">
        <v>29163.72</v>
      </c>
      <c r="M272" s="108">
        <f t="shared" si="96"/>
        <v>13.930053349140486</v>
      </c>
      <c r="N272" s="108">
        <f t="shared" si="97"/>
        <v>6.1351511558980434</v>
      </c>
      <c r="O272" s="108">
        <f t="shared" si="98"/>
        <v>44.042553191489361</v>
      </c>
      <c r="P272" s="108">
        <f t="shared" si="99"/>
        <v>8643.6633076467097</v>
      </c>
      <c r="Q272" s="108">
        <f t="shared" si="100"/>
        <v>22.904078042170426</v>
      </c>
      <c r="R272" s="108">
        <f t="shared" si="101"/>
        <v>31.113650744455075</v>
      </c>
      <c r="S272" s="101">
        <f t="shared" si="102"/>
        <v>45916</v>
      </c>
      <c r="T272" s="102" t="str">
        <f t="shared" si="103"/>
        <v>Septiembre</v>
      </c>
      <c r="U272" s="102" t="str">
        <f t="shared" si="104"/>
        <v>Martes</v>
      </c>
      <c r="V272" s="102">
        <f t="shared" si="105"/>
        <v>11</v>
      </c>
      <c r="W272" s="102" t="str">
        <f t="shared" si="106"/>
        <v>Quincena</v>
      </c>
      <c r="X272" s="102">
        <f t="shared" si="107"/>
        <v>27</v>
      </c>
      <c r="Y272" s="102" t="str">
        <f t="shared" si="108"/>
        <v>Sí</v>
      </c>
      <c r="Z272" s="102" t="str">
        <f>CHOOSE(MATCH(B272,{"Customer Appreciation","Exclusive Offers","Flash Sale","Holiday Discounts","New Product Launch","Newsletter"},0),"Fidelizar","Vender","Vender","Vender","Lanzar","Educar")</f>
        <v>Fidelizar</v>
      </c>
      <c r="AA272" s="102" t="str">
        <f t="shared" si="109"/>
        <v>Menos de 100 mil</v>
      </c>
      <c r="AB272" s="102">
        <f>COUNTIFS($E$5:$E$493,E272,$S$5:$S$493,"&lt;"&amp;S272)+COUNTIFS($E$5:E272,E272,$S$5:S272,S272)</f>
        <v>1</v>
      </c>
      <c r="AC272" s="102">
        <f t="shared" si="110"/>
        <v>4</v>
      </c>
      <c r="AD272" s="102" t="str">
        <f t="shared" si="111"/>
        <v/>
      </c>
      <c r="AE272" s="103">
        <f t="shared" si="112"/>
        <v>-8.9740246930299392</v>
      </c>
      <c r="AF272" s="102" t="str">
        <f t="shared" si="113"/>
        <v xml:space="preserve">  gracias por ser parte de l'oréal  ofertas para ti </v>
      </c>
      <c r="AG272" s="102" t="str">
        <f t="shared" si="114"/>
        <v xml:space="preserve"> descubre nuestras novedades y ofertas exclusivas para ti   te encantarán  </v>
      </c>
      <c r="AH272" s="102" t="str">
        <f>IF(SUMPRODUCT(--(LEFT(IF(LEFT(LOWER(E272),1)="¡",MID(LOWER(E272),2,300),LOWER(E272)),LEN({"actualizaci","el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272" s="102" t="str">
        <f>IF(OR(SUMPRODUCT(--ISNUMBER(SEARCH({"descuento","oferta","ahorr","precio"," sale ","flash","deals"},AF272)))&gt;0,SUMPRODUCT(--ISNUMBER(SEARCH({"descuento","oferta","ahorr","precio"," sale ","flash","deals"},AG272)))&gt;0),"Sí","No")</f>
        <v>Sí</v>
      </c>
      <c r="AJ272" s="102" t="str">
        <f>IF(SUMPRODUCT(--ISNUMBER(SEARCH({" hoy ","horas","tiempo limitado","antes de que","se acab","se agot","finalic","última oportunidad","oportunidad única","relámpago","express","no esperes","no volver","no parpadees"},AF272)))&gt;0,"Sí","No")</f>
        <v>No</v>
      </c>
      <c r="AK272" s="102" t="str">
        <f>IF(SUMPRODUCT(--ISNUMBER(SEARCH({" hoy ","horas","tiempo limitado","antes de que","se acab","se agot","finalic","última oportunidad","oportunidad única","relámpago","express","no esperes","no volver","no parpadees"},AG272)))&gt;0,"Sí","No")</f>
        <v>No</v>
      </c>
      <c r="AL272" s="102" t="str">
        <f t="shared" si="115"/>
        <v>Descuento sin tiempo límite</v>
      </c>
      <c r="AM272" s="102" t="str">
        <f>IF(SUMPRODUCT(--ISNUMBER(SEARCH({"0","1","2","3","4","5","6","7","8","9","favorit","maquillaje","piel","cabello","productos","belleza","regalo"},E272)))&gt;0,"Sí","No")</f>
        <v>No</v>
      </c>
      <c r="AN272" s="102" t="str">
        <f>IF(SUMPRODUCT(--ISNUMBER(SEARCH({"lo que tenemos","estas ofertas","algo especial","ofertas únicas","que preparamos","no te quedes","echa un vistazo"},F272)))&gt;0,"Sí","No")</f>
        <v>No</v>
      </c>
      <c r="AO272" s="102">
        <f t="shared" si="116"/>
        <v>50</v>
      </c>
      <c r="AP272" s="102">
        <f t="shared" si="117"/>
        <v>9</v>
      </c>
      <c r="AQ272" s="102">
        <f>SUMPRODUCT(LEN(E272)-LEN(SUBSTITUTE(E272,{"!","¡","?","¿",":",",",".","%","·","-",";"},"")))</f>
        <v>2</v>
      </c>
      <c r="AR272" s="102" t="str">
        <f t="shared" si="118"/>
        <v>Sí</v>
      </c>
      <c r="AS272" s="102" t="str">
        <f t="shared" si="119"/>
        <v>No</v>
      </c>
      <c r="AT272" s="102" t="str">
        <f>IF(SUMPRODUCT(--ISNUMBER(FIND({"0","1","2","3","4","5","6","7","8","9"},E272)))&gt;0,"Con cifra concreta",IF(OR(ISNUMBER(FIND("?",E272)),ISNUMBER(FIND("¿",E272))),"Pregunta abierta",IF(SUMPRODUCT(--ISNUMBER(SEARCH({" hoy ","horas","tiempo limitado","antes de que","se acab","se agot","finalic","última oportunidad","oportunidad única","relámpago","express","no esperes","no volver","no parpadees"," ya ","últimas horas","últimas unidades"," ahora "},AF272)))&gt;0,"Solo urgencia, sin cifra",IF(SUMPRODUCT(--ISNUMBER(SEARCH({"recompensa","sorpresa","regalo","lealtad","detalle","gracias","pensamos en ti","para ti"},E272)))&gt;0,"Recompensa o sorpresa","Otro: beneficio o novedad"))))</f>
        <v>Recompensa o sorpresa</v>
      </c>
    </row>
    <row r="273" spans="1:46" x14ac:dyDescent="0.2">
      <c r="A273" s="96" t="s">
        <v>1144</v>
      </c>
      <c r="B273" s="96" t="s">
        <v>277</v>
      </c>
      <c r="C273" s="96" t="s">
        <v>793</v>
      </c>
      <c r="D273" s="96" t="s">
        <v>947</v>
      </c>
      <c r="E273" s="96" t="s">
        <v>459</v>
      </c>
      <c r="F273" s="96" t="s">
        <v>460</v>
      </c>
      <c r="G273" s="97">
        <v>24960</v>
      </c>
      <c r="H273" s="97">
        <v>12328</v>
      </c>
      <c r="I273" s="97">
        <v>1353</v>
      </c>
      <c r="J273" s="98">
        <v>4.2699999999999996</v>
      </c>
      <c r="K273" s="98">
        <v>2.44</v>
      </c>
      <c r="L273" s="99">
        <v>68551.56</v>
      </c>
      <c r="M273" s="100">
        <f t="shared" si="96"/>
        <v>49.391025641025642</v>
      </c>
      <c r="N273" s="100">
        <f t="shared" si="97"/>
        <v>5.4206730769230766</v>
      </c>
      <c r="O273" s="100">
        <f t="shared" si="98"/>
        <v>10.975016223231668</v>
      </c>
      <c r="P273" s="100">
        <f t="shared" si="99"/>
        <v>2746.4567307692305</v>
      </c>
      <c r="Q273" s="100">
        <f t="shared" si="100"/>
        <v>35.565837226891659</v>
      </c>
      <c r="R273" s="100">
        <f t="shared" si="101"/>
        <v>30.71114383300629</v>
      </c>
      <c r="S273" s="101">
        <f t="shared" si="102"/>
        <v>45939</v>
      </c>
      <c r="T273" s="102" t="str">
        <f t="shared" si="103"/>
        <v>Octubre</v>
      </c>
      <c r="U273" s="102" t="str">
        <f t="shared" si="104"/>
        <v>Jueves</v>
      </c>
      <c r="V273" s="102">
        <f t="shared" si="105"/>
        <v>9</v>
      </c>
      <c r="W273" s="102" t="str">
        <f t="shared" si="106"/>
        <v>Resto del mes</v>
      </c>
      <c r="X273" s="102">
        <f t="shared" si="107"/>
        <v>27</v>
      </c>
      <c r="Y273" s="102" t="str">
        <f t="shared" si="108"/>
        <v>Sí</v>
      </c>
      <c r="Z273" s="102" t="str">
        <f>CHOOSE(MATCH(B273,{"Customer Appreciation","Exclusive Offers","Flash Sale","Holiday Discounts","New Product Launch","Newsletter"},0),"Fidelizar","Vender","Vender","Vender","Lanzar","Educar")</f>
        <v>Vender</v>
      </c>
      <c r="AA273" s="102" t="str">
        <f t="shared" si="109"/>
        <v>Menos de 100 mil</v>
      </c>
      <c r="AB273" s="102">
        <f>COUNTIFS($E$5:$E$493,E273,$S$5:$S$493,"&lt;"&amp;S273)+COUNTIFS($E$5:E273,E273,$S$5:S273,S273)</f>
        <v>7</v>
      </c>
      <c r="AC273" s="102">
        <f t="shared" si="110"/>
        <v>9</v>
      </c>
      <c r="AD273" s="102" t="str">
        <f t="shared" si="111"/>
        <v>Último tercio</v>
      </c>
      <c r="AE273" s="103">
        <f t="shared" si="112"/>
        <v>13.825188414133983</v>
      </c>
      <c r="AF273" s="102" t="str">
        <f t="shared" si="113"/>
        <v xml:space="preserve">  aprovecha los descuentos  temporada de fiestas  beauty deals </v>
      </c>
      <c r="AG273" s="102" t="str">
        <f t="shared" si="114"/>
        <v xml:space="preserve"> tus productos favoritos con precios festivos   no te los pierdas  </v>
      </c>
      <c r="AH273" s="102" t="str">
        <f>IF(SUMPRODUCT(--(LEFT(IF(LEFT(LOWER(E273),1)="¡",MID(LOWER(E273),2,300),LOWER(E273)),LEN({"actualizaci","el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273" s="102" t="str">
        <f>IF(OR(SUMPRODUCT(--ISNUMBER(SEARCH({"descuento","oferta","ahorr","precio"," sale ","flash","deals"},AF273)))&gt;0,SUMPRODUCT(--ISNUMBER(SEARCH({"descuento","oferta","ahorr","precio"," sale ","flash","deals"},AG273)))&gt;0),"Sí","No")</f>
        <v>Sí</v>
      </c>
      <c r="AJ273" s="102" t="str">
        <f>IF(SUMPRODUCT(--ISNUMBER(SEARCH({" hoy ","horas","tiempo limitado","antes de que","se acab","se agot","finalic","última oportunidad","oportunidad única","relámpago","express","no esperes","no volver","no parpadees"},AF273)))&gt;0,"Sí","No")</f>
        <v>No</v>
      </c>
      <c r="AK273" s="102" t="str">
        <f>IF(SUMPRODUCT(--ISNUMBER(SEARCH({" hoy ","horas","tiempo limitado","antes de que","se acab","se agot","finalic","última oportunidad","oportunidad única","relámpago","express","no esperes","no volver","no parpadees"},AG273)))&gt;0,"Sí","No")</f>
        <v>No</v>
      </c>
      <c r="AL273" s="102" t="str">
        <f t="shared" si="115"/>
        <v>Descuento sin tiempo límite</v>
      </c>
      <c r="AM273" s="102" t="str">
        <f>IF(SUMPRODUCT(--ISNUMBER(SEARCH({"0","1","2","3","4","5","6","7","8","9","favorit","maquillaje","piel","cabello","productos","belleza","regalo"},E273)))&gt;0,"Sí","No")</f>
        <v>No</v>
      </c>
      <c r="AN273" s="102" t="str">
        <f>IF(SUMPRODUCT(--ISNUMBER(SEARCH({"lo que tenemos","estas ofertas","algo especial","ofertas únicas","que preparamos","no te quedes","echa un vistazo"},F273)))&gt;0,"Sí","No")</f>
        <v>No</v>
      </c>
      <c r="AO273" s="102">
        <f t="shared" si="116"/>
        <v>61</v>
      </c>
      <c r="AP273" s="102">
        <f t="shared" si="117"/>
        <v>8</v>
      </c>
      <c r="AQ273" s="102">
        <f>SUMPRODUCT(LEN(E273)-LEN(SUBSTITUTE(E273,{"!","¡","?","¿",":",",",".","%","·","-",";"},"")))</f>
        <v>3</v>
      </c>
      <c r="AR273" s="102" t="str">
        <f t="shared" si="118"/>
        <v>No</v>
      </c>
      <c r="AS273" s="102" t="str">
        <f t="shared" si="119"/>
        <v>No</v>
      </c>
      <c r="AT273" s="102" t="str">
        <f>IF(SUMPRODUCT(--ISNUMBER(FIND({"0","1","2","3","4","5","6","7","8","9"},E273)))&gt;0,"Con cifra concreta",IF(OR(ISNUMBER(FIND("?",E273)),ISNUMBER(FIND("¿",E273))),"Pregunta abierta",IF(SUMPRODUCT(--ISNUMBER(SEARCH({" hoy ","horas","tiempo limitado","antes de que","se acab","se agot","finalic","última oportunidad","oportunidad única","relámpago","express","no esperes","no volver","no parpadees"," ya ","últimas horas","últimas unidades"," ahora "},AF273)))&gt;0,"Solo urgencia, sin cifra",IF(SUMPRODUCT(--ISNUMBER(SEARCH({"recompensa","sorpresa","regalo","lealtad","detalle","gracias","pensamos en ti","para ti"},E273)))&gt;0,"Recompensa o sorpresa","Otro: beneficio o novedad"))))</f>
        <v>Otro: beneficio o novedad</v>
      </c>
    </row>
    <row r="274" spans="1:46" x14ac:dyDescent="0.2">
      <c r="A274" s="104" t="s">
        <v>1145</v>
      </c>
      <c r="B274" s="104" t="s">
        <v>279</v>
      </c>
      <c r="C274" s="104" t="s">
        <v>830</v>
      </c>
      <c r="D274" s="104" t="s">
        <v>950</v>
      </c>
      <c r="E274" s="104" t="s">
        <v>370</v>
      </c>
      <c r="F274" s="104" t="s">
        <v>485</v>
      </c>
      <c r="G274" s="105">
        <v>117467</v>
      </c>
      <c r="H274" s="105">
        <v>22037</v>
      </c>
      <c r="I274" s="105">
        <v>10679</v>
      </c>
      <c r="J274" s="106">
        <v>0.91</v>
      </c>
      <c r="K274" s="106">
        <v>2.2799999999999998</v>
      </c>
      <c r="L274" s="107">
        <v>91222.77</v>
      </c>
      <c r="M274" s="108">
        <f t="shared" si="96"/>
        <v>18.760162428596967</v>
      </c>
      <c r="N274" s="108">
        <f t="shared" si="97"/>
        <v>9.0910638732580225</v>
      </c>
      <c r="O274" s="108">
        <f t="shared" si="98"/>
        <v>48.45940917547761</v>
      </c>
      <c r="P274" s="108">
        <f t="shared" si="99"/>
        <v>776.58210391003433</v>
      </c>
      <c r="Q274" s="108">
        <f t="shared" si="100"/>
        <v>15.908213539730554</v>
      </c>
      <c r="R274" s="108">
        <f t="shared" si="101"/>
        <v>27.75136451093497</v>
      </c>
      <c r="S274" s="101">
        <f t="shared" si="102"/>
        <v>45901</v>
      </c>
      <c r="T274" s="102" t="str">
        <f t="shared" si="103"/>
        <v>Septiembre</v>
      </c>
      <c r="U274" s="102" t="str">
        <f t="shared" si="104"/>
        <v>Lunes</v>
      </c>
      <c r="V274" s="102">
        <f t="shared" si="105"/>
        <v>14</v>
      </c>
      <c r="W274" s="102" t="str">
        <f t="shared" si="106"/>
        <v>Quincena</v>
      </c>
      <c r="X274" s="102">
        <f t="shared" si="107"/>
        <v>29</v>
      </c>
      <c r="Y274" s="102" t="str">
        <f t="shared" si="108"/>
        <v>Sí</v>
      </c>
      <c r="Z274" s="102" t="str">
        <f>CHOOSE(MATCH(B274,{"Customer Appreciation","Exclusive Offers","Flash Sale","Holiday Discounts","New Product Launch","Newsletter"},0),"Fidelizar","Vender","Vender","Vender","Lanzar","Educar")</f>
        <v>Educar</v>
      </c>
      <c r="AA274" s="102" t="str">
        <f t="shared" si="109"/>
        <v>100 a 200 mil</v>
      </c>
      <c r="AB274" s="102">
        <f>COUNTIFS($E$5:$E$493,E274,$S$5:$S$493,"&lt;"&amp;S274)+COUNTIFS($E$5:E274,E274,$S$5:S274,S274)</f>
        <v>5</v>
      </c>
      <c r="AC274" s="102">
        <f t="shared" si="110"/>
        <v>10</v>
      </c>
      <c r="AD274" s="102" t="str">
        <f t="shared" si="111"/>
        <v>Medio</v>
      </c>
      <c r="AE274" s="103">
        <f t="shared" si="112"/>
        <v>2.8519488888664135</v>
      </c>
      <c r="AF274" s="102" t="str">
        <f t="shared" si="113"/>
        <v xml:space="preserve"> actualización de l'oréal   qué hay de nuevo en el mundo beauty  </v>
      </c>
      <c r="AG274" s="102" t="str">
        <f t="shared" si="114"/>
        <v xml:space="preserve"> no te quedes atrás con las últimas tendencias   descubre más  </v>
      </c>
      <c r="AH274" s="102" t="str">
        <f>IF(SUMPRODUCT(--(LEFT(IF(LEFT(LOWER(E274),1)="¡",MID(LOWER(E274),2,300),LOWER(E274)),LEN({"actualizaci","el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Sí</v>
      </c>
      <c r="AI274" s="102" t="str">
        <f>IF(OR(SUMPRODUCT(--ISNUMBER(SEARCH({"descuento","oferta","ahorr","precio"," sale ","flash","deals"},AF274)))&gt;0,SUMPRODUCT(--ISNUMBER(SEARCH({"descuento","oferta","ahorr","precio"," sale ","flash","deals"},AG274)))&gt;0),"Sí","No")</f>
        <v>No</v>
      </c>
      <c r="AJ274" s="102" t="str">
        <f>IF(SUMPRODUCT(--ISNUMBER(SEARCH({" hoy ","horas","tiempo limitado","antes de que","se acab","se agot","finalic","última oportunidad","oportunidad única","relámpago","express","no esperes","no volver","no parpadees"},AF274)))&gt;0,"Sí","No")</f>
        <v>No</v>
      </c>
      <c r="AK274" s="102" t="str">
        <f>IF(SUMPRODUCT(--ISNUMBER(SEARCH({" hoy ","horas","tiempo limitado","antes de que","se acab","se agot","finalic","última oportunidad","oportunidad única","relámpago","express","no esperes","no volver","no parpadees"},AG274)))&gt;0,"Sí","No")</f>
        <v>No</v>
      </c>
      <c r="AL274" s="102" t="str">
        <f t="shared" si="115"/>
        <v>Sin descuento</v>
      </c>
      <c r="AM274" s="102" t="str">
        <f>IF(SUMPRODUCT(--ISNUMBER(SEARCH({"0","1","2","3","4","5","6","7","8","9","favorit","maquillaje","piel","cabello","productos","belleza","regalo"},E274)))&gt;0,"Sí","No")</f>
        <v>No</v>
      </c>
      <c r="AN274" s="102" t="str">
        <f>IF(SUMPRODUCT(--ISNUMBER(SEARCH({"lo que tenemos","estas ofertas","algo especial","ofertas únicas","que preparamos","no te quedes","echa un vistazo"},F274)))&gt;0,"Sí","No")</f>
        <v>Sí</v>
      </c>
      <c r="AO274" s="102">
        <f t="shared" si="116"/>
        <v>63</v>
      </c>
      <c r="AP274" s="102">
        <f t="shared" si="117"/>
        <v>11</v>
      </c>
      <c r="AQ274" s="102">
        <f>SUMPRODUCT(LEN(E274)-LEN(SUBSTITUTE(E274,{"!","¡","?","¿",":",",",".","%","·","-",";"},"")))</f>
        <v>3</v>
      </c>
      <c r="AR274" s="102" t="str">
        <f t="shared" si="118"/>
        <v>No</v>
      </c>
      <c r="AS274" s="102" t="str">
        <f t="shared" si="119"/>
        <v>No</v>
      </c>
      <c r="AT274" s="102" t="str">
        <f>IF(SUMPRODUCT(--ISNUMBER(FIND({"0","1","2","3","4","5","6","7","8","9"},E274)))&gt;0,"Con cifra concreta",IF(OR(ISNUMBER(FIND("?",E274)),ISNUMBER(FIND("¿",E274))),"Pregunta abierta",IF(SUMPRODUCT(--ISNUMBER(SEARCH({" hoy ","horas","tiempo limitado","antes de que","se acab","se agot","finalic","última oportunidad","oportunidad única","relámpago","express","no esperes","no volver","no parpadees"," ya ","últimas horas","últimas unidades"," ahora "},AF274)))&gt;0,"Solo urgencia, sin cifra",IF(SUMPRODUCT(--ISNUMBER(SEARCH({"recompensa","sorpresa","regalo","lealtad","detalle","gracias","pensamos en ti","para ti"},E274)))&gt;0,"Recompensa o sorpresa","Otro: beneficio o novedad"))))</f>
        <v>Pregunta abierta</v>
      </c>
    </row>
    <row r="275" spans="1:46" x14ac:dyDescent="0.2">
      <c r="A275" s="96" t="s">
        <v>1146</v>
      </c>
      <c r="B275" s="96" t="s">
        <v>276</v>
      </c>
      <c r="C275" s="96" t="s">
        <v>976</v>
      </c>
      <c r="D275" s="96" t="s">
        <v>751</v>
      </c>
      <c r="E275" s="96" t="s">
        <v>474</v>
      </c>
      <c r="F275" s="96" t="s">
        <v>475</v>
      </c>
      <c r="G275" s="97">
        <v>127611</v>
      </c>
      <c r="H275" s="97">
        <v>20902</v>
      </c>
      <c r="I275" s="97">
        <v>17799</v>
      </c>
      <c r="J275" s="98">
        <v>5.57</v>
      </c>
      <c r="K275" s="98">
        <v>3.11</v>
      </c>
      <c r="L275" s="99">
        <v>17649.080000000002</v>
      </c>
      <c r="M275" s="100">
        <f t="shared" si="96"/>
        <v>16.379465720039811</v>
      </c>
      <c r="N275" s="100">
        <f t="shared" si="97"/>
        <v>13.947857159649246</v>
      </c>
      <c r="O275" s="100">
        <f t="shared" si="98"/>
        <v>85.154530666921829</v>
      </c>
      <c r="P275" s="100">
        <f t="shared" si="99"/>
        <v>138.30375124401505</v>
      </c>
      <c r="Q275" s="100">
        <f t="shared" si="100"/>
        <v>22.775066640377752</v>
      </c>
      <c r="R275" s="100">
        <f t="shared" si="101"/>
        <v>29.440902453236173</v>
      </c>
      <c r="S275" s="101">
        <f t="shared" si="102"/>
        <v>45892</v>
      </c>
      <c r="T275" s="102" t="str">
        <f t="shared" si="103"/>
        <v>Agosto</v>
      </c>
      <c r="U275" s="102" t="str">
        <f t="shared" si="104"/>
        <v>Sábado</v>
      </c>
      <c r="V275" s="102">
        <f t="shared" si="105"/>
        <v>11</v>
      </c>
      <c r="W275" s="102" t="str">
        <f t="shared" si="106"/>
        <v>Resto del mes</v>
      </c>
      <c r="X275" s="102">
        <f t="shared" si="107"/>
        <v>25</v>
      </c>
      <c r="Y275" s="102" t="str">
        <f t="shared" si="108"/>
        <v>Sí</v>
      </c>
      <c r="Z275" s="102" t="str">
        <f>CHOOSE(MATCH(B275,{"Customer Appreciation","Exclusive Offers","Flash Sale","Holiday Discounts","New Product Launch","Newsletter"},0),"Fidelizar","Vender","Vender","Vender","Lanzar","Educar")</f>
        <v>Vender</v>
      </c>
      <c r="AA275" s="102" t="str">
        <f t="shared" si="109"/>
        <v>100 a 200 mil</v>
      </c>
      <c r="AB275" s="102">
        <f>COUNTIFS($E$5:$E$493,E275,$S$5:$S$493,"&lt;"&amp;S275)+COUNTIFS($E$5:E275,E275,$S$5:S275,S275)</f>
        <v>7</v>
      </c>
      <c r="AC275" s="102">
        <f t="shared" si="110"/>
        <v>20</v>
      </c>
      <c r="AD275" s="102" t="str">
        <f t="shared" si="111"/>
        <v>Medio</v>
      </c>
      <c r="AE275" s="103">
        <f t="shared" si="112"/>
        <v>-6.3956009203379409</v>
      </c>
      <c r="AF275" s="102" t="str">
        <f t="shared" si="113"/>
        <v xml:space="preserve">  aprovecha antes de que se acabe  oferta flash  productos top </v>
      </c>
      <c r="AG275" s="102" t="str">
        <f t="shared" si="114"/>
        <v xml:space="preserve"> grandes descuentos por tiempo limitado   no te lo pierdas  </v>
      </c>
      <c r="AH275" s="102" t="str">
        <f>IF(SUMPRODUCT(--(LEFT(IF(LEFT(LOWER(E275),1)="¡",MID(LOWER(E275),2,300),LOWER(E275)),LEN({"actualizaci","el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275" s="102" t="str">
        <f>IF(OR(SUMPRODUCT(--ISNUMBER(SEARCH({"descuento","oferta","ahorr","precio"," sale ","flash","deals"},AF275)))&gt;0,SUMPRODUCT(--ISNUMBER(SEARCH({"descuento","oferta","ahorr","precio"," sale ","flash","deals"},AG275)))&gt;0),"Sí","No")</f>
        <v>Sí</v>
      </c>
      <c r="AJ275" s="102" t="str">
        <f>IF(SUMPRODUCT(--ISNUMBER(SEARCH({" hoy ","horas","tiempo limitado","antes de que","se acab","se agot","finalic","última oportunidad","oportunidad única","relámpago","express","no esperes","no volver","no parpadees"},AF275)))&gt;0,"Sí","No")</f>
        <v>Sí</v>
      </c>
      <c r="AK275" s="102" t="str">
        <f>IF(SUMPRODUCT(--ISNUMBER(SEARCH({" hoy ","horas","tiempo limitado","antes de que","se acab","se agot","finalic","última oportunidad","oportunidad única","relámpago","express","no esperes","no volver","no parpadees"},AG275)))&gt;0,"Sí","No")</f>
        <v>Sí</v>
      </c>
      <c r="AL275" s="102" t="str">
        <f t="shared" si="115"/>
        <v>Descuento con tiempo límite en el asunto</v>
      </c>
      <c r="AM275" s="102" t="str">
        <f>IF(SUMPRODUCT(--ISNUMBER(SEARCH({"0","1","2","3","4","5","6","7","8","9","favorit","maquillaje","piel","cabello","productos","belleza","regalo"},E275)))&gt;0,"Sí","No")</f>
        <v>Sí</v>
      </c>
      <c r="AN275" s="102" t="str">
        <f>IF(SUMPRODUCT(--ISNUMBER(SEARCH({"lo que tenemos","estas ofertas","algo especial","ofertas únicas","que preparamos","no te quedes","echa un vistazo"},F275)))&gt;0,"Sí","No")</f>
        <v>No</v>
      </c>
      <c r="AO275" s="102">
        <f t="shared" si="116"/>
        <v>61</v>
      </c>
      <c r="AP275" s="102">
        <f t="shared" si="117"/>
        <v>10</v>
      </c>
      <c r="AQ275" s="102">
        <f>SUMPRODUCT(LEN(E275)-LEN(SUBSTITUTE(E275,{"!","¡","?","¿",":",",",".","%","·","-",";"},"")))</f>
        <v>3</v>
      </c>
      <c r="AR275" s="102" t="str">
        <f t="shared" si="118"/>
        <v>No</v>
      </c>
      <c r="AS275" s="102" t="str">
        <f t="shared" si="119"/>
        <v>No</v>
      </c>
      <c r="AT275" s="102" t="str">
        <f>IF(SUMPRODUCT(--ISNUMBER(FIND({"0","1","2","3","4","5","6","7","8","9"},E275)))&gt;0,"Con cifra concreta",IF(OR(ISNUMBER(FIND("?",E275)),ISNUMBER(FIND("¿",E275))),"Pregunta abierta",IF(SUMPRODUCT(--ISNUMBER(SEARCH({" hoy ","horas","tiempo limitado","antes de que","se acab","se agot","finalic","última oportunidad","oportunidad única","relámpago","express","no esperes","no volver","no parpadees"," ya ","últimas horas","últimas unidades"," ahora "},AF275)))&gt;0,"Solo urgencia, sin cifra",IF(SUMPRODUCT(--ISNUMBER(SEARCH({"recompensa","sorpresa","regalo","lealtad","detalle","gracias","pensamos en ti","para ti"},E275)))&gt;0,"Recompensa o sorpresa","Otro: beneficio o novedad"))))</f>
        <v>Solo urgencia, sin cifra</v>
      </c>
    </row>
    <row r="276" spans="1:46" x14ac:dyDescent="0.2">
      <c r="A276" s="104" t="s">
        <v>1147</v>
      </c>
      <c r="B276" s="104" t="s">
        <v>276</v>
      </c>
      <c r="C276" s="104" t="s">
        <v>742</v>
      </c>
      <c r="D276" s="104" t="s">
        <v>702</v>
      </c>
      <c r="E276" s="104" t="s">
        <v>692</v>
      </c>
      <c r="F276" s="104" t="s">
        <v>693</v>
      </c>
      <c r="G276" s="105">
        <v>125415</v>
      </c>
      <c r="H276" s="105">
        <v>12804</v>
      </c>
      <c r="I276" s="105">
        <v>2371</v>
      </c>
      <c r="J276" s="106">
        <v>0.6</v>
      </c>
      <c r="K276" s="106">
        <v>0.82</v>
      </c>
      <c r="L276" s="107">
        <v>72530.320000000007</v>
      </c>
      <c r="M276" s="108">
        <f t="shared" si="96"/>
        <v>10.209305107044612</v>
      </c>
      <c r="N276" s="108">
        <f t="shared" si="97"/>
        <v>1.8905234621058087</v>
      </c>
      <c r="O276" s="108">
        <f t="shared" si="98"/>
        <v>18.51765073414558</v>
      </c>
      <c r="P276" s="108">
        <f t="shared" si="99"/>
        <v>578.32252920304597</v>
      </c>
      <c r="Q276" s="108">
        <f t="shared" si="100"/>
        <v>10.812608203610466</v>
      </c>
      <c r="R276" s="108">
        <f t="shared" si="101"/>
        <v>29.440902453236173</v>
      </c>
      <c r="S276" s="101">
        <f t="shared" si="102"/>
        <v>45948</v>
      </c>
      <c r="T276" s="102" t="str">
        <f t="shared" si="103"/>
        <v>Octubre</v>
      </c>
      <c r="U276" s="102" t="str">
        <f t="shared" si="104"/>
        <v>Sábado</v>
      </c>
      <c r="V276" s="102">
        <f t="shared" si="105"/>
        <v>16</v>
      </c>
      <c r="W276" s="102" t="str">
        <f t="shared" si="106"/>
        <v>Días después del pago</v>
      </c>
      <c r="X276" s="102">
        <f t="shared" si="107"/>
        <v>27</v>
      </c>
      <c r="Y276" s="102" t="str">
        <f t="shared" si="108"/>
        <v>Sí</v>
      </c>
      <c r="Z276" s="102" t="str">
        <f>CHOOSE(MATCH(B276,{"Customer Appreciation","Exclusive Offers","Flash Sale","Holiday Discounts","New Product Launch","Newsletter"},0),"Fidelizar","Vender","Vender","Vender","Lanzar","Educar")</f>
        <v>Vender</v>
      </c>
      <c r="AA276" s="102" t="str">
        <f t="shared" si="109"/>
        <v>100 a 200 mil</v>
      </c>
      <c r="AB276" s="102">
        <f>COUNTIFS($E$5:$E$493,E276,$S$5:$S$493,"&lt;"&amp;S276)+COUNTIFS($E$5:E276,E276,$S$5:S276,S276)</f>
        <v>4</v>
      </c>
      <c r="AC276" s="102">
        <f t="shared" si="110"/>
        <v>4</v>
      </c>
      <c r="AD276" s="102" t="str">
        <f t="shared" si="111"/>
        <v/>
      </c>
      <c r="AE276" s="103">
        <f t="shared" si="112"/>
        <v>-0.60330309656585435</v>
      </c>
      <c r="AF276" s="102" t="str">
        <f t="shared" si="113"/>
        <v xml:space="preserve">  últimas horas  flash sale  no te quedes sin tu descuento </v>
      </c>
      <c r="AG276" s="102" t="str">
        <f t="shared" si="114"/>
        <v xml:space="preserve"> solo por hoy  descuentos increíbles en tus favoritos   compra ahora  </v>
      </c>
      <c r="AH276" s="102" t="str">
        <f>IF(SUMPRODUCT(--(LEFT(IF(LEFT(LOWER(E276),1)="¡",MID(LOWER(E276),2,300),LOWER(E276)),LEN({"actualizaci","el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Sí</v>
      </c>
      <c r="AI276" s="102" t="str">
        <f>IF(OR(SUMPRODUCT(--ISNUMBER(SEARCH({"descuento","oferta","ahorr","precio"," sale ","flash","deals"},AF276)))&gt;0,SUMPRODUCT(--ISNUMBER(SEARCH({"descuento","oferta","ahorr","precio"," sale ","flash","deals"},AG276)))&gt;0),"Sí","No")</f>
        <v>Sí</v>
      </c>
      <c r="AJ276" s="102" t="str">
        <f>IF(SUMPRODUCT(--ISNUMBER(SEARCH({" hoy ","horas","tiempo limitado","antes de que","se acab","se agot","finalic","última oportunidad","oportunidad única","relámpago","express","no esperes","no volver","no parpadees"},AF276)))&gt;0,"Sí","No")</f>
        <v>Sí</v>
      </c>
      <c r="AK276" s="102" t="str">
        <f>IF(SUMPRODUCT(--ISNUMBER(SEARCH({" hoy ","horas","tiempo limitado","antes de que","se acab","se agot","finalic","última oportunidad","oportunidad única","relámpago","express","no esperes","no volver","no parpadees"},AG276)))&gt;0,"Sí","No")</f>
        <v>Sí</v>
      </c>
      <c r="AL276" s="102" t="str">
        <f t="shared" si="115"/>
        <v>Descuento con tiempo límite en el asunto</v>
      </c>
      <c r="AM276" s="102" t="str">
        <f>IF(SUMPRODUCT(--ISNUMBER(SEARCH({"0","1","2","3","4","5","6","7","8","9","favorit","maquillaje","piel","cabello","productos","belleza","regalo"},E276)))&gt;0,"Sí","No")</f>
        <v>No</v>
      </c>
      <c r="AN276" s="102" t="str">
        <f>IF(SUMPRODUCT(--ISNUMBER(SEARCH({"lo que tenemos","estas ofertas","algo especial","ofertas únicas","que preparamos","no te quedes","echa un vistazo"},F276)))&gt;0,"Sí","No")</f>
        <v>No</v>
      </c>
      <c r="AO276" s="102">
        <f t="shared" si="116"/>
        <v>57</v>
      </c>
      <c r="AP276" s="102">
        <f t="shared" si="117"/>
        <v>10</v>
      </c>
      <c r="AQ276" s="102">
        <f>SUMPRODUCT(LEN(E276)-LEN(SUBSTITUTE(E276,{"!","¡","?","¿",":",",",".","%","·","-",";"},"")))</f>
        <v>3</v>
      </c>
      <c r="AR276" s="102" t="str">
        <f t="shared" si="118"/>
        <v>No</v>
      </c>
      <c r="AS276" s="102" t="str">
        <f t="shared" si="119"/>
        <v>No</v>
      </c>
      <c r="AT276" s="102" t="str">
        <f>IF(SUMPRODUCT(--ISNUMBER(FIND({"0","1","2","3","4","5","6","7","8","9"},E276)))&gt;0,"Con cifra concreta",IF(OR(ISNUMBER(FIND("?",E276)),ISNUMBER(FIND("¿",E276))),"Pregunta abierta",IF(SUMPRODUCT(--ISNUMBER(SEARCH({" hoy ","horas","tiempo limitado","antes de que","se acab","se agot","finalic","última oportunidad","oportunidad única","relámpago","express","no esperes","no volver","no parpadees"," ya ","últimas horas","últimas unidades"," ahora "},AF276)))&gt;0,"Solo urgencia, sin cifra",IF(SUMPRODUCT(--ISNUMBER(SEARCH({"recompensa","sorpresa","regalo","lealtad","detalle","gracias","pensamos en ti","para ti"},E276)))&gt;0,"Recompensa o sorpresa","Otro: beneficio o novedad"))))</f>
        <v>Solo urgencia, sin cifra</v>
      </c>
    </row>
    <row r="277" spans="1:46" x14ac:dyDescent="0.2">
      <c r="A277" s="96" t="s">
        <v>1148</v>
      </c>
      <c r="B277" s="96" t="s">
        <v>277</v>
      </c>
      <c r="C277" s="96" t="s">
        <v>773</v>
      </c>
      <c r="D277" s="96" t="s">
        <v>707</v>
      </c>
      <c r="E277" s="96" t="s">
        <v>461</v>
      </c>
      <c r="F277" s="96" t="s">
        <v>462</v>
      </c>
      <c r="G277" s="97">
        <v>439835</v>
      </c>
      <c r="H277" s="97">
        <v>212099</v>
      </c>
      <c r="I277" s="97">
        <v>83827</v>
      </c>
      <c r="J277" s="98">
        <v>3.98</v>
      </c>
      <c r="K277" s="98">
        <v>0.36</v>
      </c>
      <c r="L277" s="99">
        <v>48098.39</v>
      </c>
      <c r="M277" s="100">
        <f t="shared" si="96"/>
        <v>48.222401582411585</v>
      </c>
      <c r="N277" s="100">
        <f t="shared" si="97"/>
        <v>19.05873793581684</v>
      </c>
      <c r="O277" s="100">
        <f t="shared" si="98"/>
        <v>39.522581436027515</v>
      </c>
      <c r="P277" s="100">
        <f t="shared" si="99"/>
        <v>109.355531051417</v>
      </c>
      <c r="Q277" s="100">
        <f t="shared" si="100"/>
        <v>35.409886702202286</v>
      </c>
      <c r="R277" s="100">
        <f t="shared" si="101"/>
        <v>30.71114383300629</v>
      </c>
      <c r="S277" s="101">
        <f t="shared" si="102"/>
        <v>45909</v>
      </c>
      <c r="T277" s="102" t="str">
        <f t="shared" si="103"/>
        <v>Septiembre</v>
      </c>
      <c r="U277" s="102" t="str">
        <f t="shared" si="104"/>
        <v>Martes</v>
      </c>
      <c r="V277" s="102">
        <f t="shared" si="105"/>
        <v>13</v>
      </c>
      <c r="W277" s="102" t="str">
        <f t="shared" si="106"/>
        <v>Resto del mes</v>
      </c>
      <c r="X277" s="102">
        <f t="shared" si="107"/>
        <v>28</v>
      </c>
      <c r="Y277" s="102" t="str">
        <f t="shared" si="108"/>
        <v>Sí</v>
      </c>
      <c r="Z277" s="102" t="str">
        <f>CHOOSE(MATCH(B277,{"Customer Appreciation","Exclusive Offers","Flash Sale","Holiday Discounts","New Product Launch","Newsletter"},0),"Fidelizar","Vender","Vender","Vender","Lanzar","Educar")</f>
        <v>Vender</v>
      </c>
      <c r="AA277" s="102" t="str">
        <f t="shared" si="109"/>
        <v>Más de 400 mil</v>
      </c>
      <c r="AB277" s="102">
        <f>COUNTIFS($E$5:$E$493,E277,$S$5:$S$493,"&lt;"&amp;S277)+COUNTIFS($E$5:E277,E277,$S$5:S277,S277)</f>
        <v>17</v>
      </c>
      <c r="AC277" s="102">
        <f t="shared" si="110"/>
        <v>30</v>
      </c>
      <c r="AD277" s="102" t="str">
        <f t="shared" si="111"/>
        <v>Medio</v>
      </c>
      <c r="AE277" s="103">
        <f t="shared" si="112"/>
        <v>12.812514880209299</v>
      </c>
      <c r="AF277" s="102" t="str">
        <f t="shared" si="113"/>
        <v xml:space="preserve">  regalos perfectos te esperan  descuentos de lujo  l'oréal </v>
      </c>
      <c r="AG277" s="102" t="str">
        <f t="shared" si="114"/>
        <v xml:space="preserve"> encuentra ese detalle especial para ti o tus seres queridos   descubre  </v>
      </c>
      <c r="AH277" s="102" t="str">
        <f>IF(SUMPRODUCT(--(LEFT(IF(LEFT(LOWER(E277),1)="¡",MID(LOWER(E277),2,300),LOWER(E277)),LEN({"actualizaci","el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277" s="102" t="str">
        <f>IF(OR(SUMPRODUCT(--ISNUMBER(SEARCH({"descuento","oferta","ahorr","precio"," sale ","flash","deals"},AF277)))&gt;0,SUMPRODUCT(--ISNUMBER(SEARCH({"descuento","oferta","ahorr","precio"," sale ","flash","deals"},AG277)))&gt;0),"Sí","No")</f>
        <v>Sí</v>
      </c>
      <c r="AJ277" s="102" t="str">
        <f>IF(SUMPRODUCT(--ISNUMBER(SEARCH({" hoy ","horas","tiempo limitado","antes de que","se acab","se agot","finalic","última oportunidad","oportunidad única","relámpago","express","no esperes","no volver","no parpadees"},AF277)))&gt;0,"Sí","No")</f>
        <v>No</v>
      </c>
      <c r="AK277" s="102" t="str">
        <f>IF(SUMPRODUCT(--ISNUMBER(SEARCH({" hoy ","horas","tiempo limitado","antes de que","se acab","se agot","finalic","última oportunidad","oportunidad única","relámpago","express","no esperes","no volver","no parpadees"},AG277)))&gt;0,"Sí","No")</f>
        <v>No</v>
      </c>
      <c r="AL277" s="102" t="str">
        <f t="shared" si="115"/>
        <v>Descuento sin tiempo límite</v>
      </c>
      <c r="AM277" s="102" t="str">
        <f>IF(SUMPRODUCT(--ISNUMBER(SEARCH({"0","1","2","3","4","5","6","7","8","9","favorit","maquillaje","piel","cabello","productos","belleza","regalo"},E277)))&gt;0,"Sí","No")</f>
        <v>Sí</v>
      </c>
      <c r="AN277" s="102" t="str">
        <f>IF(SUMPRODUCT(--ISNUMBER(SEARCH({"lo que tenemos","estas ofertas","algo especial","ofertas únicas","que preparamos","no te quedes","echa un vistazo"},F277)))&gt;0,"Sí","No")</f>
        <v>No</v>
      </c>
      <c r="AO277" s="102">
        <f t="shared" si="116"/>
        <v>58</v>
      </c>
      <c r="AP277" s="102">
        <f t="shared" si="117"/>
        <v>8</v>
      </c>
      <c r="AQ277" s="102">
        <f>SUMPRODUCT(LEN(E277)-LEN(SUBSTITUTE(E277,{"!","¡","?","¿",":",",",".","%","·","-",";"},"")))</f>
        <v>3</v>
      </c>
      <c r="AR277" s="102" t="str">
        <f t="shared" si="118"/>
        <v>Sí</v>
      </c>
      <c r="AS277" s="102" t="str">
        <f t="shared" si="119"/>
        <v>No</v>
      </c>
      <c r="AT277" s="102" t="str">
        <f>IF(SUMPRODUCT(--ISNUMBER(FIND({"0","1","2","3","4","5","6","7","8","9"},E277)))&gt;0,"Con cifra concreta",IF(OR(ISNUMBER(FIND("?",E277)),ISNUMBER(FIND("¿",E277))),"Pregunta abierta",IF(SUMPRODUCT(--ISNUMBER(SEARCH({" hoy ","horas","tiempo limitado","antes de que","se acab","se agot","finalic","última oportunidad","oportunidad única","relámpago","express","no esperes","no volver","no parpadees"," ya ","últimas horas","últimas unidades"," ahora "},AF277)))&gt;0,"Solo urgencia, sin cifra",IF(SUMPRODUCT(--ISNUMBER(SEARCH({"recompensa","sorpresa","regalo","lealtad","detalle","gracias","pensamos en ti","para ti"},E277)))&gt;0,"Recompensa o sorpresa","Otro: beneficio o novedad"))))</f>
        <v>Recompensa o sorpresa</v>
      </c>
    </row>
    <row r="278" spans="1:46" x14ac:dyDescent="0.2">
      <c r="A278" s="104" t="s">
        <v>1149</v>
      </c>
      <c r="B278" s="104" t="s">
        <v>275</v>
      </c>
      <c r="C278" s="104" t="s">
        <v>980</v>
      </c>
      <c r="D278" s="104" t="s">
        <v>824</v>
      </c>
      <c r="E278" s="104" t="s">
        <v>455</v>
      </c>
      <c r="F278" s="104" t="s">
        <v>456</v>
      </c>
      <c r="G278" s="105">
        <v>95512</v>
      </c>
      <c r="H278" s="105">
        <v>45417</v>
      </c>
      <c r="I278" s="105">
        <v>16752</v>
      </c>
      <c r="J278" s="106">
        <v>5.59</v>
      </c>
      <c r="K278" s="106">
        <v>0.94</v>
      </c>
      <c r="L278" s="107">
        <v>40053.89</v>
      </c>
      <c r="M278" s="108">
        <f t="shared" si="96"/>
        <v>47.551093056369879</v>
      </c>
      <c r="N278" s="108">
        <f t="shared" si="97"/>
        <v>17.539157383365442</v>
      </c>
      <c r="O278" s="108">
        <f t="shared" si="98"/>
        <v>36.88486690005945</v>
      </c>
      <c r="P278" s="108">
        <f t="shared" si="99"/>
        <v>419.35976631208644</v>
      </c>
      <c r="Q278" s="108">
        <f t="shared" si="100"/>
        <v>38.720231784441999</v>
      </c>
      <c r="R278" s="108">
        <f t="shared" si="101"/>
        <v>27.021447627328243</v>
      </c>
      <c r="S278" s="101">
        <f t="shared" si="102"/>
        <v>45875</v>
      </c>
      <c r="T278" s="102" t="str">
        <f t="shared" si="103"/>
        <v>Agosto</v>
      </c>
      <c r="U278" s="102" t="str">
        <f t="shared" si="104"/>
        <v>Miércoles</v>
      </c>
      <c r="V278" s="102">
        <f t="shared" si="105"/>
        <v>10</v>
      </c>
      <c r="W278" s="102" t="str">
        <f t="shared" si="106"/>
        <v>Resto del mes</v>
      </c>
      <c r="X278" s="102">
        <f t="shared" si="107"/>
        <v>28</v>
      </c>
      <c r="Y278" s="102" t="str">
        <f t="shared" si="108"/>
        <v>Sí</v>
      </c>
      <c r="Z278" s="102" t="str">
        <f>CHOOSE(MATCH(B278,{"Customer Appreciation","Exclusive Offers","Flash Sale","Holiday Discounts","New Product Launch","Newsletter"},0),"Fidelizar","Vender","Vender","Vender","Lanzar","Educar")</f>
        <v>Vender</v>
      </c>
      <c r="AA278" s="102" t="str">
        <f t="shared" si="109"/>
        <v>Menos de 100 mil</v>
      </c>
      <c r="AB278" s="102">
        <f>COUNTIFS($E$5:$E$493,E278,$S$5:$S$493,"&lt;"&amp;S278)+COUNTIFS($E$5:E278,E278,$S$5:S278,S278)</f>
        <v>3</v>
      </c>
      <c r="AC278" s="102">
        <f t="shared" si="110"/>
        <v>15</v>
      </c>
      <c r="AD278" s="102" t="str">
        <f t="shared" si="111"/>
        <v>Primer tercio</v>
      </c>
      <c r="AE278" s="103">
        <f t="shared" si="112"/>
        <v>8.8308612719278798</v>
      </c>
      <c r="AF278" s="102" t="str">
        <f t="shared" si="113"/>
        <v xml:space="preserve">  solo un clic te separa de estas ofertas  l'oréal paris </v>
      </c>
      <c r="AG278" s="102" t="str">
        <f t="shared" si="114"/>
        <v xml:space="preserve"> descuentos irresistibles en productos seleccionados   últimas horas  </v>
      </c>
      <c r="AH278" s="102" t="str">
        <f>IF(SUMPRODUCT(--(LEFT(IF(LEFT(LOWER(E278),1)="¡",MID(LOWER(E278),2,300),LOWER(E278)),LEN({"actualizaci","el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278" s="102" t="str">
        <f>IF(OR(SUMPRODUCT(--ISNUMBER(SEARCH({"descuento","oferta","ahorr","precio"," sale ","flash","deals"},AF278)))&gt;0,SUMPRODUCT(--ISNUMBER(SEARCH({"descuento","oferta","ahorr","precio"," sale ","flash","deals"},AG278)))&gt;0),"Sí","No")</f>
        <v>Sí</v>
      </c>
      <c r="AJ278" s="102" t="str">
        <f>IF(SUMPRODUCT(--ISNUMBER(SEARCH({" hoy ","horas","tiempo limitado","antes de que","se acab","se agot","finalic","última oportunidad","oportunidad única","relámpago","express","no esperes","no volver","no parpadees"},AF278)))&gt;0,"Sí","No")</f>
        <v>No</v>
      </c>
      <c r="AK278" s="102" t="str">
        <f>IF(SUMPRODUCT(--ISNUMBER(SEARCH({" hoy ","horas","tiempo limitado","antes de que","se acab","se agot","finalic","última oportunidad","oportunidad única","relámpago","express","no esperes","no volver","no parpadees"},AG278)))&gt;0,"Sí","No")</f>
        <v>Sí</v>
      </c>
      <c r="AL278" s="102" t="str">
        <f t="shared" si="115"/>
        <v>Descuento con tiempo límite solo en el preheader</v>
      </c>
      <c r="AM278" s="102" t="str">
        <f>IF(SUMPRODUCT(--ISNUMBER(SEARCH({"0","1","2","3","4","5","6","7","8","9","favorit","maquillaje","piel","cabello","productos","belleza","regalo"},E278)))&gt;0,"Sí","No")</f>
        <v>No</v>
      </c>
      <c r="AN278" s="102" t="str">
        <f>IF(SUMPRODUCT(--ISNUMBER(SEARCH({"lo que tenemos","estas ofertas","algo especial","ofertas únicas","que preparamos","no te quedes","echa un vistazo"},F278)))&gt;0,"Sí","No")</f>
        <v>No</v>
      </c>
      <c r="AO278" s="102">
        <f t="shared" si="116"/>
        <v>55</v>
      </c>
      <c r="AP278" s="102">
        <f t="shared" si="117"/>
        <v>10</v>
      </c>
      <c r="AQ278" s="102">
        <f>SUMPRODUCT(LEN(E278)-LEN(SUBSTITUTE(E278,{"!","¡","?","¿",":",",",".","%","·","-",";"},"")))</f>
        <v>2</v>
      </c>
      <c r="AR278" s="102" t="str">
        <f t="shared" si="118"/>
        <v>No</v>
      </c>
      <c r="AS278" s="102" t="str">
        <f t="shared" si="119"/>
        <v>No</v>
      </c>
      <c r="AT278" s="102" t="str">
        <f>IF(SUMPRODUCT(--ISNUMBER(FIND({"0","1","2","3","4","5","6","7","8","9"},E278)))&gt;0,"Con cifra concreta",IF(OR(ISNUMBER(FIND("?",E278)),ISNUMBER(FIND("¿",E278))),"Pregunta abierta",IF(SUMPRODUCT(--ISNUMBER(SEARCH({" hoy ","horas","tiempo limitado","antes de que","se acab","se agot","finalic","última oportunidad","oportunidad única","relámpago","express","no esperes","no volver","no parpadees"," ya ","últimas horas","últimas unidades"," ahora "},AF278)))&gt;0,"Solo urgencia, sin cifra",IF(SUMPRODUCT(--ISNUMBER(SEARCH({"recompensa","sorpresa","regalo","lealtad","detalle","gracias","pensamos en ti","para ti"},E278)))&gt;0,"Recompensa o sorpresa","Otro: beneficio o novedad"))))</f>
        <v>Otro: beneficio o novedad</v>
      </c>
    </row>
    <row r="279" spans="1:46" x14ac:dyDescent="0.2">
      <c r="A279" s="96" t="s">
        <v>1150</v>
      </c>
      <c r="B279" s="96" t="s">
        <v>279</v>
      </c>
      <c r="C279" s="96" t="s">
        <v>815</v>
      </c>
      <c r="D279" s="96" t="s">
        <v>764</v>
      </c>
      <c r="E279" s="96" t="s">
        <v>472</v>
      </c>
      <c r="F279" s="96" t="s">
        <v>473</v>
      </c>
      <c r="G279" s="97">
        <v>252625</v>
      </c>
      <c r="H279" s="97">
        <v>47167</v>
      </c>
      <c r="I279" s="97">
        <v>27500</v>
      </c>
      <c r="J279" s="98">
        <v>8.3000000000000007</v>
      </c>
      <c r="K279" s="98">
        <v>2.8</v>
      </c>
      <c r="L279" s="99">
        <v>37084.22</v>
      </c>
      <c r="M279" s="100">
        <f t="shared" si="96"/>
        <v>18.67075705096487</v>
      </c>
      <c r="N279" s="100">
        <f t="shared" si="97"/>
        <v>10.885700148441366</v>
      </c>
      <c r="O279" s="100">
        <f t="shared" si="98"/>
        <v>58.30347488710327</v>
      </c>
      <c r="P279" s="100">
        <f t="shared" si="99"/>
        <v>146.79552696684812</v>
      </c>
      <c r="Q279" s="100">
        <f t="shared" si="100"/>
        <v>22.891293825435607</v>
      </c>
      <c r="R279" s="100">
        <f t="shared" si="101"/>
        <v>27.75136451093497</v>
      </c>
      <c r="S279" s="101">
        <f t="shared" si="102"/>
        <v>45959</v>
      </c>
      <c r="T279" s="102" t="str">
        <f t="shared" si="103"/>
        <v>Octubre</v>
      </c>
      <c r="U279" s="102" t="str">
        <f t="shared" si="104"/>
        <v>Miércoles</v>
      </c>
      <c r="V279" s="102">
        <f t="shared" si="105"/>
        <v>15</v>
      </c>
      <c r="W279" s="102" t="str">
        <f t="shared" si="106"/>
        <v>Resto del mes</v>
      </c>
      <c r="X279" s="102">
        <f t="shared" si="107"/>
        <v>27</v>
      </c>
      <c r="Y279" s="102" t="str">
        <f t="shared" si="108"/>
        <v>Sí</v>
      </c>
      <c r="Z279" s="102" t="str">
        <f>CHOOSE(MATCH(B279,{"Customer Appreciation","Exclusive Offers","Flash Sale","Holiday Discounts","New Product Launch","Newsletter"},0),"Fidelizar","Vender","Vender","Vender","Lanzar","Educar")</f>
        <v>Educar</v>
      </c>
      <c r="AA279" s="102" t="str">
        <f t="shared" si="109"/>
        <v>200 a 300 mil</v>
      </c>
      <c r="AB279" s="102">
        <f>COUNTIFS($E$5:$E$493,E279,$S$5:$S$493,"&lt;"&amp;S279)+COUNTIFS($E$5:E279,E279,$S$5:S279,S279)</f>
        <v>21</v>
      </c>
      <c r="AC279" s="102">
        <f t="shared" si="110"/>
        <v>22</v>
      </c>
      <c r="AD279" s="102" t="str">
        <f t="shared" si="111"/>
        <v>Último tercio</v>
      </c>
      <c r="AE279" s="103">
        <f t="shared" si="112"/>
        <v>-4.2205367744707374</v>
      </c>
      <c r="AF279" s="102" t="str">
        <f t="shared" si="113"/>
        <v xml:space="preserve"> tu dosis semanal de belleza  novedades y tips </v>
      </c>
      <c r="AG279" s="102" t="str">
        <f t="shared" si="114"/>
        <v xml:space="preserve"> novedades  tips y más para tu rutina diaria   entra ya  </v>
      </c>
      <c r="AH279" s="102" t="str">
        <f>IF(SUMPRODUCT(--(LEFT(IF(LEFT(LOWER(E279),1)="¡",MID(LOWER(E279),2,300),LOWER(E279)),LEN({"actualizaci","el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279" s="102" t="str">
        <f>IF(OR(SUMPRODUCT(--ISNUMBER(SEARCH({"descuento","oferta","ahorr","precio"," sale ","flash","deals"},AF279)))&gt;0,SUMPRODUCT(--ISNUMBER(SEARCH({"descuento","oferta","ahorr","precio"," sale ","flash","deals"},AG279)))&gt;0),"Sí","No")</f>
        <v>No</v>
      </c>
      <c r="AJ279" s="102" t="str">
        <f>IF(SUMPRODUCT(--ISNUMBER(SEARCH({" hoy ","horas","tiempo limitado","antes de que","se acab","se agot","finalic","última oportunidad","oportunidad única","relámpago","express","no esperes","no volver","no parpadees"},AF279)))&gt;0,"Sí","No")</f>
        <v>No</v>
      </c>
      <c r="AK279" s="102" t="str">
        <f>IF(SUMPRODUCT(--ISNUMBER(SEARCH({" hoy ","horas","tiempo limitado","antes de que","se acab","se agot","finalic","última oportunidad","oportunidad única","relámpago","express","no esperes","no volver","no parpadees"},AG279)))&gt;0,"Sí","No")</f>
        <v>No</v>
      </c>
      <c r="AL279" s="102" t="str">
        <f t="shared" si="115"/>
        <v>Sin descuento</v>
      </c>
      <c r="AM279" s="102" t="str">
        <f>IF(SUMPRODUCT(--ISNUMBER(SEARCH({"0","1","2","3","4","5","6","7","8","9","favorit","maquillaje","piel","cabello","productos","belleza","regalo"},E279)))&gt;0,"Sí","No")</f>
        <v>Sí</v>
      </c>
      <c r="AN279" s="102" t="str">
        <f>IF(SUMPRODUCT(--ISNUMBER(SEARCH({"lo que tenemos","estas ofertas","algo especial","ofertas únicas","que preparamos","no te quedes","echa un vistazo"},F279)))&gt;0,"Sí","No")</f>
        <v>No</v>
      </c>
      <c r="AO279" s="102">
        <f t="shared" si="116"/>
        <v>45</v>
      </c>
      <c r="AP279" s="102">
        <f t="shared" si="117"/>
        <v>8</v>
      </c>
      <c r="AQ279" s="102">
        <f>SUMPRODUCT(LEN(E279)-LEN(SUBSTITUTE(E279,{"!","¡","?","¿",":",",",".","%","·","-",";"},"")))</f>
        <v>1</v>
      </c>
      <c r="AR279" s="102" t="str">
        <f t="shared" si="118"/>
        <v>Sí</v>
      </c>
      <c r="AS279" s="102" t="str">
        <f t="shared" si="119"/>
        <v>No</v>
      </c>
      <c r="AT279" s="102" t="str">
        <f>IF(SUMPRODUCT(--ISNUMBER(FIND({"0","1","2","3","4","5","6","7","8","9"},E279)))&gt;0,"Con cifra concreta",IF(OR(ISNUMBER(FIND("?",E279)),ISNUMBER(FIND("¿",E279))),"Pregunta abierta",IF(SUMPRODUCT(--ISNUMBER(SEARCH({" hoy ","horas","tiempo limitado","antes de que","se acab","se agot","finalic","última oportunidad","oportunidad única","relámpago","express","no esperes","no volver","no parpadees"," ya ","últimas horas","últimas unidades"," ahora "},AF279)))&gt;0,"Solo urgencia, sin cifra",IF(SUMPRODUCT(--ISNUMBER(SEARCH({"recompensa","sorpresa","regalo","lealtad","detalle","gracias","pensamos en ti","para ti"},E279)))&gt;0,"Recompensa o sorpresa","Otro: beneficio o novedad"))))</f>
        <v>Otro: beneficio o novedad</v>
      </c>
    </row>
    <row r="280" spans="1:46" x14ac:dyDescent="0.2">
      <c r="A280" s="104" t="s">
        <v>1151</v>
      </c>
      <c r="B280" s="104" t="s">
        <v>279</v>
      </c>
      <c r="C280" s="104" t="s">
        <v>869</v>
      </c>
      <c r="D280" s="104" t="s">
        <v>821</v>
      </c>
      <c r="E280" s="104" t="s">
        <v>369</v>
      </c>
      <c r="F280" s="104" t="s">
        <v>457</v>
      </c>
      <c r="G280" s="105">
        <v>34546</v>
      </c>
      <c r="H280" s="105">
        <v>11559</v>
      </c>
      <c r="I280" s="105">
        <v>847</v>
      </c>
      <c r="J280" s="106">
        <v>3.18</v>
      </c>
      <c r="K280" s="106">
        <v>0.32</v>
      </c>
      <c r="L280" s="107">
        <v>7581.43</v>
      </c>
      <c r="M280" s="108">
        <f t="shared" si="96"/>
        <v>33.459734846291902</v>
      </c>
      <c r="N280" s="108">
        <f t="shared" si="97"/>
        <v>2.4518033925780123</v>
      </c>
      <c r="O280" s="108">
        <f t="shared" si="98"/>
        <v>7.3276234968422882</v>
      </c>
      <c r="P280" s="108">
        <f t="shared" si="99"/>
        <v>219.45898222659645</v>
      </c>
      <c r="Q280" s="108">
        <f t="shared" si="100"/>
        <v>36.827379346292652</v>
      </c>
      <c r="R280" s="108">
        <f t="shared" si="101"/>
        <v>27.75136451093497</v>
      </c>
      <c r="S280" s="101">
        <f t="shared" si="102"/>
        <v>45917</v>
      </c>
      <c r="T280" s="102" t="str">
        <f t="shared" si="103"/>
        <v>Septiembre</v>
      </c>
      <c r="U280" s="102" t="str">
        <f t="shared" si="104"/>
        <v>Miércoles</v>
      </c>
      <c r="V280" s="102">
        <f t="shared" si="105"/>
        <v>8</v>
      </c>
      <c r="W280" s="102" t="str">
        <f t="shared" si="106"/>
        <v>Días después del pago</v>
      </c>
      <c r="X280" s="102">
        <f t="shared" si="107"/>
        <v>26</v>
      </c>
      <c r="Y280" s="102" t="str">
        <f t="shared" si="108"/>
        <v>Sí</v>
      </c>
      <c r="Z280" s="102" t="str">
        <f>CHOOSE(MATCH(B280,{"Customer Appreciation","Exclusive Offers","Flash Sale","Holiday Discounts","New Product Launch","Newsletter"},0),"Fidelizar","Vender","Vender","Vender","Lanzar","Educar")</f>
        <v>Educar</v>
      </c>
      <c r="AA280" s="102" t="str">
        <f t="shared" si="109"/>
        <v>Menos de 100 mil</v>
      </c>
      <c r="AB280" s="102">
        <f>COUNTIFS($E$5:$E$493,E280,$S$5:$S$493,"&lt;"&amp;S280)+COUNTIFS($E$5:E280,E280,$S$5:S280,S280)</f>
        <v>12</v>
      </c>
      <c r="AC280" s="102">
        <f t="shared" si="110"/>
        <v>19</v>
      </c>
      <c r="AD280" s="102" t="str">
        <f t="shared" si="111"/>
        <v>Medio</v>
      </c>
      <c r="AE280" s="103">
        <f t="shared" si="112"/>
        <v>-3.3676445000007504</v>
      </c>
      <c r="AF280" s="102" t="str">
        <f t="shared" si="113"/>
        <v xml:space="preserve"> lo último en l'oréal  mantente informad@ de las novedades </v>
      </c>
      <c r="AG280" s="102" t="str">
        <f t="shared" si="114"/>
        <v xml:space="preserve"> descubre las novedades y tips de la semana   entra ya  </v>
      </c>
      <c r="AH280" s="102" t="str">
        <f>IF(SUMPRODUCT(--(LEFT(IF(LEFT(LOWER(E280),1)="¡",MID(LOWER(E280),2,300),LOWER(E280)),LEN({"actualizaci","el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280" s="102" t="str">
        <f>IF(OR(SUMPRODUCT(--ISNUMBER(SEARCH({"descuento","oferta","ahorr","precio"," sale ","flash","deals"},AF280)))&gt;0,SUMPRODUCT(--ISNUMBER(SEARCH({"descuento","oferta","ahorr","precio"," sale ","flash","deals"},AG280)))&gt;0),"Sí","No")</f>
        <v>No</v>
      </c>
      <c r="AJ280" s="102" t="str">
        <f>IF(SUMPRODUCT(--ISNUMBER(SEARCH({" hoy ","horas","tiempo limitado","antes de que","se acab","se agot","finalic","última oportunidad","oportunidad única","relámpago","express","no esperes","no volver","no parpadees"},AF280)))&gt;0,"Sí","No")</f>
        <v>No</v>
      </c>
      <c r="AK280" s="102" t="str">
        <f>IF(SUMPRODUCT(--ISNUMBER(SEARCH({" hoy ","horas","tiempo limitado","antes de que","se acab","se agot","finalic","última oportunidad","oportunidad única","relámpago","express","no esperes","no volver","no parpadees"},AG280)))&gt;0,"Sí","No")</f>
        <v>No</v>
      </c>
      <c r="AL280" s="102" t="str">
        <f t="shared" si="115"/>
        <v>Sin descuento</v>
      </c>
      <c r="AM280" s="102" t="str">
        <f>IF(SUMPRODUCT(--ISNUMBER(SEARCH({"0","1","2","3","4","5","6","7","8","9","favorit","maquillaje","piel","cabello","productos","belleza","regalo"},E280)))&gt;0,"Sí","No")</f>
        <v>No</v>
      </c>
      <c r="AN280" s="102" t="str">
        <f>IF(SUMPRODUCT(--ISNUMBER(SEARCH({"lo que tenemos","estas ofertas","algo especial","ofertas únicas","que preparamos","no te quedes","echa un vistazo"},F280)))&gt;0,"Sí","No")</f>
        <v>No</v>
      </c>
      <c r="AO280" s="102">
        <f t="shared" si="116"/>
        <v>57</v>
      </c>
      <c r="AP280" s="102">
        <f t="shared" si="117"/>
        <v>9</v>
      </c>
      <c r="AQ280" s="102">
        <f>SUMPRODUCT(LEN(E280)-LEN(SUBSTITUTE(E280,{"!","¡","?","¿",":",",",".","%","·","-",";"},"")))</f>
        <v>1</v>
      </c>
      <c r="AR280" s="102" t="str">
        <f t="shared" si="118"/>
        <v>Sí</v>
      </c>
      <c r="AS280" s="102" t="str">
        <f t="shared" si="119"/>
        <v>No</v>
      </c>
      <c r="AT280" s="102" t="str">
        <f>IF(SUMPRODUCT(--ISNUMBER(FIND({"0","1","2","3","4","5","6","7","8","9"},E280)))&gt;0,"Con cifra concreta",IF(OR(ISNUMBER(FIND("?",E280)),ISNUMBER(FIND("¿",E280))),"Pregunta abierta",IF(SUMPRODUCT(--ISNUMBER(SEARCH({" hoy ","horas","tiempo limitado","antes de que","se acab","se agot","finalic","última oportunidad","oportunidad única","relámpago","express","no esperes","no volver","no parpadees"," ya ","últimas horas","últimas unidades"," ahora "},AF280)))&gt;0,"Solo urgencia, sin cifra",IF(SUMPRODUCT(--ISNUMBER(SEARCH({"recompensa","sorpresa","regalo","lealtad","detalle","gracias","pensamos en ti","para ti"},E280)))&gt;0,"Recompensa o sorpresa","Otro: beneficio o novedad"))))</f>
        <v>Otro: beneficio o novedad</v>
      </c>
    </row>
    <row r="281" spans="1:46" x14ac:dyDescent="0.2">
      <c r="A281" s="96" t="s">
        <v>1152</v>
      </c>
      <c r="B281" s="96" t="s">
        <v>274</v>
      </c>
      <c r="C281" s="96" t="s">
        <v>944</v>
      </c>
      <c r="D281" s="96" t="s">
        <v>794</v>
      </c>
      <c r="E281" s="96" t="s">
        <v>371</v>
      </c>
      <c r="F281" s="96" t="s">
        <v>452</v>
      </c>
      <c r="G281" s="97">
        <v>362663</v>
      </c>
      <c r="H281" s="97">
        <v>140810</v>
      </c>
      <c r="I281" s="97">
        <v>57530</v>
      </c>
      <c r="J281" s="98">
        <v>9.11</v>
      </c>
      <c r="K281" s="98">
        <v>1.3</v>
      </c>
      <c r="L281" s="99">
        <v>33546.83</v>
      </c>
      <c r="M281" s="100">
        <f t="shared" si="96"/>
        <v>38.826679313853354</v>
      </c>
      <c r="N281" s="100">
        <f t="shared" si="97"/>
        <v>15.863211852325712</v>
      </c>
      <c r="O281" s="100">
        <f t="shared" si="98"/>
        <v>40.856473261842197</v>
      </c>
      <c r="P281" s="100">
        <f t="shared" si="99"/>
        <v>92.501385583861605</v>
      </c>
      <c r="Q281" s="100">
        <f t="shared" si="100"/>
        <v>40.72142758959253</v>
      </c>
      <c r="R281" s="100">
        <f t="shared" si="101"/>
        <v>31.113650744455075</v>
      </c>
      <c r="S281" s="101">
        <f t="shared" si="102"/>
        <v>45943</v>
      </c>
      <c r="T281" s="102" t="str">
        <f t="shared" si="103"/>
        <v>Octubre</v>
      </c>
      <c r="U281" s="102" t="str">
        <f t="shared" si="104"/>
        <v>Lunes</v>
      </c>
      <c r="V281" s="102">
        <f t="shared" si="105"/>
        <v>12</v>
      </c>
      <c r="W281" s="102" t="str">
        <f t="shared" si="106"/>
        <v>Resto del mes</v>
      </c>
      <c r="X281" s="102">
        <f t="shared" si="107"/>
        <v>23</v>
      </c>
      <c r="Y281" s="102" t="str">
        <f t="shared" si="108"/>
        <v>Sí</v>
      </c>
      <c r="Z281" s="102" t="str">
        <f>CHOOSE(MATCH(B281,{"Customer Appreciation","Exclusive Offers","Flash Sale","Holiday Discounts","New Product Launch","Newsletter"},0),"Fidelizar","Vender","Vender","Vender","Lanzar","Educar")</f>
        <v>Fidelizar</v>
      </c>
      <c r="AA281" s="102" t="str">
        <f t="shared" si="109"/>
        <v>300 a 400 mil</v>
      </c>
      <c r="AB281" s="102">
        <f>COUNTIFS($E$5:$E$493,E281,$S$5:$S$493,"&lt;"&amp;S281)+COUNTIFS($E$5:E281,E281,$S$5:S281,S281)</f>
        <v>14</v>
      </c>
      <c r="AC281" s="102">
        <f t="shared" si="110"/>
        <v>16</v>
      </c>
      <c r="AD281" s="102" t="str">
        <f t="shared" si="111"/>
        <v>Último tercio</v>
      </c>
      <c r="AE281" s="103">
        <f t="shared" si="112"/>
        <v>-1.8947482757391754</v>
      </c>
      <c r="AF281" s="102" t="str">
        <f t="shared" si="113"/>
        <v xml:space="preserve">  tu lealtad tiene recompensa  descúbrela  sorpresas para ti </v>
      </c>
      <c r="AG281" s="102" t="str">
        <f t="shared" si="114"/>
        <v xml:space="preserve"> ofertas exclusivas para nuestros clientes más especiales   no te las pierdas  </v>
      </c>
      <c r="AH281" s="102" t="str">
        <f>IF(SUMPRODUCT(--(LEFT(IF(LEFT(LOWER(E281),1)="¡",MID(LOWER(E281),2,300),LOWER(E281)),LEN({"actualizaci","el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281" s="102" t="str">
        <f>IF(OR(SUMPRODUCT(--ISNUMBER(SEARCH({"descuento","oferta","ahorr","precio"," sale ","flash","deals"},AF281)))&gt;0,SUMPRODUCT(--ISNUMBER(SEARCH({"descuento","oferta","ahorr","precio"," sale ","flash","deals"},AG281)))&gt;0),"Sí","No")</f>
        <v>Sí</v>
      </c>
      <c r="AJ281" s="102" t="str">
        <f>IF(SUMPRODUCT(--ISNUMBER(SEARCH({" hoy ","horas","tiempo limitado","antes de que","se acab","se agot","finalic","última oportunidad","oportunidad única","relámpago","express","no esperes","no volver","no parpadees"},AF281)))&gt;0,"Sí","No")</f>
        <v>No</v>
      </c>
      <c r="AK281" s="102" t="str">
        <f>IF(SUMPRODUCT(--ISNUMBER(SEARCH({" hoy ","horas","tiempo limitado","antes de que","se acab","se agot","finalic","última oportunidad","oportunidad única","relámpago","express","no esperes","no volver","no parpadees"},AG281)))&gt;0,"Sí","No")</f>
        <v>No</v>
      </c>
      <c r="AL281" s="102" t="str">
        <f t="shared" si="115"/>
        <v>Descuento sin tiempo límite</v>
      </c>
      <c r="AM281" s="102" t="str">
        <f>IF(SUMPRODUCT(--ISNUMBER(SEARCH({"0","1","2","3","4","5","6","7","8","9","favorit","maquillaje","piel","cabello","productos","belleza","regalo"},E281)))&gt;0,"Sí","No")</f>
        <v>No</v>
      </c>
      <c r="AN281" s="102" t="str">
        <f>IF(SUMPRODUCT(--ISNUMBER(SEARCH({"lo que tenemos","estas ofertas","algo especial","ofertas únicas","que preparamos","no te quedes","echa un vistazo"},F281)))&gt;0,"Sí","No")</f>
        <v>No</v>
      </c>
      <c r="AO281" s="102">
        <f t="shared" si="116"/>
        <v>59</v>
      </c>
      <c r="AP281" s="102">
        <f t="shared" si="117"/>
        <v>8</v>
      </c>
      <c r="AQ281" s="102">
        <f>SUMPRODUCT(LEN(E281)-LEN(SUBSTITUTE(E281,{"!","¡","?","¿",":",",",".","%","·","-",";"},"")))</f>
        <v>3</v>
      </c>
      <c r="AR281" s="102" t="str">
        <f t="shared" si="118"/>
        <v>Sí</v>
      </c>
      <c r="AS281" s="102" t="str">
        <f t="shared" si="119"/>
        <v>No</v>
      </c>
      <c r="AT281" s="102" t="str">
        <f>IF(SUMPRODUCT(--ISNUMBER(FIND({"0","1","2","3","4","5","6","7","8","9"},E281)))&gt;0,"Con cifra concreta",IF(OR(ISNUMBER(FIND("?",E281)),ISNUMBER(FIND("¿",E281))),"Pregunta abierta",IF(SUMPRODUCT(--ISNUMBER(SEARCH({" hoy ","horas","tiempo limitado","antes de que","se acab","se agot","finalic","última oportunidad","oportunidad única","relámpago","express","no esperes","no volver","no parpadees"," ya ","últimas horas","últimas unidades"," ahora "},AF281)))&gt;0,"Solo urgencia, sin cifra",IF(SUMPRODUCT(--ISNUMBER(SEARCH({"recompensa","sorpresa","regalo","lealtad","detalle","gracias","pensamos en ti","para ti"},E281)))&gt;0,"Recompensa o sorpresa","Otro: beneficio o novedad"))))</f>
        <v>Recompensa o sorpresa</v>
      </c>
    </row>
    <row r="282" spans="1:46" x14ac:dyDescent="0.2">
      <c r="A282" s="104" t="s">
        <v>1153</v>
      </c>
      <c r="B282" s="104" t="s">
        <v>279</v>
      </c>
      <c r="C282" s="104" t="s">
        <v>889</v>
      </c>
      <c r="D282" s="104" t="s">
        <v>761</v>
      </c>
      <c r="E282" s="104" t="s">
        <v>463</v>
      </c>
      <c r="F282" s="104" t="s">
        <v>464</v>
      </c>
      <c r="G282" s="105">
        <v>160796</v>
      </c>
      <c r="H282" s="105">
        <v>30691</v>
      </c>
      <c r="I282" s="105">
        <v>29813</v>
      </c>
      <c r="J282" s="106">
        <v>2.17</v>
      </c>
      <c r="K282" s="106">
        <v>4.04</v>
      </c>
      <c r="L282" s="107">
        <v>95826.96</v>
      </c>
      <c r="M282" s="108">
        <f t="shared" si="96"/>
        <v>19.086917585014554</v>
      </c>
      <c r="N282" s="108">
        <f t="shared" si="97"/>
        <v>18.540884101594568</v>
      </c>
      <c r="O282" s="108">
        <f t="shared" si="98"/>
        <v>97.139226483333871</v>
      </c>
      <c r="P282" s="108">
        <f t="shared" si="99"/>
        <v>595.95363068733059</v>
      </c>
      <c r="Q282" s="108">
        <f t="shared" si="100"/>
        <v>33.412775116147934</v>
      </c>
      <c r="R282" s="108">
        <f t="shared" si="101"/>
        <v>27.75136451093497</v>
      </c>
      <c r="S282" s="101">
        <f t="shared" si="102"/>
        <v>45908</v>
      </c>
      <c r="T282" s="102" t="str">
        <f t="shared" si="103"/>
        <v>Septiembre</v>
      </c>
      <c r="U282" s="102" t="str">
        <f t="shared" si="104"/>
        <v>Lunes</v>
      </c>
      <c r="V282" s="102">
        <f t="shared" si="105"/>
        <v>10</v>
      </c>
      <c r="W282" s="102" t="str">
        <f t="shared" si="106"/>
        <v>Resto del mes</v>
      </c>
      <c r="X282" s="102">
        <f t="shared" si="107"/>
        <v>28</v>
      </c>
      <c r="Y282" s="102" t="str">
        <f t="shared" si="108"/>
        <v>Sí</v>
      </c>
      <c r="Z282" s="102" t="str">
        <f>CHOOSE(MATCH(B282,{"Customer Appreciation","Exclusive Offers","Flash Sale","Holiday Discounts","New Product Launch","Newsletter"},0),"Fidelizar","Vender","Vender","Vender","Lanzar","Educar")</f>
        <v>Educar</v>
      </c>
      <c r="AA282" s="102" t="str">
        <f t="shared" si="109"/>
        <v>100 a 200 mil</v>
      </c>
      <c r="AB282" s="102">
        <f>COUNTIFS($E$5:$E$493,E282,$S$5:$S$493,"&lt;"&amp;S282)+COUNTIFS($E$5:E282,E282,$S$5:S282,S282)</f>
        <v>12</v>
      </c>
      <c r="AC282" s="102">
        <f t="shared" si="110"/>
        <v>25</v>
      </c>
      <c r="AD282" s="102" t="str">
        <f t="shared" si="111"/>
        <v>Medio</v>
      </c>
      <c r="AE282" s="103">
        <f t="shared" si="112"/>
        <v>-14.32585753113338</v>
      </c>
      <c r="AF282" s="102" t="str">
        <f t="shared" si="113"/>
        <v xml:space="preserve"> tu dosis de belleza   no te lo pierdas  tips y trucos </v>
      </c>
      <c r="AG282" s="102" t="str">
        <f t="shared" si="114"/>
        <v xml:space="preserve"> consejos expertos  tendencias y más en tu bandeja de entrada   descúbrelo  </v>
      </c>
      <c r="AH282" s="102" t="str">
        <f>IF(SUMPRODUCT(--(LEFT(IF(LEFT(LOWER(E282),1)="¡",MID(LOWER(E282),2,300),LOWER(E282)),LEN({"actualizaci","el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282" s="102" t="str">
        <f>IF(OR(SUMPRODUCT(--ISNUMBER(SEARCH({"descuento","oferta","ahorr","precio"," sale ","flash","deals"},AF282)))&gt;0,SUMPRODUCT(--ISNUMBER(SEARCH({"descuento","oferta","ahorr","precio"," sale ","flash","deals"},AG282)))&gt;0),"Sí","No")</f>
        <v>No</v>
      </c>
      <c r="AJ282" s="102" t="str">
        <f>IF(SUMPRODUCT(--ISNUMBER(SEARCH({" hoy ","horas","tiempo limitado","antes de que","se acab","se agot","finalic","última oportunidad","oportunidad única","relámpago","express","no esperes","no volver","no parpadees"},AF282)))&gt;0,"Sí","No")</f>
        <v>No</v>
      </c>
      <c r="AK282" s="102" t="str">
        <f>IF(SUMPRODUCT(--ISNUMBER(SEARCH({" hoy ","horas","tiempo limitado","antes de que","se acab","se agot","finalic","última oportunidad","oportunidad única","relámpago","express","no esperes","no volver","no parpadees"},AG282)))&gt;0,"Sí","No")</f>
        <v>No</v>
      </c>
      <c r="AL282" s="102" t="str">
        <f t="shared" si="115"/>
        <v>Sin descuento</v>
      </c>
      <c r="AM282" s="102" t="str">
        <f>IF(SUMPRODUCT(--ISNUMBER(SEARCH({"0","1","2","3","4","5","6","7","8","9","favorit","maquillaje","piel","cabello","productos","belleza","regalo"},E282)))&gt;0,"Sí","No")</f>
        <v>Sí</v>
      </c>
      <c r="AN282" s="102" t="str">
        <f>IF(SUMPRODUCT(--ISNUMBER(SEARCH({"lo que tenemos","estas ofertas","algo especial","ofertas únicas","que preparamos","no te quedes","echa un vistazo"},F282)))&gt;0,"Sí","No")</f>
        <v>No</v>
      </c>
      <c r="AO282" s="102">
        <f t="shared" si="116"/>
        <v>53</v>
      </c>
      <c r="AP282" s="102">
        <f t="shared" si="117"/>
        <v>11</v>
      </c>
      <c r="AQ282" s="102">
        <f>SUMPRODUCT(LEN(E282)-LEN(SUBSTITUTE(E282,{"!","¡","?","¿",":",",",".","%","·","-",";"},"")))</f>
        <v>3</v>
      </c>
      <c r="AR282" s="102" t="str">
        <f t="shared" si="118"/>
        <v>No</v>
      </c>
      <c r="AS282" s="102" t="str">
        <f t="shared" si="119"/>
        <v>No</v>
      </c>
      <c r="AT282" s="102" t="str">
        <f>IF(SUMPRODUCT(--ISNUMBER(FIND({"0","1","2","3","4","5","6","7","8","9"},E282)))&gt;0,"Con cifra concreta",IF(OR(ISNUMBER(FIND("?",E282)),ISNUMBER(FIND("¿",E282))),"Pregunta abierta",IF(SUMPRODUCT(--ISNUMBER(SEARCH({" hoy ","horas","tiempo limitado","antes de que","se acab","se agot","finalic","última oportunidad","oportunidad única","relámpago","express","no esperes","no volver","no parpadees"," ya ","últimas horas","últimas unidades"," ahora "},AF282)))&gt;0,"Solo urgencia, sin cifra",IF(SUMPRODUCT(--ISNUMBER(SEARCH({"recompensa","sorpresa","regalo","lealtad","detalle","gracias","pensamos en ti","para ti"},E282)))&gt;0,"Recompensa o sorpresa","Otro: beneficio o novedad"))))</f>
        <v>Otro: beneficio o novedad</v>
      </c>
    </row>
    <row r="283" spans="1:46" x14ac:dyDescent="0.2">
      <c r="A283" s="96" t="s">
        <v>1154</v>
      </c>
      <c r="B283" s="96" t="s">
        <v>274</v>
      </c>
      <c r="C283" s="96" t="s">
        <v>891</v>
      </c>
      <c r="D283" s="96" t="s">
        <v>786</v>
      </c>
      <c r="E283" s="96" t="s">
        <v>453</v>
      </c>
      <c r="F283" s="96" t="s">
        <v>454</v>
      </c>
      <c r="G283" s="97">
        <v>369567</v>
      </c>
      <c r="H283" s="97">
        <v>169542</v>
      </c>
      <c r="I283" s="97">
        <v>12128</v>
      </c>
      <c r="J283" s="98">
        <v>4.58</v>
      </c>
      <c r="K283" s="98">
        <v>3.16</v>
      </c>
      <c r="L283" s="99">
        <v>76718.710000000006</v>
      </c>
      <c r="M283" s="100">
        <f t="shared" si="96"/>
        <v>45.875849304726884</v>
      </c>
      <c r="N283" s="100">
        <f t="shared" si="97"/>
        <v>3.2816782883753151</v>
      </c>
      <c r="O283" s="100">
        <f t="shared" si="98"/>
        <v>7.1533897205412229</v>
      </c>
      <c r="P283" s="100">
        <f t="shared" si="99"/>
        <v>207.59080220907171</v>
      </c>
      <c r="Q283" s="100">
        <f t="shared" si="100"/>
        <v>39.210446566150395</v>
      </c>
      <c r="R283" s="100">
        <f t="shared" si="101"/>
        <v>31.113650744455075</v>
      </c>
      <c r="S283" s="101">
        <f t="shared" si="102"/>
        <v>45888</v>
      </c>
      <c r="T283" s="102" t="str">
        <f t="shared" si="103"/>
        <v>Agosto</v>
      </c>
      <c r="U283" s="102" t="str">
        <f t="shared" si="104"/>
        <v>Martes</v>
      </c>
      <c r="V283" s="102">
        <f t="shared" si="105"/>
        <v>15</v>
      </c>
      <c r="W283" s="102" t="str">
        <f t="shared" si="106"/>
        <v>Días después del pago</v>
      </c>
      <c r="X283" s="102">
        <f t="shared" si="107"/>
        <v>29</v>
      </c>
      <c r="Y283" s="102" t="str">
        <f t="shared" si="108"/>
        <v>Sí</v>
      </c>
      <c r="Z283" s="102" t="str">
        <f>CHOOSE(MATCH(B283,{"Customer Appreciation","Exclusive Offers","Flash Sale","Holiday Discounts","New Product Launch","Newsletter"},0),"Fidelizar","Vender","Vender","Vender","Lanzar","Educar")</f>
        <v>Fidelizar</v>
      </c>
      <c r="AA283" s="102" t="str">
        <f t="shared" si="109"/>
        <v>300 a 400 mil</v>
      </c>
      <c r="AB283" s="102">
        <f>COUNTIFS($E$5:$E$493,E283,$S$5:$S$493,"&lt;"&amp;S283)+COUNTIFS($E$5:E283,E283,$S$5:S283,S283)</f>
        <v>8</v>
      </c>
      <c r="AC283" s="102">
        <f t="shared" si="110"/>
        <v>20</v>
      </c>
      <c r="AD283" s="102" t="str">
        <f t="shared" si="111"/>
        <v>Medio</v>
      </c>
      <c r="AE283" s="103">
        <f t="shared" si="112"/>
        <v>6.6654027385764891</v>
      </c>
      <c r="AF283" s="102" t="str">
        <f t="shared" si="113"/>
        <v xml:space="preserve">  pensamos en ti  descubre estas sorpresas exclusivas </v>
      </c>
      <c r="AG283" s="102" t="str">
        <f t="shared" si="114"/>
        <v xml:space="preserve"> ofertas exclusivas por tu lealtad a l'oréal   aprovecha  </v>
      </c>
      <c r="AH283" s="102" t="str">
        <f>IF(SUMPRODUCT(--(LEFT(IF(LEFT(LOWER(E283),1)="¡",MID(LOWER(E283),2,300),LOWER(E283)),LEN({"actualizaci","el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283" s="102" t="str">
        <f>IF(OR(SUMPRODUCT(--ISNUMBER(SEARCH({"descuento","oferta","ahorr","precio"," sale ","flash","deals"},AF283)))&gt;0,SUMPRODUCT(--ISNUMBER(SEARCH({"descuento","oferta","ahorr","precio"," sale ","flash","deals"},AG283)))&gt;0),"Sí","No")</f>
        <v>Sí</v>
      </c>
      <c r="AJ283" s="102" t="str">
        <f>IF(SUMPRODUCT(--ISNUMBER(SEARCH({" hoy ","horas","tiempo limitado","antes de que","se acab","se agot","finalic","última oportunidad","oportunidad única","relámpago","express","no esperes","no volver","no parpadees"},AF283)))&gt;0,"Sí","No")</f>
        <v>No</v>
      </c>
      <c r="AK283" s="102" t="str">
        <f>IF(SUMPRODUCT(--ISNUMBER(SEARCH({" hoy ","horas","tiempo limitado","antes de que","se acab","se agot","finalic","última oportunidad","oportunidad única","relámpago","express","no esperes","no volver","no parpadees"},AG283)))&gt;0,"Sí","No")</f>
        <v>No</v>
      </c>
      <c r="AL283" s="102" t="str">
        <f t="shared" si="115"/>
        <v>Descuento sin tiempo límite</v>
      </c>
      <c r="AM283" s="102" t="str">
        <f>IF(SUMPRODUCT(--ISNUMBER(SEARCH({"0","1","2","3","4","5","6","7","8","9","favorit","maquillaje","piel","cabello","productos","belleza","regalo"},E283)))&gt;0,"Sí","No")</f>
        <v>No</v>
      </c>
      <c r="AN283" s="102" t="str">
        <f>IF(SUMPRODUCT(--ISNUMBER(SEARCH({"lo que tenemos","estas ofertas","algo especial","ofertas únicas","que preparamos","no te quedes","echa un vistazo"},F283)))&gt;0,"Sí","No")</f>
        <v>No</v>
      </c>
      <c r="AO283" s="102">
        <f t="shared" si="116"/>
        <v>52</v>
      </c>
      <c r="AP283" s="102">
        <f t="shared" si="117"/>
        <v>7</v>
      </c>
      <c r="AQ283" s="102">
        <f>SUMPRODUCT(LEN(E283)-LEN(SUBSTITUTE(E283,{"!","¡","?","¿",":",",",".","%","·","-",";"},"")))</f>
        <v>2</v>
      </c>
      <c r="AR283" s="102" t="str">
        <f t="shared" si="118"/>
        <v>Sí</v>
      </c>
      <c r="AS283" s="102" t="str">
        <f t="shared" si="119"/>
        <v>No</v>
      </c>
      <c r="AT283" s="102" t="str">
        <f>IF(SUMPRODUCT(--ISNUMBER(FIND({"0","1","2","3","4","5","6","7","8","9"},E283)))&gt;0,"Con cifra concreta",IF(OR(ISNUMBER(FIND("?",E283)),ISNUMBER(FIND("¿",E283))),"Pregunta abierta",IF(SUMPRODUCT(--ISNUMBER(SEARCH({" hoy ","horas","tiempo limitado","antes de que","se acab","se agot","finalic","última oportunidad","oportunidad única","relámpago","express","no esperes","no volver","no parpadees"," ya ","últimas horas","últimas unidades"," ahora "},AF283)))&gt;0,"Solo urgencia, sin cifra",IF(SUMPRODUCT(--ISNUMBER(SEARCH({"recompensa","sorpresa","regalo","lealtad","detalle","gracias","pensamos en ti","para ti"},E283)))&gt;0,"Recompensa o sorpresa","Otro: beneficio o novedad"))))</f>
        <v>Recompensa o sorpresa</v>
      </c>
    </row>
    <row r="284" spans="1:46" x14ac:dyDescent="0.2">
      <c r="A284" s="104" t="s">
        <v>1155</v>
      </c>
      <c r="B284" s="104" t="s">
        <v>278</v>
      </c>
      <c r="C284" s="104" t="s">
        <v>915</v>
      </c>
      <c r="D284" s="104" t="s">
        <v>769</v>
      </c>
      <c r="E284" s="104" t="s">
        <v>368</v>
      </c>
      <c r="F284" s="104" t="s">
        <v>471</v>
      </c>
      <c r="G284" s="105">
        <v>44410</v>
      </c>
      <c r="H284" s="105">
        <v>19196</v>
      </c>
      <c r="I284" s="105">
        <v>8050</v>
      </c>
      <c r="J284" s="106">
        <v>4.88</v>
      </c>
      <c r="K284" s="106">
        <v>0.43</v>
      </c>
      <c r="L284" s="107">
        <v>3683.55</v>
      </c>
      <c r="M284" s="108">
        <f t="shared" si="96"/>
        <v>43.224498986714707</v>
      </c>
      <c r="N284" s="108">
        <f t="shared" si="97"/>
        <v>18.126548074757938</v>
      </c>
      <c r="O284" s="108">
        <f t="shared" si="98"/>
        <v>41.935819962492189</v>
      </c>
      <c r="P284" s="108">
        <f t="shared" si="99"/>
        <v>82.944156721459137</v>
      </c>
      <c r="Q284" s="108">
        <f t="shared" si="100"/>
        <v>23.315840784070005</v>
      </c>
      <c r="R284" s="108">
        <f t="shared" si="101"/>
        <v>29.458247936272421</v>
      </c>
      <c r="S284" s="101">
        <f t="shared" si="102"/>
        <v>45954</v>
      </c>
      <c r="T284" s="102" t="str">
        <f t="shared" si="103"/>
        <v>Octubre</v>
      </c>
      <c r="U284" s="102" t="str">
        <f t="shared" si="104"/>
        <v>Viernes</v>
      </c>
      <c r="V284" s="102">
        <f t="shared" si="105"/>
        <v>13</v>
      </c>
      <c r="W284" s="102" t="str">
        <f t="shared" si="106"/>
        <v>Resto del mes</v>
      </c>
      <c r="X284" s="102">
        <f t="shared" si="107"/>
        <v>29</v>
      </c>
      <c r="Y284" s="102" t="str">
        <f t="shared" si="108"/>
        <v>Sí</v>
      </c>
      <c r="Z284" s="102" t="str">
        <f>CHOOSE(MATCH(B284,{"Customer Appreciation","Exclusive Offers","Flash Sale","Holiday Discounts","New Product Launch","Newsletter"},0),"Fidelizar","Vender","Vender","Vender","Lanzar","Educar")</f>
        <v>Lanzar</v>
      </c>
      <c r="AA284" s="102" t="str">
        <f t="shared" si="109"/>
        <v>Menos de 100 mil</v>
      </c>
      <c r="AB284" s="102">
        <f>COUNTIFS($E$5:$E$493,E284,$S$5:$S$493,"&lt;"&amp;S284)+COUNTIFS($E$5:E284,E284,$S$5:S284,S284)</f>
        <v>29</v>
      </c>
      <c r="AC284" s="102">
        <f t="shared" si="110"/>
        <v>33</v>
      </c>
      <c r="AD284" s="102" t="str">
        <f t="shared" si="111"/>
        <v>Último tercio</v>
      </c>
      <c r="AE284" s="103">
        <f t="shared" si="112"/>
        <v>19.908658202644702</v>
      </c>
      <c r="AF284" s="102" t="str">
        <f t="shared" si="113"/>
        <v xml:space="preserve"> presentamos  nuestro último lanzamiento de belleza  imperdible  </v>
      </c>
      <c r="AG284" s="102" t="str">
        <f t="shared" si="114"/>
        <v xml:space="preserve"> una innovación que cambiará tu rutina   sé de los primeros  </v>
      </c>
      <c r="AH284" s="102" t="str">
        <f>IF(SUMPRODUCT(--(LEFT(IF(LEFT(LOWER(E284),1)="¡",MID(LOWER(E284),2,300),LOWER(E284)),LEN({"actualizaci","el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Sí</v>
      </c>
      <c r="AI284" s="102" t="str">
        <f>IF(OR(SUMPRODUCT(--ISNUMBER(SEARCH({"descuento","oferta","ahorr","precio"," sale ","flash","deals"},AF284)))&gt;0,SUMPRODUCT(--ISNUMBER(SEARCH({"descuento","oferta","ahorr","precio"," sale ","flash","deals"},AG284)))&gt;0),"Sí","No")</f>
        <v>No</v>
      </c>
      <c r="AJ284" s="102" t="str">
        <f>IF(SUMPRODUCT(--ISNUMBER(SEARCH({" hoy ","horas","tiempo limitado","antes de que","se acab","se agot","finalic","última oportunidad","oportunidad única","relámpago","express","no esperes","no volver","no parpadees"},AF284)))&gt;0,"Sí","No")</f>
        <v>No</v>
      </c>
      <c r="AK284" s="102" t="str">
        <f>IF(SUMPRODUCT(--ISNUMBER(SEARCH({" hoy ","horas","tiempo limitado","antes de que","se acab","se agot","finalic","última oportunidad","oportunidad única","relámpago","express","no esperes","no volver","no parpadees"},AG284)))&gt;0,"Sí","No")</f>
        <v>No</v>
      </c>
      <c r="AL284" s="102" t="str">
        <f t="shared" si="115"/>
        <v>Sin descuento</v>
      </c>
      <c r="AM284" s="102" t="str">
        <f>IF(SUMPRODUCT(--ISNUMBER(SEARCH({"0","1","2","3","4","5","6","7","8","9","favorit","maquillaje","piel","cabello","productos","belleza","regalo"},E284)))&gt;0,"Sí","No")</f>
        <v>Sí</v>
      </c>
      <c r="AN284" s="102" t="str">
        <f>IF(SUMPRODUCT(--ISNUMBER(SEARCH({"lo que tenemos","estas ofertas","algo especial","ofertas únicas","que preparamos","no te quedes","echa un vistazo"},F284)))&gt;0,"Sí","No")</f>
        <v>No</v>
      </c>
      <c r="AO284" s="102">
        <f t="shared" si="116"/>
        <v>63</v>
      </c>
      <c r="AP284" s="102">
        <f t="shared" si="117"/>
        <v>7</v>
      </c>
      <c r="AQ284" s="102">
        <f>SUMPRODUCT(LEN(E284)-LEN(SUBSTITUTE(E284,{"!","¡","?","¿",":",",",".","%","·","-",";"},"")))</f>
        <v>3</v>
      </c>
      <c r="AR284" s="102" t="str">
        <f t="shared" si="118"/>
        <v>No</v>
      </c>
      <c r="AS284" s="102" t="str">
        <f t="shared" si="119"/>
        <v>No</v>
      </c>
      <c r="AT284" s="102" t="str">
        <f>IF(SUMPRODUCT(--ISNUMBER(FIND({"0","1","2","3","4","5","6","7","8","9"},E284)))&gt;0,"Con cifra concreta",IF(OR(ISNUMBER(FIND("?",E284)),ISNUMBER(FIND("¿",E284))),"Pregunta abierta",IF(SUMPRODUCT(--ISNUMBER(SEARCH({" hoy ","horas","tiempo limitado","antes de que","se acab","se agot","finalic","última oportunidad","oportunidad única","relámpago","express","no esperes","no volver","no parpadees"," ya ","últimas horas","últimas unidades"," ahora "},AF284)))&gt;0,"Solo urgencia, sin cifra",IF(SUMPRODUCT(--ISNUMBER(SEARCH({"recompensa","sorpresa","regalo","lealtad","detalle","gracias","pensamos en ti","para ti"},E284)))&gt;0,"Recompensa o sorpresa","Otro: beneficio o novedad"))))</f>
        <v>Otro: beneficio o novedad</v>
      </c>
    </row>
    <row r="285" spans="1:46" x14ac:dyDescent="0.2">
      <c r="A285" s="96" t="s">
        <v>1156</v>
      </c>
      <c r="B285" s="96" t="s">
        <v>276</v>
      </c>
      <c r="C285" s="96" t="s">
        <v>917</v>
      </c>
      <c r="D285" s="96" t="s">
        <v>774</v>
      </c>
      <c r="E285" s="96" t="s">
        <v>474</v>
      </c>
      <c r="F285" s="96" t="s">
        <v>475</v>
      </c>
      <c r="G285" s="97">
        <v>217460</v>
      </c>
      <c r="H285" s="97">
        <v>55234</v>
      </c>
      <c r="I285" s="97">
        <v>18484</v>
      </c>
      <c r="J285" s="98">
        <v>2.98</v>
      </c>
      <c r="K285" s="98">
        <v>4.18</v>
      </c>
      <c r="L285" s="99">
        <v>87556.79</v>
      </c>
      <c r="M285" s="100">
        <f t="shared" si="96"/>
        <v>25.39961372206383</v>
      </c>
      <c r="N285" s="100">
        <f t="shared" si="97"/>
        <v>8.4999540145314079</v>
      </c>
      <c r="O285" s="100">
        <f t="shared" si="98"/>
        <v>33.464894811167035</v>
      </c>
      <c r="P285" s="100">
        <f t="shared" si="99"/>
        <v>402.63400165547688</v>
      </c>
      <c r="Q285" s="100">
        <f t="shared" si="100"/>
        <v>22.775066640377752</v>
      </c>
      <c r="R285" s="100">
        <f t="shared" si="101"/>
        <v>29.440902453236173</v>
      </c>
      <c r="S285" s="101">
        <f t="shared" si="102"/>
        <v>45916</v>
      </c>
      <c r="T285" s="102" t="str">
        <f t="shared" si="103"/>
        <v>Septiembre</v>
      </c>
      <c r="U285" s="102" t="str">
        <f t="shared" si="104"/>
        <v>Martes</v>
      </c>
      <c r="V285" s="102">
        <f t="shared" si="105"/>
        <v>11</v>
      </c>
      <c r="W285" s="102" t="str">
        <f t="shared" si="106"/>
        <v>Quincena</v>
      </c>
      <c r="X285" s="102">
        <f t="shared" si="107"/>
        <v>27</v>
      </c>
      <c r="Y285" s="102" t="str">
        <f t="shared" si="108"/>
        <v>Sí</v>
      </c>
      <c r="Z285" s="102" t="str">
        <f>CHOOSE(MATCH(B285,{"Customer Appreciation","Exclusive Offers","Flash Sale","Holiday Discounts","New Product Launch","Newsletter"},0),"Fidelizar","Vender","Vender","Vender","Lanzar","Educar")</f>
        <v>Vender</v>
      </c>
      <c r="AA285" s="102" t="str">
        <f t="shared" si="109"/>
        <v>200 a 300 mil</v>
      </c>
      <c r="AB285" s="102">
        <f>COUNTIFS($E$5:$E$493,E285,$S$5:$S$493,"&lt;"&amp;S285)+COUNTIFS($E$5:E285,E285,$S$5:S285,S285)</f>
        <v>12</v>
      </c>
      <c r="AC285" s="102">
        <f t="shared" si="110"/>
        <v>20</v>
      </c>
      <c r="AD285" s="102" t="str">
        <f t="shared" si="111"/>
        <v>Medio</v>
      </c>
      <c r="AE285" s="103">
        <f t="shared" si="112"/>
        <v>2.6245470816860781</v>
      </c>
      <c r="AF285" s="102" t="str">
        <f t="shared" si="113"/>
        <v xml:space="preserve">  aprovecha antes de que se acabe  oferta flash  productos top </v>
      </c>
      <c r="AG285" s="102" t="str">
        <f t="shared" si="114"/>
        <v xml:space="preserve"> grandes descuentos por tiempo limitado   no te lo pierdas  </v>
      </c>
      <c r="AH285" s="102" t="str">
        <f>IF(SUMPRODUCT(--(LEFT(IF(LEFT(LOWER(E285),1)="¡",MID(LOWER(E285),2,300),LOWER(E285)),LEN({"actualizaci","el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285" s="102" t="str">
        <f>IF(OR(SUMPRODUCT(--ISNUMBER(SEARCH({"descuento","oferta","ahorr","precio"," sale ","flash","deals"},AF285)))&gt;0,SUMPRODUCT(--ISNUMBER(SEARCH({"descuento","oferta","ahorr","precio"," sale ","flash","deals"},AG285)))&gt;0),"Sí","No")</f>
        <v>Sí</v>
      </c>
      <c r="AJ285" s="102" t="str">
        <f>IF(SUMPRODUCT(--ISNUMBER(SEARCH({" hoy ","horas","tiempo limitado","antes de que","se acab","se agot","finalic","última oportunidad","oportunidad única","relámpago","express","no esperes","no volver","no parpadees"},AF285)))&gt;0,"Sí","No")</f>
        <v>Sí</v>
      </c>
      <c r="AK285" s="102" t="str">
        <f>IF(SUMPRODUCT(--ISNUMBER(SEARCH({" hoy ","horas","tiempo limitado","antes de que","se acab","se agot","finalic","última oportunidad","oportunidad única","relámpago","express","no esperes","no volver","no parpadees"},AG285)))&gt;0,"Sí","No")</f>
        <v>Sí</v>
      </c>
      <c r="AL285" s="102" t="str">
        <f t="shared" si="115"/>
        <v>Descuento con tiempo límite en el asunto</v>
      </c>
      <c r="AM285" s="102" t="str">
        <f>IF(SUMPRODUCT(--ISNUMBER(SEARCH({"0","1","2","3","4","5","6","7","8","9","favorit","maquillaje","piel","cabello","productos","belleza","regalo"},E285)))&gt;0,"Sí","No")</f>
        <v>Sí</v>
      </c>
      <c r="AN285" s="102" t="str">
        <f>IF(SUMPRODUCT(--ISNUMBER(SEARCH({"lo que tenemos","estas ofertas","algo especial","ofertas únicas","que preparamos","no te quedes","echa un vistazo"},F285)))&gt;0,"Sí","No")</f>
        <v>No</v>
      </c>
      <c r="AO285" s="102">
        <f t="shared" si="116"/>
        <v>61</v>
      </c>
      <c r="AP285" s="102">
        <f t="shared" si="117"/>
        <v>10</v>
      </c>
      <c r="AQ285" s="102">
        <f>SUMPRODUCT(LEN(E285)-LEN(SUBSTITUTE(E285,{"!","¡","?","¿",":",",",".","%","·","-",";"},"")))</f>
        <v>3</v>
      </c>
      <c r="AR285" s="102" t="str">
        <f t="shared" si="118"/>
        <v>No</v>
      </c>
      <c r="AS285" s="102" t="str">
        <f t="shared" si="119"/>
        <v>No</v>
      </c>
      <c r="AT285" s="102" t="str">
        <f>IF(SUMPRODUCT(--ISNUMBER(FIND({"0","1","2","3","4","5","6","7","8","9"},E285)))&gt;0,"Con cifra concreta",IF(OR(ISNUMBER(FIND("?",E285)),ISNUMBER(FIND("¿",E285))),"Pregunta abierta",IF(SUMPRODUCT(--ISNUMBER(SEARCH({" hoy ","horas","tiempo limitado","antes de que","se acab","se agot","finalic","última oportunidad","oportunidad única","relámpago","express","no esperes","no volver","no parpadees"," ya ","últimas horas","últimas unidades"," ahora "},AF285)))&gt;0,"Solo urgencia, sin cifra",IF(SUMPRODUCT(--ISNUMBER(SEARCH({"recompensa","sorpresa","regalo","lealtad","detalle","gracias","pensamos en ti","para ti"},E285)))&gt;0,"Recompensa o sorpresa","Otro: beneficio o novedad"))))</f>
        <v>Solo urgencia, sin cifra</v>
      </c>
    </row>
    <row r="286" spans="1:46" x14ac:dyDescent="0.2">
      <c r="A286" s="104" t="s">
        <v>1157</v>
      </c>
      <c r="B286" s="104" t="s">
        <v>279</v>
      </c>
      <c r="C286" s="104" t="s">
        <v>923</v>
      </c>
      <c r="D286" s="104" t="s">
        <v>729</v>
      </c>
      <c r="E286" s="104" t="s">
        <v>370</v>
      </c>
      <c r="F286" s="104" t="s">
        <v>485</v>
      </c>
      <c r="G286" s="105">
        <v>237982</v>
      </c>
      <c r="H286" s="105">
        <v>20942</v>
      </c>
      <c r="I286" s="105">
        <v>14041</v>
      </c>
      <c r="J286" s="106">
        <v>5.9</v>
      </c>
      <c r="K286" s="106">
        <v>1.5</v>
      </c>
      <c r="L286" s="107">
        <v>18570.03</v>
      </c>
      <c r="M286" s="108">
        <f t="shared" si="96"/>
        <v>8.7998251968636279</v>
      </c>
      <c r="N286" s="108">
        <f t="shared" si="97"/>
        <v>5.9000260523905173</v>
      </c>
      <c r="O286" s="108">
        <f t="shared" si="98"/>
        <v>67.047082418107152</v>
      </c>
      <c r="P286" s="108">
        <f t="shared" si="99"/>
        <v>78.031237656629486</v>
      </c>
      <c r="Q286" s="108">
        <f t="shared" si="100"/>
        <v>15.908213539730554</v>
      </c>
      <c r="R286" s="108">
        <f t="shared" si="101"/>
        <v>27.75136451093497</v>
      </c>
      <c r="S286" s="101">
        <f t="shared" si="102"/>
        <v>45873</v>
      </c>
      <c r="T286" s="102" t="str">
        <f t="shared" si="103"/>
        <v>Agosto</v>
      </c>
      <c r="U286" s="102" t="str">
        <f t="shared" si="104"/>
        <v>Lunes</v>
      </c>
      <c r="V286" s="102">
        <f t="shared" si="105"/>
        <v>10</v>
      </c>
      <c r="W286" s="102" t="str">
        <f t="shared" si="106"/>
        <v>Días después del pago</v>
      </c>
      <c r="X286" s="102">
        <f t="shared" si="107"/>
        <v>24</v>
      </c>
      <c r="Y286" s="102" t="str">
        <f t="shared" si="108"/>
        <v>Sí</v>
      </c>
      <c r="Z286" s="102" t="str">
        <f>CHOOSE(MATCH(B286,{"Customer Appreciation","Exclusive Offers","Flash Sale","Holiday Discounts","New Product Launch","Newsletter"},0),"Fidelizar","Vender","Vender","Vender","Lanzar","Educar")</f>
        <v>Educar</v>
      </c>
      <c r="AA286" s="102" t="str">
        <f t="shared" si="109"/>
        <v>200 a 300 mil</v>
      </c>
      <c r="AB286" s="102">
        <f>COUNTIFS($E$5:$E$493,E286,$S$5:$S$493,"&lt;"&amp;S286)+COUNTIFS($E$5:E286,E286,$S$5:S286,S286)</f>
        <v>1</v>
      </c>
      <c r="AC286" s="102">
        <f t="shared" si="110"/>
        <v>10</v>
      </c>
      <c r="AD286" s="102" t="str">
        <f t="shared" si="111"/>
        <v>Primer tercio</v>
      </c>
      <c r="AE286" s="103">
        <f t="shared" si="112"/>
        <v>-7.1083883428669257</v>
      </c>
      <c r="AF286" s="102" t="str">
        <f t="shared" si="113"/>
        <v xml:space="preserve"> actualización de l'oréal   qué hay de nuevo en el mundo beauty  </v>
      </c>
      <c r="AG286" s="102" t="str">
        <f t="shared" si="114"/>
        <v xml:space="preserve"> no te quedes atrás con las últimas tendencias   descubre más  </v>
      </c>
      <c r="AH286" s="102" t="str">
        <f>IF(SUMPRODUCT(--(LEFT(IF(LEFT(LOWER(E286),1)="¡",MID(LOWER(E286),2,300),LOWER(E286)),LEN({"actualizaci","el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Sí</v>
      </c>
      <c r="AI286" s="102" t="str">
        <f>IF(OR(SUMPRODUCT(--ISNUMBER(SEARCH({"descuento","oferta","ahorr","precio"," sale ","flash","deals"},AF286)))&gt;0,SUMPRODUCT(--ISNUMBER(SEARCH({"descuento","oferta","ahorr","precio"," sale ","flash","deals"},AG286)))&gt;0),"Sí","No")</f>
        <v>No</v>
      </c>
      <c r="AJ286" s="102" t="str">
        <f>IF(SUMPRODUCT(--ISNUMBER(SEARCH({" hoy ","horas","tiempo limitado","antes de que","se acab","se agot","finalic","última oportunidad","oportunidad única","relámpago","express","no esperes","no volver","no parpadees"},AF286)))&gt;0,"Sí","No")</f>
        <v>No</v>
      </c>
      <c r="AK286" s="102" t="str">
        <f>IF(SUMPRODUCT(--ISNUMBER(SEARCH({" hoy ","horas","tiempo limitado","antes de que","se acab","se agot","finalic","última oportunidad","oportunidad única","relámpago","express","no esperes","no volver","no parpadees"},AG286)))&gt;0,"Sí","No")</f>
        <v>No</v>
      </c>
      <c r="AL286" s="102" t="str">
        <f t="shared" si="115"/>
        <v>Sin descuento</v>
      </c>
      <c r="AM286" s="102" t="str">
        <f>IF(SUMPRODUCT(--ISNUMBER(SEARCH({"0","1","2","3","4","5","6","7","8","9","favorit","maquillaje","piel","cabello","productos","belleza","regalo"},E286)))&gt;0,"Sí","No")</f>
        <v>No</v>
      </c>
      <c r="AN286" s="102" t="str">
        <f>IF(SUMPRODUCT(--ISNUMBER(SEARCH({"lo que tenemos","estas ofertas","algo especial","ofertas únicas","que preparamos","no te quedes","echa un vistazo"},F286)))&gt;0,"Sí","No")</f>
        <v>Sí</v>
      </c>
      <c r="AO286" s="102">
        <f t="shared" si="116"/>
        <v>63</v>
      </c>
      <c r="AP286" s="102">
        <f t="shared" si="117"/>
        <v>11</v>
      </c>
      <c r="AQ286" s="102">
        <f>SUMPRODUCT(LEN(E286)-LEN(SUBSTITUTE(E286,{"!","¡","?","¿",":",",",".","%","·","-",";"},"")))</f>
        <v>3</v>
      </c>
      <c r="AR286" s="102" t="str">
        <f t="shared" si="118"/>
        <v>No</v>
      </c>
      <c r="AS286" s="102" t="str">
        <f t="shared" si="119"/>
        <v>No</v>
      </c>
      <c r="AT286" s="102" t="str">
        <f>IF(SUMPRODUCT(--ISNUMBER(FIND({"0","1","2","3","4","5","6","7","8","9"},E286)))&gt;0,"Con cifra concreta",IF(OR(ISNUMBER(FIND("?",E286)),ISNUMBER(FIND("¿",E286))),"Pregunta abierta",IF(SUMPRODUCT(--ISNUMBER(SEARCH({" hoy ","horas","tiempo limitado","antes de que","se acab","se agot","finalic","última oportunidad","oportunidad única","relámpago","express","no esperes","no volver","no parpadees"," ya ","últimas horas","últimas unidades"," ahora "},AF286)))&gt;0,"Solo urgencia, sin cifra",IF(SUMPRODUCT(--ISNUMBER(SEARCH({"recompensa","sorpresa","regalo","lealtad","detalle","gracias","pensamos en ti","para ti"},E286)))&gt;0,"Recompensa o sorpresa","Otro: beneficio o novedad"))))</f>
        <v>Pregunta abierta</v>
      </c>
    </row>
    <row r="287" spans="1:46" x14ac:dyDescent="0.2">
      <c r="A287" s="96" t="s">
        <v>1158</v>
      </c>
      <c r="B287" s="96" t="s">
        <v>276</v>
      </c>
      <c r="C287" s="96" t="s">
        <v>793</v>
      </c>
      <c r="D287" s="96" t="s">
        <v>947</v>
      </c>
      <c r="E287" s="96" t="s">
        <v>692</v>
      </c>
      <c r="F287" s="96" t="s">
        <v>693</v>
      </c>
      <c r="G287" s="97">
        <v>391565</v>
      </c>
      <c r="H287" s="97">
        <v>50567</v>
      </c>
      <c r="I287" s="97">
        <v>45904</v>
      </c>
      <c r="J287" s="98">
        <v>6.61</v>
      </c>
      <c r="K287" s="98">
        <v>1.92</v>
      </c>
      <c r="L287" s="99">
        <v>18017.63</v>
      </c>
      <c r="M287" s="100">
        <f t="shared" si="96"/>
        <v>12.914075568551835</v>
      </c>
      <c r="N287" s="100">
        <f t="shared" si="97"/>
        <v>11.72321325961207</v>
      </c>
      <c r="O287" s="100">
        <f t="shared" si="98"/>
        <v>90.778571004805514</v>
      </c>
      <c r="P287" s="100">
        <f t="shared" si="99"/>
        <v>46.014403738842852</v>
      </c>
      <c r="Q287" s="100">
        <f t="shared" si="100"/>
        <v>10.812608203610466</v>
      </c>
      <c r="R287" s="100">
        <f t="shared" si="101"/>
        <v>29.440902453236173</v>
      </c>
      <c r="S287" s="101">
        <f t="shared" si="102"/>
        <v>45939</v>
      </c>
      <c r="T287" s="102" t="str">
        <f t="shared" si="103"/>
        <v>Octubre</v>
      </c>
      <c r="U287" s="102" t="str">
        <f t="shared" si="104"/>
        <v>Jueves</v>
      </c>
      <c r="V287" s="102">
        <f t="shared" si="105"/>
        <v>9</v>
      </c>
      <c r="W287" s="102" t="str">
        <f t="shared" si="106"/>
        <v>Resto del mes</v>
      </c>
      <c r="X287" s="102">
        <f t="shared" si="107"/>
        <v>27</v>
      </c>
      <c r="Y287" s="102" t="str">
        <f t="shared" si="108"/>
        <v>Sí</v>
      </c>
      <c r="Z287" s="102" t="str">
        <f>CHOOSE(MATCH(B287,{"Customer Appreciation","Exclusive Offers","Flash Sale","Holiday Discounts","New Product Launch","Newsletter"},0),"Fidelizar","Vender","Vender","Vender","Lanzar","Educar")</f>
        <v>Vender</v>
      </c>
      <c r="AA287" s="102" t="str">
        <f t="shared" si="109"/>
        <v>300 a 400 mil</v>
      </c>
      <c r="AB287" s="102">
        <f>COUNTIFS($E$5:$E$493,E287,$S$5:$S$493,"&lt;"&amp;S287)+COUNTIFS($E$5:E287,E287,$S$5:S287,S287)</f>
        <v>3</v>
      </c>
      <c r="AC287" s="102">
        <f t="shared" si="110"/>
        <v>4</v>
      </c>
      <c r="AD287" s="102" t="str">
        <f t="shared" si="111"/>
        <v/>
      </c>
      <c r="AE287" s="103">
        <f t="shared" si="112"/>
        <v>2.1014673649413691</v>
      </c>
      <c r="AF287" s="102" t="str">
        <f t="shared" si="113"/>
        <v xml:space="preserve">  últimas horas  flash sale  no te quedes sin tu descuento </v>
      </c>
      <c r="AG287" s="102" t="str">
        <f t="shared" si="114"/>
        <v xml:space="preserve"> solo por hoy  descuentos increíbles en tus favoritos   compra ahora  </v>
      </c>
      <c r="AH287" s="102" t="str">
        <f>IF(SUMPRODUCT(--(LEFT(IF(LEFT(LOWER(E287),1)="¡",MID(LOWER(E287),2,300),LOWER(E287)),LEN({"actualizaci","el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Sí</v>
      </c>
      <c r="AI287" s="102" t="str">
        <f>IF(OR(SUMPRODUCT(--ISNUMBER(SEARCH({"descuento","oferta","ahorr","precio"," sale ","flash","deals"},AF287)))&gt;0,SUMPRODUCT(--ISNUMBER(SEARCH({"descuento","oferta","ahorr","precio"," sale ","flash","deals"},AG287)))&gt;0),"Sí","No")</f>
        <v>Sí</v>
      </c>
      <c r="AJ287" s="102" t="str">
        <f>IF(SUMPRODUCT(--ISNUMBER(SEARCH({" hoy ","horas","tiempo limitado","antes de que","se acab","se agot","finalic","última oportunidad","oportunidad única","relámpago","express","no esperes","no volver","no parpadees"},AF287)))&gt;0,"Sí","No")</f>
        <v>Sí</v>
      </c>
      <c r="AK287" s="102" t="str">
        <f>IF(SUMPRODUCT(--ISNUMBER(SEARCH({" hoy ","horas","tiempo limitado","antes de que","se acab","se agot","finalic","última oportunidad","oportunidad única","relámpago","express","no esperes","no volver","no parpadees"},AG287)))&gt;0,"Sí","No")</f>
        <v>Sí</v>
      </c>
      <c r="AL287" s="102" t="str">
        <f t="shared" si="115"/>
        <v>Descuento con tiempo límite en el asunto</v>
      </c>
      <c r="AM287" s="102" t="str">
        <f>IF(SUMPRODUCT(--ISNUMBER(SEARCH({"0","1","2","3","4","5","6","7","8","9","favorit","maquillaje","piel","cabello","productos","belleza","regalo"},E287)))&gt;0,"Sí","No")</f>
        <v>No</v>
      </c>
      <c r="AN287" s="102" t="str">
        <f>IF(SUMPRODUCT(--ISNUMBER(SEARCH({"lo que tenemos","estas ofertas","algo especial","ofertas únicas","que preparamos","no te quedes","echa un vistazo"},F287)))&gt;0,"Sí","No")</f>
        <v>No</v>
      </c>
      <c r="AO287" s="102">
        <f t="shared" si="116"/>
        <v>57</v>
      </c>
      <c r="AP287" s="102">
        <f t="shared" si="117"/>
        <v>10</v>
      </c>
      <c r="AQ287" s="102">
        <f>SUMPRODUCT(LEN(E287)-LEN(SUBSTITUTE(E287,{"!","¡","?","¿",":",",",".","%","·","-",";"},"")))</f>
        <v>3</v>
      </c>
      <c r="AR287" s="102" t="str">
        <f t="shared" si="118"/>
        <v>No</v>
      </c>
      <c r="AS287" s="102" t="str">
        <f t="shared" si="119"/>
        <v>No</v>
      </c>
      <c r="AT287" s="102" t="str">
        <f>IF(SUMPRODUCT(--ISNUMBER(FIND({"0","1","2","3","4","5","6","7","8","9"},E287)))&gt;0,"Con cifra concreta",IF(OR(ISNUMBER(FIND("?",E287)),ISNUMBER(FIND("¿",E287))),"Pregunta abierta",IF(SUMPRODUCT(--ISNUMBER(SEARCH({" hoy ","horas","tiempo limitado","antes de que","se acab","se agot","finalic","última oportunidad","oportunidad única","relámpago","express","no esperes","no volver","no parpadees"," ya ","últimas horas","últimas unidades"," ahora "},AF287)))&gt;0,"Solo urgencia, sin cifra",IF(SUMPRODUCT(--ISNUMBER(SEARCH({"recompensa","sorpresa","regalo","lealtad","detalle","gracias","pensamos en ti","para ti"},E287)))&gt;0,"Recompensa o sorpresa","Otro: beneficio o novedad"))))</f>
        <v>Solo urgencia, sin cifra</v>
      </c>
    </row>
    <row r="288" spans="1:46" x14ac:dyDescent="0.2">
      <c r="A288" s="104" t="s">
        <v>1159</v>
      </c>
      <c r="B288" s="104" t="s">
        <v>277</v>
      </c>
      <c r="C288" s="104" t="s">
        <v>830</v>
      </c>
      <c r="D288" s="104" t="s">
        <v>950</v>
      </c>
      <c r="E288" s="104" t="s">
        <v>476</v>
      </c>
      <c r="F288" s="104" t="s">
        <v>477</v>
      </c>
      <c r="G288" s="105">
        <v>75814</v>
      </c>
      <c r="H288" s="105">
        <v>9863</v>
      </c>
      <c r="I288" s="105">
        <v>9638</v>
      </c>
      <c r="J288" s="106">
        <v>2.37</v>
      </c>
      <c r="K288" s="106">
        <v>2.29</v>
      </c>
      <c r="L288" s="107">
        <v>88252.28</v>
      </c>
      <c r="M288" s="108">
        <f t="shared" si="96"/>
        <v>13.009470546337088</v>
      </c>
      <c r="N288" s="108">
        <f t="shared" si="97"/>
        <v>12.712691587305775</v>
      </c>
      <c r="O288" s="108">
        <f t="shared" si="98"/>
        <v>97.718746831592824</v>
      </c>
      <c r="P288" s="108">
        <f t="shared" si="99"/>
        <v>1164.063101801778</v>
      </c>
      <c r="Q288" s="108">
        <f t="shared" si="100"/>
        <v>21.434915192427972</v>
      </c>
      <c r="R288" s="108">
        <f t="shared" si="101"/>
        <v>30.71114383300629</v>
      </c>
      <c r="S288" s="101">
        <f t="shared" si="102"/>
        <v>45901</v>
      </c>
      <c r="T288" s="102" t="str">
        <f t="shared" si="103"/>
        <v>Septiembre</v>
      </c>
      <c r="U288" s="102" t="str">
        <f t="shared" si="104"/>
        <v>Lunes</v>
      </c>
      <c r="V288" s="102">
        <f t="shared" si="105"/>
        <v>14</v>
      </c>
      <c r="W288" s="102" t="str">
        <f t="shared" si="106"/>
        <v>Quincena</v>
      </c>
      <c r="X288" s="102">
        <f t="shared" si="107"/>
        <v>29</v>
      </c>
      <c r="Y288" s="102" t="str">
        <f t="shared" si="108"/>
        <v>Sí</v>
      </c>
      <c r="Z288" s="102" t="str">
        <f>CHOOSE(MATCH(B288,{"Customer Appreciation","Exclusive Offers","Flash Sale","Holiday Discounts","New Product Launch","Newsletter"},0),"Fidelizar","Vender","Vender","Vender","Lanzar","Educar")</f>
        <v>Vender</v>
      </c>
      <c r="AA288" s="102" t="str">
        <f t="shared" si="109"/>
        <v>Menos de 100 mil</v>
      </c>
      <c r="AB288" s="102">
        <f>COUNTIFS($E$5:$E$493,E288,$S$5:$S$493,"&lt;"&amp;S288)+COUNTIFS($E$5:E288,E288,$S$5:S288,S288)</f>
        <v>6</v>
      </c>
      <c r="AC288" s="102">
        <f t="shared" si="110"/>
        <v>10</v>
      </c>
      <c r="AD288" s="102" t="str">
        <f t="shared" si="111"/>
        <v>Medio</v>
      </c>
      <c r="AE288" s="103">
        <f t="shared" si="112"/>
        <v>-8.4254446460908845</v>
      </c>
      <c r="AF288" s="102" t="str">
        <f t="shared" si="113"/>
        <v xml:space="preserve">  ofertas de temporada  listas para ti  regalos perfectos </v>
      </c>
      <c r="AG288" s="102" t="str">
        <f t="shared" si="114"/>
        <v xml:space="preserve"> los mejores productos para tus celebraciones te esperan   descubre  </v>
      </c>
      <c r="AH288" s="102" t="str">
        <f>IF(SUMPRODUCT(--(LEFT(IF(LEFT(LOWER(E288),1)="¡",MID(LOWER(E288),2,300),LOWER(E288)),LEN({"actualizaci","el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Sí</v>
      </c>
      <c r="AI288" s="102" t="str">
        <f>IF(OR(SUMPRODUCT(--ISNUMBER(SEARCH({"descuento","oferta","ahorr","precio"," sale ","flash","deals"},AF288)))&gt;0,SUMPRODUCT(--ISNUMBER(SEARCH({"descuento","oferta","ahorr","precio"," sale ","flash","deals"},AG288)))&gt;0),"Sí","No")</f>
        <v>Sí</v>
      </c>
      <c r="AJ288" s="102" t="str">
        <f>IF(SUMPRODUCT(--ISNUMBER(SEARCH({" hoy ","horas","tiempo limitado","antes de que","se acab","se agot","finalic","última oportunidad","oportunidad única","relámpago","express","no esperes","no volver","no parpadees"},AF288)))&gt;0,"Sí","No")</f>
        <v>No</v>
      </c>
      <c r="AK288" s="102" t="str">
        <f>IF(SUMPRODUCT(--ISNUMBER(SEARCH({" hoy ","horas","tiempo limitado","antes de que","se acab","se agot","finalic","última oportunidad","oportunidad única","relámpago","express","no esperes","no volver","no parpadees"},AG288)))&gt;0,"Sí","No")</f>
        <v>No</v>
      </c>
      <c r="AL288" s="102" t="str">
        <f t="shared" si="115"/>
        <v>Descuento sin tiempo límite</v>
      </c>
      <c r="AM288" s="102" t="str">
        <f>IF(SUMPRODUCT(--ISNUMBER(SEARCH({"0","1","2","3","4","5","6","7","8","9","favorit","maquillaje","piel","cabello","productos","belleza","regalo"},E288)))&gt;0,"Sí","No")</f>
        <v>Sí</v>
      </c>
      <c r="AN288" s="102" t="str">
        <f>IF(SUMPRODUCT(--ISNUMBER(SEARCH({"lo que tenemos","estas ofertas","algo especial","ofertas únicas","que preparamos","no te quedes","echa un vistazo"},F288)))&gt;0,"Sí","No")</f>
        <v>No</v>
      </c>
      <c r="AO288" s="102">
        <f t="shared" si="116"/>
        <v>56</v>
      </c>
      <c r="AP288" s="102">
        <f t="shared" si="117"/>
        <v>8</v>
      </c>
      <c r="AQ288" s="102">
        <f>SUMPRODUCT(LEN(E288)-LEN(SUBSTITUTE(E288,{"!","¡","?","¿",":",",",".","%","·","-",";"},"")))</f>
        <v>3</v>
      </c>
      <c r="AR288" s="102" t="str">
        <f t="shared" si="118"/>
        <v>Sí</v>
      </c>
      <c r="AS288" s="102" t="str">
        <f t="shared" si="119"/>
        <v>No</v>
      </c>
      <c r="AT288" s="102" t="str">
        <f>IF(SUMPRODUCT(--ISNUMBER(FIND({"0","1","2","3","4","5","6","7","8","9"},E288)))&gt;0,"Con cifra concreta",IF(OR(ISNUMBER(FIND("?",E288)),ISNUMBER(FIND("¿",E288))),"Pregunta abierta",IF(SUMPRODUCT(--ISNUMBER(SEARCH({" hoy ","horas","tiempo limitado","antes de que","se acab","se agot","finalic","última oportunidad","oportunidad única","relámpago","express","no esperes","no volver","no parpadees"," ya ","últimas horas","últimas unidades"," ahora "},AF288)))&gt;0,"Solo urgencia, sin cifra",IF(SUMPRODUCT(--ISNUMBER(SEARCH({"recompensa","sorpresa","regalo","lealtad","detalle","gracias","pensamos en ti","para ti"},E288)))&gt;0,"Recompensa o sorpresa","Otro: beneficio o novedad"))))</f>
        <v>Recompensa o sorpresa</v>
      </c>
    </row>
    <row r="289" spans="1:46" x14ac:dyDescent="0.2">
      <c r="A289" s="96" t="s">
        <v>1160</v>
      </c>
      <c r="B289" s="96" t="s">
        <v>277</v>
      </c>
      <c r="C289" s="96" t="s">
        <v>976</v>
      </c>
      <c r="D289" s="96" t="s">
        <v>751</v>
      </c>
      <c r="E289" s="96" t="s">
        <v>469</v>
      </c>
      <c r="F289" s="96" t="s">
        <v>470</v>
      </c>
      <c r="G289" s="97">
        <v>331220</v>
      </c>
      <c r="H289" s="97">
        <v>82875</v>
      </c>
      <c r="I289" s="97">
        <v>24076</v>
      </c>
      <c r="J289" s="98">
        <v>2.14</v>
      </c>
      <c r="K289" s="98">
        <v>2.0499999999999998</v>
      </c>
      <c r="L289" s="99">
        <v>18297.75</v>
      </c>
      <c r="M289" s="100">
        <f t="shared" si="96"/>
        <v>25.021133989493389</v>
      </c>
      <c r="N289" s="100">
        <f t="shared" si="97"/>
        <v>7.2688847291830196</v>
      </c>
      <c r="O289" s="100">
        <f t="shared" si="98"/>
        <v>29.050980392156863</v>
      </c>
      <c r="P289" s="100">
        <f t="shared" si="99"/>
        <v>55.24349375037739</v>
      </c>
      <c r="Q289" s="100">
        <f t="shared" si="100"/>
        <v>29.233022524783024</v>
      </c>
      <c r="R289" s="100">
        <f t="shared" si="101"/>
        <v>30.71114383300629</v>
      </c>
      <c r="S289" s="101">
        <f t="shared" si="102"/>
        <v>45892</v>
      </c>
      <c r="T289" s="102" t="str">
        <f t="shared" si="103"/>
        <v>Agosto</v>
      </c>
      <c r="U289" s="102" t="str">
        <f t="shared" si="104"/>
        <v>Sábado</v>
      </c>
      <c r="V289" s="102">
        <f t="shared" si="105"/>
        <v>11</v>
      </c>
      <c r="W289" s="102" t="str">
        <f t="shared" si="106"/>
        <v>Resto del mes</v>
      </c>
      <c r="X289" s="102">
        <f t="shared" si="107"/>
        <v>25</v>
      </c>
      <c r="Y289" s="102" t="str">
        <f t="shared" si="108"/>
        <v>Sí</v>
      </c>
      <c r="Z289" s="102" t="str">
        <f>CHOOSE(MATCH(B289,{"Customer Appreciation","Exclusive Offers","Flash Sale","Holiday Discounts","New Product Launch","Newsletter"},0),"Fidelizar","Vender","Vender","Vender","Lanzar","Educar")</f>
        <v>Vender</v>
      </c>
      <c r="AA289" s="102" t="str">
        <f t="shared" si="109"/>
        <v>300 a 400 mil</v>
      </c>
      <c r="AB289" s="102">
        <f>COUNTIFS($E$5:$E$493,E289,$S$5:$S$493,"&lt;"&amp;S289)+COUNTIFS($E$5:E289,E289,$S$5:S289,S289)</f>
        <v>5</v>
      </c>
      <c r="AC289" s="102">
        <f t="shared" si="110"/>
        <v>20</v>
      </c>
      <c r="AD289" s="102" t="str">
        <f t="shared" si="111"/>
        <v>Primer tercio</v>
      </c>
      <c r="AE289" s="103">
        <f t="shared" si="112"/>
        <v>-4.2118885352896349</v>
      </c>
      <c r="AF289" s="102" t="str">
        <f t="shared" si="113"/>
        <v xml:space="preserve">  celebra con nosotros  descuentos festivos para regalar </v>
      </c>
      <c r="AG289" s="102" t="str">
        <f t="shared" si="114"/>
        <v xml:space="preserve"> regalos perfectos y ofertas que te encantarán   descubre más  </v>
      </c>
      <c r="AH289" s="102" t="str">
        <f>IF(SUMPRODUCT(--(LEFT(IF(LEFT(LOWER(E289),1)="¡",MID(LOWER(E289),2,300),LOWER(E289)),LEN({"actualizaci","el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289" s="102" t="str">
        <f>IF(OR(SUMPRODUCT(--ISNUMBER(SEARCH({"descuento","oferta","ahorr","precio"," sale ","flash","deals"},AF289)))&gt;0,SUMPRODUCT(--ISNUMBER(SEARCH({"descuento","oferta","ahorr","precio"," sale ","flash","deals"},AG289)))&gt;0),"Sí","No")</f>
        <v>Sí</v>
      </c>
      <c r="AJ289" s="102" t="str">
        <f>IF(SUMPRODUCT(--ISNUMBER(SEARCH({" hoy ","horas","tiempo limitado","antes de que","se acab","se agot","finalic","última oportunidad","oportunidad única","relámpago","express","no esperes","no volver","no parpadees"},AF289)))&gt;0,"Sí","No")</f>
        <v>No</v>
      </c>
      <c r="AK289" s="102" t="str">
        <f>IF(SUMPRODUCT(--ISNUMBER(SEARCH({" hoy ","horas","tiempo limitado","antes de que","se acab","se agot","finalic","última oportunidad","oportunidad única","relámpago","express","no esperes","no volver","no parpadees"},AG289)))&gt;0,"Sí","No")</f>
        <v>No</v>
      </c>
      <c r="AL289" s="102" t="str">
        <f t="shared" si="115"/>
        <v>Descuento sin tiempo límite</v>
      </c>
      <c r="AM289" s="102" t="str">
        <f>IF(SUMPRODUCT(--ISNUMBER(SEARCH({"0","1","2","3","4","5","6","7","8","9","favorit","maquillaje","piel","cabello","productos","belleza","regalo"},E289)))&gt;0,"Sí","No")</f>
        <v>No</v>
      </c>
      <c r="AN289" s="102" t="str">
        <f>IF(SUMPRODUCT(--ISNUMBER(SEARCH({"lo que tenemos","estas ofertas","algo especial","ofertas únicas","que preparamos","no te quedes","echa un vistazo"},F289)))&gt;0,"Sí","No")</f>
        <v>No</v>
      </c>
      <c r="AO289" s="102">
        <f t="shared" si="116"/>
        <v>55</v>
      </c>
      <c r="AP289" s="102">
        <f t="shared" si="117"/>
        <v>7</v>
      </c>
      <c r="AQ289" s="102">
        <f>SUMPRODUCT(LEN(E289)-LEN(SUBSTITUTE(E289,{"!","¡","?","¿",":",",",".","%","·","-",";"},"")))</f>
        <v>2</v>
      </c>
      <c r="AR289" s="102" t="str">
        <f t="shared" si="118"/>
        <v>Sí</v>
      </c>
      <c r="AS289" s="102" t="str">
        <f t="shared" si="119"/>
        <v>No</v>
      </c>
      <c r="AT289" s="102" t="str">
        <f>IF(SUMPRODUCT(--ISNUMBER(FIND({"0","1","2","3","4","5","6","7","8","9"},E289)))&gt;0,"Con cifra concreta",IF(OR(ISNUMBER(FIND("?",E289)),ISNUMBER(FIND("¿",E289))),"Pregunta abierta",IF(SUMPRODUCT(--ISNUMBER(SEARCH({" hoy ","horas","tiempo limitado","antes de que","se acab","se agot","finalic","última oportunidad","oportunidad única","relámpago","express","no esperes","no volver","no parpadees"," ya ","últimas horas","últimas unidades"," ahora "},AF289)))&gt;0,"Solo urgencia, sin cifra",IF(SUMPRODUCT(--ISNUMBER(SEARCH({"recompensa","sorpresa","regalo","lealtad","detalle","gracias","pensamos en ti","para ti"},E289)))&gt;0,"Recompensa o sorpresa","Otro: beneficio o novedad"))))</f>
        <v>Otro: beneficio o novedad</v>
      </c>
    </row>
    <row r="290" spans="1:46" x14ac:dyDescent="0.2">
      <c r="A290" s="104" t="s">
        <v>1161</v>
      </c>
      <c r="B290" s="104" t="s">
        <v>274</v>
      </c>
      <c r="C290" s="104" t="s">
        <v>742</v>
      </c>
      <c r="D290" s="104" t="s">
        <v>702</v>
      </c>
      <c r="E290" s="104" t="s">
        <v>371</v>
      </c>
      <c r="F290" s="104" t="s">
        <v>452</v>
      </c>
      <c r="G290" s="105">
        <v>255991</v>
      </c>
      <c r="H290" s="105">
        <v>92601</v>
      </c>
      <c r="I290" s="105">
        <v>42188</v>
      </c>
      <c r="J290" s="106">
        <v>8.7100000000000009</v>
      </c>
      <c r="K290" s="106">
        <v>1.78</v>
      </c>
      <c r="L290" s="107">
        <v>63655.48</v>
      </c>
      <c r="M290" s="108">
        <f t="shared" si="96"/>
        <v>36.173537350922494</v>
      </c>
      <c r="N290" s="108">
        <f t="shared" si="97"/>
        <v>16.480266884382655</v>
      </c>
      <c r="O290" s="108">
        <f t="shared" si="98"/>
        <v>45.558903251584752</v>
      </c>
      <c r="P290" s="108">
        <f t="shared" si="99"/>
        <v>248.66296080721588</v>
      </c>
      <c r="Q290" s="108">
        <f t="shared" si="100"/>
        <v>40.72142758959253</v>
      </c>
      <c r="R290" s="108">
        <f t="shared" si="101"/>
        <v>31.113650744455075</v>
      </c>
      <c r="S290" s="101">
        <f t="shared" si="102"/>
        <v>45948</v>
      </c>
      <c r="T290" s="102" t="str">
        <f t="shared" si="103"/>
        <v>Octubre</v>
      </c>
      <c r="U290" s="102" t="str">
        <f t="shared" si="104"/>
        <v>Sábado</v>
      </c>
      <c r="V290" s="102">
        <f t="shared" si="105"/>
        <v>16</v>
      </c>
      <c r="W290" s="102" t="str">
        <f t="shared" si="106"/>
        <v>Días después del pago</v>
      </c>
      <c r="X290" s="102">
        <f t="shared" si="107"/>
        <v>27</v>
      </c>
      <c r="Y290" s="102" t="str">
        <f t="shared" si="108"/>
        <v>Sí</v>
      </c>
      <c r="Z290" s="102" t="str">
        <f>CHOOSE(MATCH(B290,{"Customer Appreciation","Exclusive Offers","Flash Sale","Holiday Discounts","New Product Launch","Newsletter"},0),"Fidelizar","Vender","Vender","Vender","Lanzar","Educar")</f>
        <v>Fidelizar</v>
      </c>
      <c r="AA290" s="102" t="str">
        <f t="shared" si="109"/>
        <v>200 a 300 mil</v>
      </c>
      <c r="AB290" s="102">
        <f>COUNTIFS($E$5:$E$493,E290,$S$5:$S$493,"&lt;"&amp;S290)+COUNTIFS($E$5:E290,E290,$S$5:S290,S290)</f>
        <v>16</v>
      </c>
      <c r="AC290" s="102">
        <f t="shared" si="110"/>
        <v>16</v>
      </c>
      <c r="AD290" s="102" t="str">
        <f t="shared" si="111"/>
        <v>Último tercio</v>
      </c>
      <c r="AE290" s="103">
        <f t="shared" si="112"/>
        <v>-4.5478902386700355</v>
      </c>
      <c r="AF290" s="102" t="str">
        <f t="shared" si="113"/>
        <v xml:space="preserve">  tu lealtad tiene recompensa  descúbrela  sorpresas para ti </v>
      </c>
      <c r="AG290" s="102" t="str">
        <f t="shared" si="114"/>
        <v xml:space="preserve"> ofertas exclusivas para nuestros clientes más especiales   no te las pierdas  </v>
      </c>
      <c r="AH290" s="102" t="str">
        <f>IF(SUMPRODUCT(--(LEFT(IF(LEFT(LOWER(E290),1)="¡",MID(LOWER(E290),2,300),LOWER(E290)),LEN({"actualizaci","el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290" s="102" t="str">
        <f>IF(OR(SUMPRODUCT(--ISNUMBER(SEARCH({"descuento","oferta","ahorr","precio"," sale ","flash","deals"},AF290)))&gt;0,SUMPRODUCT(--ISNUMBER(SEARCH({"descuento","oferta","ahorr","precio"," sale ","flash","deals"},AG290)))&gt;0),"Sí","No")</f>
        <v>Sí</v>
      </c>
      <c r="AJ290" s="102" t="str">
        <f>IF(SUMPRODUCT(--ISNUMBER(SEARCH({" hoy ","horas","tiempo limitado","antes de que","se acab","se agot","finalic","última oportunidad","oportunidad única","relámpago","express","no esperes","no volver","no parpadees"},AF290)))&gt;0,"Sí","No")</f>
        <v>No</v>
      </c>
      <c r="AK290" s="102" t="str">
        <f>IF(SUMPRODUCT(--ISNUMBER(SEARCH({" hoy ","horas","tiempo limitado","antes de que","se acab","se agot","finalic","última oportunidad","oportunidad única","relámpago","express","no esperes","no volver","no parpadees"},AG290)))&gt;0,"Sí","No")</f>
        <v>No</v>
      </c>
      <c r="AL290" s="102" t="str">
        <f t="shared" si="115"/>
        <v>Descuento sin tiempo límite</v>
      </c>
      <c r="AM290" s="102" t="str">
        <f>IF(SUMPRODUCT(--ISNUMBER(SEARCH({"0","1","2","3","4","5","6","7","8","9","favorit","maquillaje","piel","cabello","productos","belleza","regalo"},E290)))&gt;0,"Sí","No")</f>
        <v>No</v>
      </c>
      <c r="AN290" s="102" t="str">
        <f>IF(SUMPRODUCT(--ISNUMBER(SEARCH({"lo que tenemos","estas ofertas","algo especial","ofertas únicas","que preparamos","no te quedes","echa un vistazo"},F290)))&gt;0,"Sí","No")</f>
        <v>No</v>
      </c>
      <c r="AO290" s="102">
        <f t="shared" si="116"/>
        <v>59</v>
      </c>
      <c r="AP290" s="102">
        <f t="shared" si="117"/>
        <v>8</v>
      </c>
      <c r="AQ290" s="102">
        <f>SUMPRODUCT(LEN(E290)-LEN(SUBSTITUTE(E290,{"!","¡","?","¿",":",",",".","%","·","-",";"},"")))</f>
        <v>3</v>
      </c>
      <c r="AR290" s="102" t="str">
        <f t="shared" si="118"/>
        <v>Sí</v>
      </c>
      <c r="AS290" s="102" t="str">
        <f t="shared" si="119"/>
        <v>No</v>
      </c>
      <c r="AT290" s="102" t="str">
        <f>IF(SUMPRODUCT(--ISNUMBER(FIND({"0","1","2","3","4","5","6","7","8","9"},E290)))&gt;0,"Con cifra concreta",IF(OR(ISNUMBER(FIND("?",E290)),ISNUMBER(FIND("¿",E290))),"Pregunta abierta",IF(SUMPRODUCT(--ISNUMBER(SEARCH({" hoy ","horas","tiempo limitado","antes de que","se acab","se agot","finalic","última oportunidad","oportunidad única","relámpago","express","no esperes","no volver","no parpadees"," ya ","últimas horas","últimas unidades"," ahora "},AF290)))&gt;0,"Solo urgencia, sin cifra",IF(SUMPRODUCT(--ISNUMBER(SEARCH({"recompensa","sorpresa","regalo","lealtad","detalle","gracias","pensamos en ti","para ti"},E290)))&gt;0,"Recompensa o sorpresa","Otro: beneficio o novedad"))))</f>
        <v>Recompensa o sorpresa</v>
      </c>
    </row>
    <row r="291" spans="1:46" x14ac:dyDescent="0.2">
      <c r="A291" s="96" t="s">
        <v>1162</v>
      </c>
      <c r="B291" s="96" t="s">
        <v>277</v>
      </c>
      <c r="C291" s="96" t="s">
        <v>773</v>
      </c>
      <c r="D291" s="96" t="s">
        <v>707</v>
      </c>
      <c r="E291" s="96" t="s">
        <v>461</v>
      </c>
      <c r="F291" s="96" t="s">
        <v>462</v>
      </c>
      <c r="G291" s="97">
        <v>309582</v>
      </c>
      <c r="H291" s="97">
        <v>105574</v>
      </c>
      <c r="I291" s="97">
        <v>34547</v>
      </c>
      <c r="J291" s="98">
        <v>9.81</v>
      </c>
      <c r="K291" s="98">
        <v>4.24</v>
      </c>
      <c r="L291" s="99">
        <v>73811.42</v>
      </c>
      <c r="M291" s="100">
        <f t="shared" si="96"/>
        <v>34.102111879889655</v>
      </c>
      <c r="N291" s="100">
        <f t="shared" si="97"/>
        <v>11.159240524319889</v>
      </c>
      <c r="O291" s="100">
        <f t="shared" si="98"/>
        <v>32.72301892511414</v>
      </c>
      <c r="P291" s="100">
        <f t="shared" si="99"/>
        <v>238.42284112125381</v>
      </c>
      <c r="Q291" s="100">
        <f t="shared" si="100"/>
        <v>35.409886702202286</v>
      </c>
      <c r="R291" s="100">
        <f t="shared" si="101"/>
        <v>30.71114383300629</v>
      </c>
      <c r="S291" s="101">
        <f t="shared" si="102"/>
        <v>45909</v>
      </c>
      <c r="T291" s="102" t="str">
        <f t="shared" si="103"/>
        <v>Septiembre</v>
      </c>
      <c r="U291" s="102" t="str">
        <f t="shared" si="104"/>
        <v>Martes</v>
      </c>
      <c r="V291" s="102">
        <f t="shared" si="105"/>
        <v>13</v>
      </c>
      <c r="W291" s="102" t="str">
        <f t="shared" si="106"/>
        <v>Resto del mes</v>
      </c>
      <c r="X291" s="102">
        <f t="shared" si="107"/>
        <v>28</v>
      </c>
      <c r="Y291" s="102" t="str">
        <f t="shared" si="108"/>
        <v>Sí</v>
      </c>
      <c r="Z291" s="102" t="str">
        <f>CHOOSE(MATCH(B291,{"Customer Appreciation","Exclusive Offers","Flash Sale","Holiday Discounts","New Product Launch","Newsletter"},0),"Fidelizar","Vender","Vender","Vender","Lanzar","Educar")</f>
        <v>Vender</v>
      </c>
      <c r="AA291" s="102" t="str">
        <f t="shared" si="109"/>
        <v>300 a 400 mil</v>
      </c>
      <c r="AB291" s="102">
        <f>COUNTIFS($E$5:$E$493,E291,$S$5:$S$493,"&lt;"&amp;S291)+COUNTIFS($E$5:E291,E291,$S$5:S291,S291)</f>
        <v>18</v>
      </c>
      <c r="AC291" s="102">
        <f t="shared" si="110"/>
        <v>30</v>
      </c>
      <c r="AD291" s="102" t="str">
        <f t="shared" si="111"/>
        <v>Medio</v>
      </c>
      <c r="AE291" s="103">
        <f t="shared" si="112"/>
        <v>-1.3077748223126306</v>
      </c>
      <c r="AF291" s="102" t="str">
        <f t="shared" si="113"/>
        <v xml:space="preserve">  regalos perfectos te esperan  descuentos de lujo  l'oréal </v>
      </c>
      <c r="AG291" s="102" t="str">
        <f t="shared" si="114"/>
        <v xml:space="preserve"> encuentra ese detalle especial para ti o tus seres queridos   descubre  </v>
      </c>
      <c r="AH291" s="102" t="str">
        <f>IF(SUMPRODUCT(--(LEFT(IF(LEFT(LOWER(E291),1)="¡",MID(LOWER(E291),2,300),LOWER(E291)),LEN({"actualizaci","el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291" s="102" t="str">
        <f>IF(OR(SUMPRODUCT(--ISNUMBER(SEARCH({"descuento","oferta","ahorr","precio"," sale ","flash","deals"},AF291)))&gt;0,SUMPRODUCT(--ISNUMBER(SEARCH({"descuento","oferta","ahorr","precio"," sale ","flash","deals"},AG291)))&gt;0),"Sí","No")</f>
        <v>Sí</v>
      </c>
      <c r="AJ291" s="102" t="str">
        <f>IF(SUMPRODUCT(--ISNUMBER(SEARCH({" hoy ","horas","tiempo limitado","antes de que","se acab","se agot","finalic","última oportunidad","oportunidad única","relámpago","express","no esperes","no volver","no parpadees"},AF291)))&gt;0,"Sí","No")</f>
        <v>No</v>
      </c>
      <c r="AK291" s="102" t="str">
        <f>IF(SUMPRODUCT(--ISNUMBER(SEARCH({" hoy ","horas","tiempo limitado","antes de que","se acab","se agot","finalic","última oportunidad","oportunidad única","relámpago","express","no esperes","no volver","no parpadees"},AG291)))&gt;0,"Sí","No")</f>
        <v>No</v>
      </c>
      <c r="AL291" s="102" t="str">
        <f t="shared" si="115"/>
        <v>Descuento sin tiempo límite</v>
      </c>
      <c r="AM291" s="102" t="str">
        <f>IF(SUMPRODUCT(--ISNUMBER(SEARCH({"0","1","2","3","4","5","6","7","8","9","favorit","maquillaje","piel","cabello","productos","belleza","regalo"},E291)))&gt;0,"Sí","No")</f>
        <v>Sí</v>
      </c>
      <c r="AN291" s="102" t="str">
        <f>IF(SUMPRODUCT(--ISNUMBER(SEARCH({"lo que tenemos","estas ofertas","algo especial","ofertas únicas","que preparamos","no te quedes","echa un vistazo"},F291)))&gt;0,"Sí","No")</f>
        <v>No</v>
      </c>
      <c r="AO291" s="102">
        <f t="shared" si="116"/>
        <v>58</v>
      </c>
      <c r="AP291" s="102">
        <f t="shared" si="117"/>
        <v>8</v>
      </c>
      <c r="AQ291" s="102">
        <f>SUMPRODUCT(LEN(E291)-LEN(SUBSTITUTE(E291,{"!","¡","?","¿",":",",",".","%","·","-",";"},"")))</f>
        <v>3</v>
      </c>
      <c r="AR291" s="102" t="str">
        <f t="shared" si="118"/>
        <v>Sí</v>
      </c>
      <c r="AS291" s="102" t="str">
        <f t="shared" si="119"/>
        <v>No</v>
      </c>
      <c r="AT291" s="102" t="str">
        <f>IF(SUMPRODUCT(--ISNUMBER(FIND({"0","1","2","3","4","5","6","7","8","9"},E291)))&gt;0,"Con cifra concreta",IF(OR(ISNUMBER(FIND("?",E291)),ISNUMBER(FIND("¿",E291))),"Pregunta abierta",IF(SUMPRODUCT(--ISNUMBER(SEARCH({" hoy ","horas","tiempo limitado","antes de que","se acab","se agot","finalic","última oportunidad","oportunidad única","relámpago","express","no esperes","no volver","no parpadees"," ya ","últimas horas","últimas unidades"," ahora "},AF291)))&gt;0,"Solo urgencia, sin cifra",IF(SUMPRODUCT(--ISNUMBER(SEARCH({"recompensa","sorpresa","regalo","lealtad","detalle","gracias","pensamos en ti","para ti"},E291)))&gt;0,"Recompensa o sorpresa","Otro: beneficio o novedad"))))</f>
        <v>Recompensa o sorpresa</v>
      </c>
    </row>
    <row r="292" spans="1:46" x14ac:dyDescent="0.2">
      <c r="A292" s="104" t="s">
        <v>1163</v>
      </c>
      <c r="B292" s="104" t="s">
        <v>275</v>
      </c>
      <c r="C292" s="104" t="s">
        <v>980</v>
      </c>
      <c r="D292" s="104" t="s">
        <v>824</v>
      </c>
      <c r="E292" s="104" t="s">
        <v>455</v>
      </c>
      <c r="F292" s="104" t="s">
        <v>456</v>
      </c>
      <c r="G292" s="105">
        <v>350579</v>
      </c>
      <c r="H292" s="105">
        <v>151525</v>
      </c>
      <c r="I292" s="105">
        <v>43854</v>
      </c>
      <c r="J292" s="106">
        <v>0.73</v>
      </c>
      <c r="K292" s="106">
        <v>4.0199999999999996</v>
      </c>
      <c r="L292" s="107">
        <v>34346.129999999997</v>
      </c>
      <c r="M292" s="108">
        <f t="shared" si="96"/>
        <v>43.221356669965971</v>
      </c>
      <c r="N292" s="108">
        <f t="shared" si="97"/>
        <v>12.509020791319504</v>
      </c>
      <c r="O292" s="108">
        <f t="shared" si="98"/>
        <v>28.941758785678928</v>
      </c>
      <c r="P292" s="108">
        <f t="shared" si="99"/>
        <v>97.969730075104323</v>
      </c>
      <c r="Q292" s="108">
        <f t="shared" si="100"/>
        <v>38.720231784441999</v>
      </c>
      <c r="R292" s="108">
        <f t="shared" si="101"/>
        <v>27.021447627328243</v>
      </c>
      <c r="S292" s="101">
        <f t="shared" si="102"/>
        <v>45875</v>
      </c>
      <c r="T292" s="102" t="str">
        <f t="shared" si="103"/>
        <v>Agosto</v>
      </c>
      <c r="U292" s="102" t="str">
        <f t="shared" si="104"/>
        <v>Miércoles</v>
      </c>
      <c r="V292" s="102">
        <f t="shared" si="105"/>
        <v>10</v>
      </c>
      <c r="W292" s="102" t="str">
        <f t="shared" si="106"/>
        <v>Resto del mes</v>
      </c>
      <c r="X292" s="102">
        <f t="shared" si="107"/>
        <v>28</v>
      </c>
      <c r="Y292" s="102" t="str">
        <f t="shared" si="108"/>
        <v>Sí</v>
      </c>
      <c r="Z292" s="102" t="str">
        <f>CHOOSE(MATCH(B292,{"Customer Appreciation","Exclusive Offers","Flash Sale","Holiday Discounts","New Product Launch","Newsletter"},0),"Fidelizar","Vender","Vender","Vender","Lanzar","Educar")</f>
        <v>Vender</v>
      </c>
      <c r="AA292" s="102" t="str">
        <f t="shared" si="109"/>
        <v>300 a 400 mil</v>
      </c>
      <c r="AB292" s="102">
        <f>COUNTIFS($E$5:$E$493,E292,$S$5:$S$493,"&lt;"&amp;S292)+COUNTIFS($E$5:E292,E292,$S$5:S292,S292)</f>
        <v>4</v>
      </c>
      <c r="AC292" s="102">
        <f t="shared" si="110"/>
        <v>15</v>
      </c>
      <c r="AD292" s="102" t="str">
        <f t="shared" si="111"/>
        <v>Primer tercio</v>
      </c>
      <c r="AE292" s="103">
        <f t="shared" si="112"/>
        <v>4.5011248855239714</v>
      </c>
      <c r="AF292" s="102" t="str">
        <f t="shared" si="113"/>
        <v xml:space="preserve">  solo un clic te separa de estas ofertas  l'oréal paris </v>
      </c>
      <c r="AG292" s="102" t="str">
        <f t="shared" si="114"/>
        <v xml:space="preserve"> descuentos irresistibles en productos seleccionados   últimas horas  </v>
      </c>
      <c r="AH292" s="102" t="str">
        <f>IF(SUMPRODUCT(--(LEFT(IF(LEFT(LOWER(E292),1)="¡",MID(LOWER(E292),2,300),LOWER(E292)),LEN({"actualizaci","el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292" s="102" t="str">
        <f>IF(OR(SUMPRODUCT(--ISNUMBER(SEARCH({"descuento","oferta","ahorr","precio"," sale ","flash","deals"},AF292)))&gt;0,SUMPRODUCT(--ISNUMBER(SEARCH({"descuento","oferta","ahorr","precio"," sale ","flash","deals"},AG292)))&gt;0),"Sí","No")</f>
        <v>Sí</v>
      </c>
      <c r="AJ292" s="102" t="str">
        <f>IF(SUMPRODUCT(--ISNUMBER(SEARCH({" hoy ","horas","tiempo limitado","antes de que","se acab","se agot","finalic","última oportunidad","oportunidad única","relámpago","express","no esperes","no volver","no parpadees"},AF292)))&gt;0,"Sí","No")</f>
        <v>No</v>
      </c>
      <c r="AK292" s="102" t="str">
        <f>IF(SUMPRODUCT(--ISNUMBER(SEARCH({" hoy ","horas","tiempo limitado","antes de que","se acab","se agot","finalic","última oportunidad","oportunidad única","relámpago","express","no esperes","no volver","no parpadees"},AG292)))&gt;0,"Sí","No")</f>
        <v>Sí</v>
      </c>
      <c r="AL292" s="102" t="str">
        <f t="shared" si="115"/>
        <v>Descuento con tiempo límite solo en el preheader</v>
      </c>
      <c r="AM292" s="102" t="str">
        <f>IF(SUMPRODUCT(--ISNUMBER(SEARCH({"0","1","2","3","4","5","6","7","8","9","favorit","maquillaje","piel","cabello","productos","belleza","regalo"},E292)))&gt;0,"Sí","No")</f>
        <v>No</v>
      </c>
      <c r="AN292" s="102" t="str">
        <f>IF(SUMPRODUCT(--ISNUMBER(SEARCH({"lo que tenemos","estas ofertas","algo especial","ofertas únicas","que preparamos","no te quedes","echa un vistazo"},F292)))&gt;0,"Sí","No")</f>
        <v>No</v>
      </c>
      <c r="AO292" s="102">
        <f t="shared" si="116"/>
        <v>55</v>
      </c>
      <c r="AP292" s="102">
        <f t="shared" si="117"/>
        <v>10</v>
      </c>
      <c r="AQ292" s="102">
        <f>SUMPRODUCT(LEN(E292)-LEN(SUBSTITUTE(E292,{"!","¡","?","¿",":",",",".","%","·","-",";"},"")))</f>
        <v>2</v>
      </c>
      <c r="AR292" s="102" t="str">
        <f t="shared" si="118"/>
        <v>No</v>
      </c>
      <c r="AS292" s="102" t="str">
        <f t="shared" si="119"/>
        <v>No</v>
      </c>
      <c r="AT292" s="102" t="str">
        <f>IF(SUMPRODUCT(--ISNUMBER(FIND({"0","1","2","3","4","5","6","7","8","9"},E292)))&gt;0,"Con cifra concreta",IF(OR(ISNUMBER(FIND("?",E292)),ISNUMBER(FIND("¿",E292))),"Pregunta abierta",IF(SUMPRODUCT(--ISNUMBER(SEARCH({" hoy ","horas","tiempo limitado","antes de que","se acab","se agot","finalic","última oportunidad","oportunidad única","relámpago","express","no esperes","no volver","no parpadees"," ya ","últimas horas","últimas unidades"," ahora "},AF292)))&gt;0,"Solo urgencia, sin cifra",IF(SUMPRODUCT(--ISNUMBER(SEARCH({"recompensa","sorpresa","regalo","lealtad","detalle","gracias","pensamos en ti","para ti"},E292)))&gt;0,"Recompensa o sorpresa","Otro: beneficio o novedad"))))</f>
        <v>Otro: beneficio o novedad</v>
      </c>
    </row>
    <row r="293" spans="1:46" x14ac:dyDescent="0.2">
      <c r="A293" s="96" t="s">
        <v>1164</v>
      </c>
      <c r="B293" s="96" t="s">
        <v>278</v>
      </c>
      <c r="C293" s="96" t="s">
        <v>869</v>
      </c>
      <c r="D293" s="96" t="s">
        <v>821</v>
      </c>
      <c r="E293" s="96" t="s">
        <v>368</v>
      </c>
      <c r="F293" s="96" t="s">
        <v>471</v>
      </c>
      <c r="G293" s="97">
        <v>127805</v>
      </c>
      <c r="H293" s="97">
        <v>16274</v>
      </c>
      <c r="I293" s="97">
        <v>5500</v>
      </c>
      <c r="J293" s="98">
        <v>4.8099999999999996</v>
      </c>
      <c r="K293" s="98">
        <v>4.5599999999999996</v>
      </c>
      <c r="L293" s="99">
        <v>59431.19</v>
      </c>
      <c r="M293" s="100">
        <f t="shared" si="96"/>
        <v>12.733461132193577</v>
      </c>
      <c r="N293" s="100">
        <f t="shared" si="97"/>
        <v>4.3034310081765188</v>
      </c>
      <c r="O293" s="100">
        <f t="shared" si="98"/>
        <v>33.796239400270373</v>
      </c>
      <c r="P293" s="100">
        <f t="shared" si="99"/>
        <v>465.01459254332769</v>
      </c>
      <c r="Q293" s="100">
        <f t="shared" si="100"/>
        <v>23.315840784070005</v>
      </c>
      <c r="R293" s="100">
        <f t="shared" si="101"/>
        <v>29.458247936272421</v>
      </c>
      <c r="S293" s="101">
        <f t="shared" si="102"/>
        <v>45917</v>
      </c>
      <c r="T293" s="102" t="str">
        <f t="shared" si="103"/>
        <v>Septiembre</v>
      </c>
      <c r="U293" s="102" t="str">
        <f t="shared" si="104"/>
        <v>Miércoles</v>
      </c>
      <c r="V293" s="102">
        <f t="shared" si="105"/>
        <v>8</v>
      </c>
      <c r="W293" s="102" t="str">
        <f t="shared" si="106"/>
        <v>Días después del pago</v>
      </c>
      <c r="X293" s="102">
        <f t="shared" si="107"/>
        <v>26</v>
      </c>
      <c r="Y293" s="102" t="str">
        <f t="shared" si="108"/>
        <v>Sí</v>
      </c>
      <c r="Z293" s="102" t="str">
        <f>CHOOSE(MATCH(B293,{"Customer Appreciation","Exclusive Offers","Flash Sale","Holiday Discounts","New Product Launch","Newsletter"},0),"Fidelizar","Vender","Vender","Vender","Lanzar","Educar")</f>
        <v>Lanzar</v>
      </c>
      <c r="AA293" s="102" t="str">
        <f t="shared" si="109"/>
        <v>100 a 200 mil</v>
      </c>
      <c r="AB293" s="102">
        <f>COUNTIFS($E$5:$E$493,E293,$S$5:$S$493,"&lt;"&amp;S293)+COUNTIFS($E$5:E293,E293,$S$5:S293,S293)</f>
        <v>18</v>
      </c>
      <c r="AC293" s="102">
        <f t="shared" si="110"/>
        <v>33</v>
      </c>
      <c r="AD293" s="102" t="str">
        <f t="shared" si="111"/>
        <v>Medio</v>
      </c>
      <c r="AE293" s="103">
        <f t="shared" si="112"/>
        <v>-10.582379651876428</v>
      </c>
      <c r="AF293" s="102" t="str">
        <f t="shared" si="113"/>
        <v xml:space="preserve"> presentamos  nuestro último lanzamiento de belleza  imperdible  </v>
      </c>
      <c r="AG293" s="102" t="str">
        <f t="shared" si="114"/>
        <v xml:space="preserve"> una innovación que cambiará tu rutina   sé de los primeros  </v>
      </c>
      <c r="AH293" s="102" t="str">
        <f>IF(SUMPRODUCT(--(LEFT(IF(LEFT(LOWER(E293),1)="¡",MID(LOWER(E293),2,300),LOWER(E293)),LEN({"actualizaci","el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Sí</v>
      </c>
      <c r="AI293" s="102" t="str">
        <f>IF(OR(SUMPRODUCT(--ISNUMBER(SEARCH({"descuento","oferta","ahorr","precio"," sale ","flash","deals"},AF293)))&gt;0,SUMPRODUCT(--ISNUMBER(SEARCH({"descuento","oferta","ahorr","precio"," sale ","flash","deals"},AG293)))&gt;0),"Sí","No")</f>
        <v>No</v>
      </c>
      <c r="AJ293" s="102" t="str">
        <f>IF(SUMPRODUCT(--ISNUMBER(SEARCH({" hoy ","horas","tiempo limitado","antes de que","se acab","se agot","finalic","última oportunidad","oportunidad única","relámpago","express","no esperes","no volver","no parpadees"},AF293)))&gt;0,"Sí","No")</f>
        <v>No</v>
      </c>
      <c r="AK293" s="102" t="str">
        <f>IF(SUMPRODUCT(--ISNUMBER(SEARCH({" hoy ","horas","tiempo limitado","antes de que","se acab","se agot","finalic","última oportunidad","oportunidad única","relámpago","express","no esperes","no volver","no parpadees"},AG293)))&gt;0,"Sí","No")</f>
        <v>No</v>
      </c>
      <c r="AL293" s="102" t="str">
        <f t="shared" si="115"/>
        <v>Sin descuento</v>
      </c>
      <c r="AM293" s="102" t="str">
        <f>IF(SUMPRODUCT(--ISNUMBER(SEARCH({"0","1","2","3","4","5","6","7","8","9","favorit","maquillaje","piel","cabello","productos","belleza","regalo"},E293)))&gt;0,"Sí","No")</f>
        <v>Sí</v>
      </c>
      <c r="AN293" s="102" t="str">
        <f>IF(SUMPRODUCT(--ISNUMBER(SEARCH({"lo que tenemos","estas ofertas","algo especial","ofertas únicas","que preparamos","no te quedes","echa un vistazo"},F293)))&gt;0,"Sí","No")</f>
        <v>No</v>
      </c>
      <c r="AO293" s="102">
        <f t="shared" si="116"/>
        <v>63</v>
      </c>
      <c r="AP293" s="102">
        <f t="shared" si="117"/>
        <v>7</v>
      </c>
      <c r="AQ293" s="102">
        <f>SUMPRODUCT(LEN(E293)-LEN(SUBSTITUTE(E293,{"!","¡","?","¿",":",",",".","%","·","-",";"},"")))</f>
        <v>3</v>
      </c>
      <c r="AR293" s="102" t="str">
        <f t="shared" si="118"/>
        <v>No</v>
      </c>
      <c r="AS293" s="102" t="str">
        <f t="shared" si="119"/>
        <v>No</v>
      </c>
      <c r="AT293" s="102" t="str">
        <f>IF(SUMPRODUCT(--ISNUMBER(FIND({"0","1","2","3","4","5","6","7","8","9"},E293)))&gt;0,"Con cifra concreta",IF(OR(ISNUMBER(FIND("?",E293)),ISNUMBER(FIND("¿",E293))),"Pregunta abierta",IF(SUMPRODUCT(--ISNUMBER(SEARCH({" hoy ","horas","tiempo limitado","antes de que","se acab","se agot","finalic","última oportunidad","oportunidad única","relámpago","express","no esperes","no volver","no parpadees"," ya ","últimas horas","últimas unidades"," ahora "},AF293)))&gt;0,"Solo urgencia, sin cifra",IF(SUMPRODUCT(--ISNUMBER(SEARCH({"recompensa","sorpresa","regalo","lealtad","detalle","gracias","pensamos en ti","para ti"},E293)))&gt;0,"Recompensa o sorpresa","Otro: beneficio o novedad"))))</f>
        <v>Otro: beneficio o novedad</v>
      </c>
    </row>
    <row r="294" spans="1:46" x14ac:dyDescent="0.2">
      <c r="A294" s="104" t="s">
        <v>1165</v>
      </c>
      <c r="B294" s="104" t="s">
        <v>279</v>
      </c>
      <c r="C294" s="104" t="s">
        <v>928</v>
      </c>
      <c r="D294" s="104" t="s">
        <v>715</v>
      </c>
      <c r="E294" s="104" t="s">
        <v>472</v>
      </c>
      <c r="F294" s="104" t="s">
        <v>473</v>
      </c>
      <c r="G294" s="105">
        <v>144559</v>
      </c>
      <c r="H294" s="105">
        <v>61376</v>
      </c>
      <c r="I294" s="105">
        <v>6866</v>
      </c>
      <c r="J294" s="106">
        <v>2.34</v>
      </c>
      <c r="K294" s="106">
        <v>0.17</v>
      </c>
      <c r="L294" s="107">
        <v>73137.73</v>
      </c>
      <c r="M294" s="108">
        <f t="shared" si="96"/>
        <v>42.457404935009237</v>
      </c>
      <c r="N294" s="108">
        <f t="shared" si="97"/>
        <v>4.7496178031115326</v>
      </c>
      <c r="O294" s="108">
        <f t="shared" si="98"/>
        <v>11.186783107403546</v>
      </c>
      <c r="P294" s="108">
        <f t="shared" si="99"/>
        <v>505.93688390207461</v>
      </c>
      <c r="Q294" s="108">
        <f t="shared" si="100"/>
        <v>22.891293825435607</v>
      </c>
      <c r="R294" s="108">
        <f t="shared" si="101"/>
        <v>27.75136451093497</v>
      </c>
      <c r="S294" s="101">
        <f t="shared" si="102"/>
        <v>45883</v>
      </c>
      <c r="T294" s="102" t="str">
        <f t="shared" si="103"/>
        <v>Agosto</v>
      </c>
      <c r="U294" s="102" t="str">
        <f t="shared" si="104"/>
        <v>Jueves</v>
      </c>
      <c r="V294" s="102">
        <f t="shared" si="105"/>
        <v>11</v>
      </c>
      <c r="W294" s="102" t="str">
        <f t="shared" si="106"/>
        <v>Quincena</v>
      </c>
      <c r="X294" s="102">
        <f t="shared" si="107"/>
        <v>23</v>
      </c>
      <c r="Y294" s="102" t="str">
        <f t="shared" si="108"/>
        <v>Sí</v>
      </c>
      <c r="Z294" s="102" t="str">
        <f>CHOOSE(MATCH(B294,{"Customer Appreciation","Exclusive Offers","Flash Sale","Holiday Discounts","New Product Launch","Newsletter"},0),"Fidelizar","Vender","Vender","Vender","Lanzar","Educar")</f>
        <v>Educar</v>
      </c>
      <c r="AA294" s="102" t="str">
        <f t="shared" si="109"/>
        <v>100 a 200 mil</v>
      </c>
      <c r="AB294" s="102">
        <f>COUNTIFS($E$5:$E$493,E294,$S$5:$S$493,"&lt;"&amp;S294)+COUNTIFS($E$5:E294,E294,$S$5:S294,S294)</f>
        <v>3</v>
      </c>
      <c r="AC294" s="102">
        <f t="shared" si="110"/>
        <v>22</v>
      </c>
      <c r="AD294" s="102" t="str">
        <f t="shared" si="111"/>
        <v>Primer tercio</v>
      </c>
      <c r="AE294" s="103">
        <f t="shared" si="112"/>
        <v>19.56611110957363</v>
      </c>
      <c r="AF294" s="102" t="str">
        <f t="shared" si="113"/>
        <v xml:space="preserve"> tu dosis semanal de belleza  novedades y tips </v>
      </c>
      <c r="AG294" s="102" t="str">
        <f t="shared" si="114"/>
        <v xml:space="preserve"> novedades  tips y más para tu rutina diaria   entra ya  </v>
      </c>
      <c r="AH294" s="102" t="str">
        <f>IF(SUMPRODUCT(--(LEFT(IF(LEFT(LOWER(E294),1)="¡",MID(LOWER(E294),2,300),LOWER(E294)),LEN({"actualizaci","el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294" s="102" t="str">
        <f>IF(OR(SUMPRODUCT(--ISNUMBER(SEARCH({"descuento","oferta","ahorr","precio"," sale ","flash","deals"},AF294)))&gt;0,SUMPRODUCT(--ISNUMBER(SEARCH({"descuento","oferta","ahorr","precio"," sale ","flash","deals"},AG294)))&gt;0),"Sí","No")</f>
        <v>No</v>
      </c>
      <c r="AJ294" s="102" t="str">
        <f>IF(SUMPRODUCT(--ISNUMBER(SEARCH({" hoy ","horas","tiempo limitado","antes de que","se acab","se agot","finalic","última oportunidad","oportunidad única","relámpago","express","no esperes","no volver","no parpadees"},AF294)))&gt;0,"Sí","No")</f>
        <v>No</v>
      </c>
      <c r="AK294" s="102" t="str">
        <f>IF(SUMPRODUCT(--ISNUMBER(SEARCH({" hoy ","horas","tiempo limitado","antes de que","se acab","se agot","finalic","última oportunidad","oportunidad única","relámpago","express","no esperes","no volver","no parpadees"},AG294)))&gt;0,"Sí","No")</f>
        <v>No</v>
      </c>
      <c r="AL294" s="102" t="str">
        <f t="shared" si="115"/>
        <v>Sin descuento</v>
      </c>
      <c r="AM294" s="102" t="str">
        <f>IF(SUMPRODUCT(--ISNUMBER(SEARCH({"0","1","2","3","4","5","6","7","8","9","favorit","maquillaje","piel","cabello","productos","belleza","regalo"},E294)))&gt;0,"Sí","No")</f>
        <v>Sí</v>
      </c>
      <c r="AN294" s="102" t="str">
        <f>IF(SUMPRODUCT(--ISNUMBER(SEARCH({"lo que tenemos","estas ofertas","algo especial","ofertas únicas","que preparamos","no te quedes","echa un vistazo"},F294)))&gt;0,"Sí","No")</f>
        <v>No</v>
      </c>
      <c r="AO294" s="102">
        <f t="shared" si="116"/>
        <v>45</v>
      </c>
      <c r="AP294" s="102">
        <f t="shared" si="117"/>
        <v>8</v>
      </c>
      <c r="AQ294" s="102">
        <f>SUMPRODUCT(LEN(E294)-LEN(SUBSTITUTE(E294,{"!","¡","?","¿",":",",",".","%","·","-",";"},"")))</f>
        <v>1</v>
      </c>
      <c r="AR294" s="102" t="str">
        <f t="shared" si="118"/>
        <v>Sí</v>
      </c>
      <c r="AS294" s="102" t="str">
        <f t="shared" si="119"/>
        <v>No</v>
      </c>
      <c r="AT294" s="102" t="str">
        <f>IF(SUMPRODUCT(--ISNUMBER(FIND({"0","1","2","3","4","5","6","7","8","9"},E294)))&gt;0,"Con cifra concreta",IF(OR(ISNUMBER(FIND("?",E294)),ISNUMBER(FIND("¿",E294))),"Pregunta abierta",IF(SUMPRODUCT(--ISNUMBER(SEARCH({" hoy ","horas","tiempo limitado","antes de que","se acab","se agot","finalic","última oportunidad","oportunidad única","relámpago","express","no esperes","no volver","no parpadees"," ya ","últimas horas","últimas unidades"," ahora "},AF294)))&gt;0,"Solo urgencia, sin cifra",IF(SUMPRODUCT(--ISNUMBER(SEARCH({"recompensa","sorpresa","regalo","lealtad","detalle","gracias","pensamos en ti","para ti"},E294)))&gt;0,"Recompensa o sorpresa","Otro: beneficio o novedad"))))</f>
        <v>Otro: beneficio o novedad</v>
      </c>
    </row>
    <row r="295" spans="1:46" x14ac:dyDescent="0.2">
      <c r="A295" s="96" t="s">
        <v>1166</v>
      </c>
      <c r="B295" s="96" t="s">
        <v>275</v>
      </c>
      <c r="C295" s="96" t="s">
        <v>944</v>
      </c>
      <c r="D295" s="96" t="s">
        <v>794</v>
      </c>
      <c r="E295" s="96" t="s">
        <v>465</v>
      </c>
      <c r="F295" s="96" t="s">
        <v>466</v>
      </c>
      <c r="G295" s="97">
        <v>126141</v>
      </c>
      <c r="H295" s="97">
        <v>59695</v>
      </c>
      <c r="I295" s="97">
        <v>16649</v>
      </c>
      <c r="J295" s="98">
        <v>6.13</v>
      </c>
      <c r="K295" s="98">
        <v>1.88</v>
      </c>
      <c r="L295" s="99">
        <v>56791.040000000001</v>
      </c>
      <c r="M295" s="100">
        <f t="shared" si="96"/>
        <v>47.324026288042745</v>
      </c>
      <c r="N295" s="100">
        <f t="shared" si="97"/>
        <v>13.198722064990765</v>
      </c>
      <c r="O295" s="100">
        <f t="shared" si="98"/>
        <v>27.890108049250355</v>
      </c>
      <c r="P295" s="100">
        <f t="shared" si="99"/>
        <v>450.21872349196536</v>
      </c>
      <c r="Q295" s="100">
        <f t="shared" si="100"/>
        <v>33.047230763392911</v>
      </c>
      <c r="R295" s="100">
        <f t="shared" si="101"/>
        <v>27.021447627328243</v>
      </c>
      <c r="S295" s="101">
        <f t="shared" si="102"/>
        <v>45943</v>
      </c>
      <c r="T295" s="102" t="str">
        <f t="shared" si="103"/>
        <v>Octubre</v>
      </c>
      <c r="U295" s="102" t="str">
        <f t="shared" si="104"/>
        <v>Lunes</v>
      </c>
      <c r="V295" s="102">
        <f t="shared" si="105"/>
        <v>12</v>
      </c>
      <c r="W295" s="102" t="str">
        <f t="shared" si="106"/>
        <v>Resto del mes</v>
      </c>
      <c r="X295" s="102">
        <f t="shared" si="107"/>
        <v>23</v>
      </c>
      <c r="Y295" s="102" t="str">
        <f t="shared" si="108"/>
        <v>Sí</v>
      </c>
      <c r="Z295" s="102" t="str">
        <f>CHOOSE(MATCH(B295,{"Customer Appreciation","Exclusive Offers","Flash Sale","Holiday Discounts","New Product Launch","Newsletter"},0),"Fidelizar","Vender","Vender","Vender","Lanzar","Educar")</f>
        <v>Vender</v>
      </c>
      <c r="AA295" s="102" t="str">
        <f t="shared" si="109"/>
        <v>100 a 200 mil</v>
      </c>
      <c r="AB295" s="102">
        <f>COUNTIFS($E$5:$E$493,E295,$S$5:$S$493,"&lt;"&amp;S295)+COUNTIFS($E$5:E295,E295,$S$5:S295,S295)</f>
        <v>17</v>
      </c>
      <c r="AC295" s="102">
        <f t="shared" si="110"/>
        <v>22</v>
      </c>
      <c r="AD295" s="102" t="str">
        <f t="shared" si="111"/>
        <v>Último tercio</v>
      </c>
      <c r="AE295" s="103">
        <f t="shared" si="112"/>
        <v>14.276795524649835</v>
      </c>
      <c r="AF295" s="102" t="str">
        <f t="shared" si="113"/>
        <v xml:space="preserve">  ofertas exclusivas  solo para nuestra comunidad vip </v>
      </c>
      <c r="AG295" s="102" t="str">
        <f t="shared" si="114"/>
        <v xml:space="preserve"> productos premium con descuentos únicos   acceso limitado  </v>
      </c>
      <c r="AH295" s="102" t="str">
        <f>IF(SUMPRODUCT(--(LEFT(IF(LEFT(LOWER(E295),1)="¡",MID(LOWER(E295),2,300),LOWER(E295)),LEN({"actualizaci","el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295" s="102" t="str">
        <f>IF(OR(SUMPRODUCT(--ISNUMBER(SEARCH({"descuento","oferta","ahorr","precio"," sale ","flash","deals"},AF295)))&gt;0,SUMPRODUCT(--ISNUMBER(SEARCH({"descuento","oferta","ahorr","precio"," sale ","flash","deals"},AG295)))&gt;0),"Sí","No")</f>
        <v>Sí</v>
      </c>
      <c r="AJ295" s="102" t="str">
        <f>IF(SUMPRODUCT(--ISNUMBER(SEARCH({" hoy ","horas","tiempo limitado","antes de que","se acab","se agot","finalic","última oportunidad","oportunidad única","relámpago","express","no esperes","no volver","no parpadees"},AF295)))&gt;0,"Sí","No")</f>
        <v>No</v>
      </c>
      <c r="AK295" s="102" t="str">
        <f>IF(SUMPRODUCT(--ISNUMBER(SEARCH({" hoy ","horas","tiempo limitado","antes de que","se acab","se agot","finalic","última oportunidad","oportunidad única","relámpago","express","no esperes","no volver","no parpadees"},AG295)))&gt;0,"Sí","No")</f>
        <v>No</v>
      </c>
      <c r="AL295" s="102" t="str">
        <f t="shared" si="115"/>
        <v>Descuento sin tiempo límite</v>
      </c>
      <c r="AM295" s="102" t="str">
        <f>IF(SUMPRODUCT(--ISNUMBER(SEARCH({"0","1","2","3","4","5","6","7","8","9","favorit","maquillaje","piel","cabello","productos","belleza","regalo"},E295)))&gt;0,"Sí","No")</f>
        <v>No</v>
      </c>
      <c r="AN295" s="102" t="str">
        <f>IF(SUMPRODUCT(--ISNUMBER(SEARCH({"lo que tenemos","estas ofertas","algo especial","ofertas únicas","que preparamos","no te quedes","echa un vistazo"},F295)))&gt;0,"Sí","No")</f>
        <v>No</v>
      </c>
      <c r="AO295" s="102">
        <f t="shared" si="116"/>
        <v>52</v>
      </c>
      <c r="AP295" s="102">
        <f t="shared" si="117"/>
        <v>7</v>
      </c>
      <c r="AQ295" s="102">
        <f>SUMPRODUCT(LEN(E295)-LEN(SUBSTITUTE(E295,{"!","¡","?","¿",":",",",".","%","·","-",";"},"")))</f>
        <v>2</v>
      </c>
      <c r="AR295" s="102" t="str">
        <f t="shared" si="118"/>
        <v>Sí</v>
      </c>
      <c r="AS295" s="102" t="str">
        <f t="shared" si="119"/>
        <v>No</v>
      </c>
      <c r="AT295" s="102" t="str">
        <f>IF(SUMPRODUCT(--ISNUMBER(FIND({"0","1","2","3","4","5","6","7","8","9"},E295)))&gt;0,"Con cifra concreta",IF(OR(ISNUMBER(FIND("?",E295)),ISNUMBER(FIND("¿",E295))),"Pregunta abierta",IF(SUMPRODUCT(--ISNUMBER(SEARCH({" hoy ","horas","tiempo limitado","antes de que","se acab","se agot","finalic","última oportunidad","oportunidad única","relámpago","express","no esperes","no volver","no parpadees"," ya ","últimas horas","últimas unidades"," ahora "},AF295)))&gt;0,"Solo urgencia, sin cifra",IF(SUMPRODUCT(--ISNUMBER(SEARCH({"recompensa","sorpresa","regalo","lealtad","detalle","gracias","pensamos en ti","para ti"},E295)))&gt;0,"Recompensa o sorpresa","Otro: beneficio o novedad"))))</f>
        <v>Otro: beneficio o novedad</v>
      </c>
    </row>
    <row r="296" spans="1:46" x14ac:dyDescent="0.2">
      <c r="A296" s="104" t="s">
        <v>1167</v>
      </c>
      <c r="B296" s="104" t="s">
        <v>274</v>
      </c>
      <c r="C296" s="104" t="s">
        <v>891</v>
      </c>
      <c r="D296" s="104" t="s">
        <v>786</v>
      </c>
      <c r="E296" s="104" t="s">
        <v>453</v>
      </c>
      <c r="F296" s="104" t="s">
        <v>454</v>
      </c>
      <c r="G296" s="105">
        <v>253279</v>
      </c>
      <c r="H296" s="105">
        <v>122421</v>
      </c>
      <c r="I296" s="105">
        <v>27681</v>
      </c>
      <c r="J296" s="106">
        <v>2.29</v>
      </c>
      <c r="K296" s="106">
        <v>3.4</v>
      </c>
      <c r="L296" s="107">
        <v>36597.64</v>
      </c>
      <c r="M296" s="108">
        <f t="shared" si="96"/>
        <v>48.334445413950618</v>
      </c>
      <c r="N296" s="108">
        <f t="shared" si="97"/>
        <v>10.929054520903826</v>
      </c>
      <c r="O296" s="108">
        <f t="shared" si="98"/>
        <v>22.611316685862722</v>
      </c>
      <c r="P296" s="108">
        <f t="shared" si="99"/>
        <v>144.49535887302144</v>
      </c>
      <c r="Q296" s="108">
        <f t="shared" si="100"/>
        <v>39.210446566150395</v>
      </c>
      <c r="R296" s="108">
        <f t="shared" si="101"/>
        <v>31.113650744455075</v>
      </c>
      <c r="S296" s="101">
        <f t="shared" si="102"/>
        <v>45888</v>
      </c>
      <c r="T296" s="102" t="str">
        <f t="shared" si="103"/>
        <v>Agosto</v>
      </c>
      <c r="U296" s="102" t="str">
        <f t="shared" si="104"/>
        <v>Martes</v>
      </c>
      <c r="V296" s="102">
        <f t="shared" si="105"/>
        <v>15</v>
      </c>
      <c r="W296" s="102" t="str">
        <f t="shared" si="106"/>
        <v>Días después del pago</v>
      </c>
      <c r="X296" s="102">
        <f t="shared" si="107"/>
        <v>29</v>
      </c>
      <c r="Y296" s="102" t="str">
        <f t="shared" si="108"/>
        <v>Sí</v>
      </c>
      <c r="Z296" s="102" t="str">
        <f>CHOOSE(MATCH(B296,{"Customer Appreciation","Exclusive Offers","Flash Sale","Holiday Discounts","New Product Launch","Newsletter"},0),"Fidelizar","Vender","Vender","Vender","Lanzar","Educar")</f>
        <v>Fidelizar</v>
      </c>
      <c r="AA296" s="102" t="str">
        <f t="shared" si="109"/>
        <v>200 a 300 mil</v>
      </c>
      <c r="AB296" s="102">
        <f>COUNTIFS($E$5:$E$493,E296,$S$5:$S$493,"&lt;"&amp;S296)+COUNTIFS($E$5:E296,E296,$S$5:S296,S296)</f>
        <v>9</v>
      </c>
      <c r="AC296" s="102">
        <f t="shared" si="110"/>
        <v>20</v>
      </c>
      <c r="AD296" s="102" t="str">
        <f t="shared" si="111"/>
        <v>Medio</v>
      </c>
      <c r="AE296" s="103">
        <f t="shared" si="112"/>
        <v>9.1239988478002232</v>
      </c>
      <c r="AF296" s="102" t="str">
        <f t="shared" si="113"/>
        <v xml:space="preserve">  pensamos en ti  descubre estas sorpresas exclusivas </v>
      </c>
      <c r="AG296" s="102" t="str">
        <f t="shared" si="114"/>
        <v xml:space="preserve"> ofertas exclusivas por tu lealtad a l'oréal   aprovecha  </v>
      </c>
      <c r="AH296" s="102" t="str">
        <f>IF(SUMPRODUCT(--(LEFT(IF(LEFT(LOWER(E296),1)="¡",MID(LOWER(E296),2,300),LOWER(E296)),LEN({"actualizaci","el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296" s="102" t="str">
        <f>IF(OR(SUMPRODUCT(--ISNUMBER(SEARCH({"descuento","oferta","ahorr","precio"," sale ","flash","deals"},AF296)))&gt;0,SUMPRODUCT(--ISNUMBER(SEARCH({"descuento","oferta","ahorr","precio"," sale ","flash","deals"},AG296)))&gt;0),"Sí","No")</f>
        <v>Sí</v>
      </c>
      <c r="AJ296" s="102" t="str">
        <f>IF(SUMPRODUCT(--ISNUMBER(SEARCH({" hoy ","horas","tiempo limitado","antes de que","se acab","se agot","finalic","última oportunidad","oportunidad única","relámpago","express","no esperes","no volver","no parpadees"},AF296)))&gt;0,"Sí","No")</f>
        <v>No</v>
      </c>
      <c r="AK296" s="102" t="str">
        <f>IF(SUMPRODUCT(--ISNUMBER(SEARCH({" hoy ","horas","tiempo limitado","antes de que","se acab","se agot","finalic","última oportunidad","oportunidad única","relámpago","express","no esperes","no volver","no parpadees"},AG296)))&gt;0,"Sí","No")</f>
        <v>No</v>
      </c>
      <c r="AL296" s="102" t="str">
        <f t="shared" si="115"/>
        <v>Descuento sin tiempo límite</v>
      </c>
      <c r="AM296" s="102" t="str">
        <f>IF(SUMPRODUCT(--ISNUMBER(SEARCH({"0","1","2","3","4","5","6","7","8","9","favorit","maquillaje","piel","cabello","productos","belleza","regalo"},E296)))&gt;0,"Sí","No")</f>
        <v>No</v>
      </c>
      <c r="AN296" s="102" t="str">
        <f>IF(SUMPRODUCT(--ISNUMBER(SEARCH({"lo que tenemos","estas ofertas","algo especial","ofertas únicas","que preparamos","no te quedes","echa un vistazo"},F296)))&gt;0,"Sí","No")</f>
        <v>No</v>
      </c>
      <c r="AO296" s="102">
        <f t="shared" si="116"/>
        <v>52</v>
      </c>
      <c r="AP296" s="102">
        <f t="shared" si="117"/>
        <v>7</v>
      </c>
      <c r="AQ296" s="102">
        <f>SUMPRODUCT(LEN(E296)-LEN(SUBSTITUTE(E296,{"!","¡","?","¿",":",",",".","%","·","-",";"},"")))</f>
        <v>2</v>
      </c>
      <c r="AR296" s="102" t="str">
        <f t="shared" si="118"/>
        <v>Sí</v>
      </c>
      <c r="AS296" s="102" t="str">
        <f t="shared" si="119"/>
        <v>No</v>
      </c>
      <c r="AT296" s="102" t="str">
        <f>IF(SUMPRODUCT(--ISNUMBER(FIND({"0","1","2","3","4","5","6","7","8","9"},E296)))&gt;0,"Con cifra concreta",IF(OR(ISNUMBER(FIND("?",E296)),ISNUMBER(FIND("¿",E296))),"Pregunta abierta",IF(SUMPRODUCT(--ISNUMBER(SEARCH({" hoy ","horas","tiempo limitado","antes de que","se acab","se agot","finalic","última oportunidad","oportunidad única","relámpago","express","no esperes","no volver","no parpadees"," ya ","últimas horas","últimas unidades"," ahora "},AF296)))&gt;0,"Solo urgencia, sin cifra",IF(SUMPRODUCT(--ISNUMBER(SEARCH({"recompensa","sorpresa","regalo","lealtad","detalle","gracias","pensamos en ti","para ti"},E296)))&gt;0,"Recompensa o sorpresa","Otro: beneficio o novedad"))))</f>
        <v>Recompensa o sorpresa</v>
      </c>
    </row>
    <row r="297" spans="1:46" x14ac:dyDescent="0.2">
      <c r="A297" s="96" t="s">
        <v>1168</v>
      </c>
      <c r="B297" s="96" t="s">
        <v>278</v>
      </c>
      <c r="C297" s="96" t="s">
        <v>915</v>
      </c>
      <c r="D297" s="96" t="s">
        <v>769</v>
      </c>
      <c r="E297" s="96" t="s">
        <v>368</v>
      </c>
      <c r="F297" s="96" t="s">
        <v>471</v>
      </c>
      <c r="G297" s="97">
        <v>93330</v>
      </c>
      <c r="H297" s="97">
        <v>22152</v>
      </c>
      <c r="I297" s="97">
        <v>5348</v>
      </c>
      <c r="J297" s="98">
        <v>4.68</v>
      </c>
      <c r="K297" s="98">
        <v>3.23</v>
      </c>
      <c r="L297" s="99">
        <v>21048.7</v>
      </c>
      <c r="M297" s="100">
        <f t="shared" si="96"/>
        <v>23.735133397621343</v>
      </c>
      <c r="N297" s="100">
        <f t="shared" si="97"/>
        <v>5.7302046501660771</v>
      </c>
      <c r="O297" s="100">
        <f t="shared" si="98"/>
        <v>24.142289635247383</v>
      </c>
      <c r="P297" s="100">
        <f t="shared" si="99"/>
        <v>225.52984035144112</v>
      </c>
      <c r="Q297" s="100">
        <f t="shared" si="100"/>
        <v>23.315840784070005</v>
      </c>
      <c r="R297" s="100">
        <f t="shared" si="101"/>
        <v>29.458247936272421</v>
      </c>
      <c r="S297" s="101">
        <f t="shared" si="102"/>
        <v>45954</v>
      </c>
      <c r="T297" s="102" t="str">
        <f t="shared" si="103"/>
        <v>Octubre</v>
      </c>
      <c r="U297" s="102" t="str">
        <f t="shared" si="104"/>
        <v>Viernes</v>
      </c>
      <c r="V297" s="102">
        <f t="shared" si="105"/>
        <v>13</v>
      </c>
      <c r="W297" s="102" t="str">
        <f t="shared" si="106"/>
        <v>Resto del mes</v>
      </c>
      <c r="X297" s="102">
        <f t="shared" si="107"/>
        <v>29</v>
      </c>
      <c r="Y297" s="102" t="str">
        <f t="shared" si="108"/>
        <v>Sí</v>
      </c>
      <c r="Z297" s="102" t="str">
        <f>CHOOSE(MATCH(B297,{"Customer Appreciation","Exclusive Offers","Flash Sale","Holiday Discounts","New Product Launch","Newsletter"},0),"Fidelizar","Vender","Vender","Vender","Lanzar","Educar")</f>
        <v>Lanzar</v>
      </c>
      <c r="AA297" s="102" t="str">
        <f t="shared" si="109"/>
        <v>Menos de 100 mil</v>
      </c>
      <c r="AB297" s="102">
        <f>COUNTIFS($E$5:$E$493,E297,$S$5:$S$493,"&lt;"&amp;S297)+COUNTIFS($E$5:E297,E297,$S$5:S297,S297)</f>
        <v>30</v>
      </c>
      <c r="AC297" s="102">
        <f t="shared" si="110"/>
        <v>33</v>
      </c>
      <c r="AD297" s="102" t="str">
        <f t="shared" si="111"/>
        <v>Último tercio</v>
      </c>
      <c r="AE297" s="103">
        <f t="shared" si="112"/>
        <v>0.41929261355133818</v>
      </c>
      <c r="AF297" s="102" t="str">
        <f t="shared" si="113"/>
        <v xml:space="preserve"> presentamos  nuestro último lanzamiento de belleza  imperdible  </v>
      </c>
      <c r="AG297" s="102" t="str">
        <f t="shared" si="114"/>
        <v xml:space="preserve"> una innovación que cambiará tu rutina   sé de los primeros  </v>
      </c>
      <c r="AH297" s="102" t="str">
        <f>IF(SUMPRODUCT(--(LEFT(IF(LEFT(LOWER(E297),1)="¡",MID(LOWER(E297),2,300),LOWER(E297)),LEN({"actualizaci","el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Sí</v>
      </c>
      <c r="AI297" s="102" t="str">
        <f>IF(OR(SUMPRODUCT(--ISNUMBER(SEARCH({"descuento","oferta","ahorr","precio"," sale ","flash","deals"},AF297)))&gt;0,SUMPRODUCT(--ISNUMBER(SEARCH({"descuento","oferta","ahorr","precio"," sale ","flash","deals"},AG297)))&gt;0),"Sí","No")</f>
        <v>No</v>
      </c>
      <c r="AJ297" s="102" t="str">
        <f>IF(SUMPRODUCT(--ISNUMBER(SEARCH({" hoy ","horas","tiempo limitado","antes de que","se acab","se agot","finalic","última oportunidad","oportunidad única","relámpago","express","no esperes","no volver","no parpadees"},AF297)))&gt;0,"Sí","No")</f>
        <v>No</v>
      </c>
      <c r="AK297" s="102" t="str">
        <f>IF(SUMPRODUCT(--ISNUMBER(SEARCH({" hoy ","horas","tiempo limitado","antes de que","se acab","se agot","finalic","última oportunidad","oportunidad única","relámpago","express","no esperes","no volver","no parpadees"},AG297)))&gt;0,"Sí","No")</f>
        <v>No</v>
      </c>
      <c r="AL297" s="102" t="str">
        <f t="shared" si="115"/>
        <v>Sin descuento</v>
      </c>
      <c r="AM297" s="102" t="str">
        <f>IF(SUMPRODUCT(--ISNUMBER(SEARCH({"0","1","2","3","4","5","6","7","8","9","favorit","maquillaje","piel","cabello","productos","belleza","regalo"},E297)))&gt;0,"Sí","No")</f>
        <v>Sí</v>
      </c>
      <c r="AN297" s="102" t="str">
        <f>IF(SUMPRODUCT(--ISNUMBER(SEARCH({"lo que tenemos","estas ofertas","algo especial","ofertas únicas","que preparamos","no te quedes","echa un vistazo"},F297)))&gt;0,"Sí","No")</f>
        <v>No</v>
      </c>
      <c r="AO297" s="102">
        <f t="shared" si="116"/>
        <v>63</v>
      </c>
      <c r="AP297" s="102">
        <f t="shared" si="117"/>
        <v>7</v>
      </c>
      <c r="AQ297" s="102">
        <f>SUMPRODUCT(LEN(E297)-LEN(SUBSTITUTE(E297,{"!","¡","?","¿",":",",",".","%","·","-",";"},"")))</f>
        <v>3</v>
      </c>
      <c r="AR297" s="102" t="str">
        <f t="shared" si="118"/>
        <v>No</v>
      </c>
      <c r="AS297" s="102" t="str">
        <f t="shared" si="119"/>
        <v>No</v>
      </c>
      <c r="AT297" s="102" t="str">
        <f>IF(SUMPRODUCT(--ISNUMBER(FIND({"0","1","2","3","4","5","6","7","8","9"},E297)))&gt;0,"Con cifra concreta",IF(OR(ISNUMBER(FIND("?",E297)),ISNUMBER(FIND("¿",E297))),"Pregunta abierta",IF(SUMPRODUCT(--ISNUMBER(SEARCH({" hoy ","horas","tiempo limitado","antes de que","se acab","se agot","finalic","última oportunidad","oportunidad única","relámpago","express","no esperes","no volver","no parpadees"," ya ","últimas horas","últimas unidades"," ahora "},AF297)))&gt;0,"Solo urgencia, sin cifra",IF(SUMPRODUCT(--ISNUMBER(SEARCH({"recompensa","sorpresa","regalo","lealtad","detalle","gracias","pensamos en ti","para ti"},E297)))&gt;0,"Recompensa o sorpresa","Otro: beneficio o novedad"))))</f>
        <v>Otro: beneficio o novedad</v>
      </c>
    </row>
    <row r="298" spans="1:46" x14ac:dyDescent="0.2">
      <c r="A298" s="104" t="s">
        <v>1169</v>
      </c>
      <c r="B298" s="104" t="s">
        <v>277</v>
      </c>
      <c r="C298" s="104" t="s">
        <v>917</v>
      </c>
      <c r="D298" s="104" t="s">
        <v>774</v>
      </c>
      <c r="E298" s="104" t="s">
        <v>459</v>
      </c>
      <c r="F298" s="104" t="s">
        <v>460</v>
      </c>
      <c r="G298" s="105">
        <v>131497</v>
      </c>
      <c r="H298" s="105">
        <v>49791</v>
      </c>
      <c r="I298" s="105">
        <v>22588</v>
      </c>
      <c r="J298" s="106">
        <v>6.89</v>
      </c>
      <c r="K298" s="106">
        <v>2.5</v>
      </c>
      <c r="L298" s="107">
        <v>51188.26</v>
      </c>
      <c r="M298" s="108">
        <f t="shared" si="96"/>
        <v>37.864742161418128</v>
      </c>
      <c r="N298" s="108">
        <f t="shared" si="97"/>
        <v>17.177578195700281</v>
      </c>
      <c r="O298" s="108">
        <f t="shared" si="98"/>
        <v>45.365628326404369</v>
      </c>
      <c r="P298" s="108">
        <f t="shared" si="99"/>
        <v>389.27321535852531</v>
      </c>
      <c r="Q298" s="108">
        <f t="shared" si="100"/>
        <v>35.565837226891659</v>
      </c>
      <c r="R298" s="108">
        <f t="shared" si="101"/>
        <v>30.71114383300629</v>
      </c>
      <c r="S298" s="101">
        <f t="shared" si="102"/>
        <v>45916</v>
      </c>
      <c r="T298" s="102" t="str">
        <f t="shared" si="103"/>
        <v>Septiembre</v>
      </c>
      <c r="U298" s="102" t="str">
        <f t="shared" si="104"/>
        <v>Martes</v>
      </c>
      <c r="V298" s="102">
        <f t="shared" si="105"/>
        <v>11</v>
      </c>
      <c r="W298" s="102" t="str">
        <f t="shared" si="106"/>
        <v>Quincena</v>
      </c>
      <c r="X298" s="102">
        <f t="shared" si="107"/>
        <v>27</v>
      </c>
      <c r="Y298" s="102" t="str">
        <f t="shared" si="108"/>
        <v>Sí</v>
      </c>
      <c r="Z298" s="102" t="str">
        <f>CHOOSE(MATCH(B298,{"Customer Appreciation","Exclusive Offers","Flash Sale","Holiday Discounts","New Product Launch","Newsletter"},0),"Fidelizar","Vender","Vender","Vender","Lanzar","Educar")</f>
        <v>Vender</v>
      </c>
      <c r="AA298" s="102" t="str">
        <f t="shared" si="109"/>
        <v>100 a 200 mil</v>
      </c>
      <c r="AB298" s="102">
        <f>COUNTIFS($E$5:$E$493,E298,$S$5:$S$493,"&lt;"&amp;S298)+COUNTIFS($E$5:E298,E298,$S$5:S298,S298)</f>
        <v>5</v>
      </c>
      <c r="AC298" s="102">
        <f t="shared" si="110"/>
        <v>9</v>
      </c>
      <c r="AD298" s="102" t="str">
        <f t="shared" si="111"/>
        <v>Medio</v>
      </c>
      <c r="AE298" s="103">
        <f t="shared" si="112"/>
        <v>2.2989049345264689</v>
      </c>
      <c r="AF298" s="102" t="str">
        <f t="shared" si="113"/>
        <v xml:space="preserve">  aprovecha los descuentos  temporada de fiestas  beauty deals </v>
      </c>
      <c r="AG298" s="102" t="str">
        <f t="shared" si="114"/>
        <v xml:space="preserve"> tus productos favoritos con precios festivos   no te los pierdas  </v>
      </c>
      <c r="AH298" s="102" t="str">
        <f>IF(SUMPRODUCT(--(LEFT(IF(LEFT(LOWER(E298),1)="¡",MID(LOWER(E298),2,300),LOWER(E298)),LEN({"actualizaci","el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298" s="102" t="str">
        <f>IF(OR(SUMPRODUCT(--ISNUMBER(SEARCH({"descuento","oferta","ahorr","precio"," sale ","flash","deals"},AF298)))&gt;0,SUMPRODUCT(--ISNUMBER(SEARCH({"descuento","oferta","ahorr","precio"," sale ","flash","deals"},AG298)))&gt;0),"Sí","No")</f>
        <v>Sí</v>
      </c>
      <c r="AJ298" s="102" t="str">
        <f>IF(SUMPRODUCT(--ISNUMBER(SEARCH({" hoy ","horas","tiempo limitado","antes de que","se acab","se agot","finalic","última oportunidad","oportunidad única","relámpago","express","no esperes","no volver","no parpadees"},AF298)))&gt;0,"Sí","No")</f>
        <v>No</v>
      </c>
      <c r="AK298" s="102" t="str">
        <f>IF(SUMPRODUCT(--ISNUMBER(SEARCH({" hoy ","horas","tiempo limitado","antes de que","se acab","se agot","finalic","última oportunidad","oportunidad única","relámpago","express","no esperes","no volver","no parpadees"},AG298)))&gt;0,"Sí","No")</f>
        <v>No</v>
      </c>
      <c r="AL298" s="102" t="str">
        <f t="shared" si="115"/>
        <v>Descuento sin tiempo límite</v>
      </c>
      <c r="AM298" s="102" t="str">
        <f>IF(SUMPRODUCT(--ISNUMBER(SEARCH({"0","1","2","3","4","5","6","7","8","9","favorit","maquillaje","piel","cabello","productos","belleza","regalo"},E298)))&gt;0,"Sí","No")</f>
        <v>No</v>
      </c>
      <c r="AN298" s="102" t="str">
        <f>IF(SUMPRODUCT(--ISNUMBER(SEARCH({"lo que tenemos","estas ofertas","algo especial","ofertas únicas","que preparamos","no te quedes","echa un vistazo"},F298)))&gt;0,"Sí","No")</f>
        <v>No</v>
      </c>
      <c r="AO298" s="102">
        <f t="shared" si="116"/>
        <v>61</v>
      </c>
      <c r="AP298" s="102">
        <f t="shared" si="117"/>
        <v>8</v>
      </c>
      <c r="AQ298" s="102">
        <f>SUMPRODUCT(LEN(E298)-LEN(SUBSTITUTE(E298,{"!","¡","?","¿",":",",",".","%","·","-",";"},"")))</f>
        <v>3</v>
      </c>
      <c r="AR298" s="102" t="str">
        <f t="shared" si="118"/>
        <v>No</v>
      </c>
      <c r="AS298" s="102" t="str">
        <f t="shared" si="119"/>
        <v>No</v>
      </c>
      <c r="AT298" s="102" t="str">
        <f>IF(SUMPRODUCT(--ISNUMBER(FIND({"0","1","2","3","4","5","6","7","8","9"},E298)))&gt;0,"Con cifra concreta",IF(OR(ISNUMBER(FIND("?",E298)),ISNUMBER(FIND("¿",E298))),"Pregunta abierta",IF(SUMPRODUCT(--ISNUMBER(SEARCH({" hoy ","horas","tiempo limitado","antes de que","se acab","se agot","finalic","última oportunidad","oportunidad única","relámpago","express","no esperes","no volver","no parpadees"," ya ","últimas horas","últimas unidades"," ahora "},AF298)))&gt;0,"Solo urgencia, sin cifra",IF(SUMPRODUCT(--ISNUMBER(SEARCH({"recompensa","sorpresa","regalo","lealtad","detalle","gracias","pensamos en ti","para ti"},E298)))&gt;0,"Recompensa o sorpresa","Otro: beneficio o novedad"))))</f>
        <v>Otro: beneficio o novedad</v>
      </c>
    </row>
    <row r="299" spans="1:46" x14ac:dyDescent="0.2">
      <c r="A299" s="96" t="s">
        <v>1170</v>
      </c>
      <c r="B299" s="96" t="s">
        <v>278</v>
      </c>
      <c r="C299" s="96" t="s">
        <v>923</v>
      </c>
      <c r="D299" s="96" t="s">
        <v>729</v>
      </c>
      <c r="E299" s="96" t="s">
        <v>467</v>
      </c>
      <c r="F299" s="96" t="s">
        <v>468</v>
      </c>
      <c r="G299" s="97">
        <v>101725</v>
      </c>
      <c r="H299" s="97">
        <v>28212</v>
      </c>
      <c r="I299" s="97">
        <v>2980</v>
      </c>
      <c r="J299" s="98">
        <v>8.3800000000000008</v>
      </c>
      <c r="K299" s="98">
        <v>4.63</v>
      </c>
      <c r="L299" s="99">
        <v>13528.35</v>
      </c>
      <c r="M299" s="100">
        <f t="shared" si="96"/>
        <v>27.733595478004425</v>
      </c>
      <c r="N299" s="100">
        <f t="shared" si="97"/>
        <v>2.9294666994347502</v>
      </c>
      <c r="O299" s="100">
        <f t="shared" si="98"/>
        <v>10.562881043527577</v>
      </c>
      <c r="P299" s="100">
        <f t="shared" si="99"/>
        <v>132.98943229294667</v>
      </c>
      <c r="Q299" s="100">
        <f t="shared" si="100"/>
        <v>30.93688234168668</v>
      </c>
      <c r="R299" s="100">
        <f t="shared" si="101"/>
        <v>29.458247936272421</v>
      </c>
      <c r="S299" s="101">
        <f t="shared" si="102"/>
        <v>45873</v>
      </c>
      <c r="T299" s="102" t="str">
        <f t="shared" si="103"/>
        <v>Agosto</v>
      </c>
      <c r="U299" s="102" t="str">
        <f t="shared" si="104"/>
        <v>Lunes</v>
      </c>
      <c r="V299" s="102">
        <f t="shared" si="105"/>
        <v>10</v>
      </c>
      <c r="W299" s="102" t="str">
        <f t="shared" si="106"/>
        <v>Días después del pago</v>
      </c>
      <c r="X299" s="102">
        <f t="shared" si="107"/>
        <v>24</v>
      </c>
      <c r="Y299" s="102" t="str">
        <f t="shared" si="108"/>
        <v>Sí</v>
      </c>
      <c r="Z299" s="102" t="str">
        <f>CHOOSE(MATCH(B299,{"Customer Appreciation","Exclusive Offers","Flash Sale","Holiday Discounts","New Product Launch","Newsletter"},0),"Fidelizar","Vender","Vender","Vender","Lanzar","Educar")</f>
        <v>Lanzar</v>
      </c>
      <c r="AA299" s="102" t="str">
        <f t="shared" si="109"/>
        <v>100 a 200 mil</v>
      </c>
      <c r="AB299" s="102">
        <f>COUNTIFS($E$5:$E$493,E299,$S$5:$S$493,"&lt;"&amp;S299)+COUNTIFS($E$5:E299,E299,$S$5:S299,S299)</f>
        <v>2</v>
      </c>
      <c r="AC299" s="102">
        <f t="shared" si="110"/>
        <v>22</v>
      </c>
      <c r="AD299" s="102" t="str">
        <f t="shared" si="111"/>
        <v>Primer tercio</v>
      </c>
      <c r="AE299" s="103">
        <f t="shared" si="112"/>
        <v>-3.2032868636822549</v>
      </c>
      <c r="AF299" s="102" t="str">
        <f t="shared" si="113"/>
        <v xml:space="preserve">  lo nuevo de l'oréal  te va a encantar  innovación en belleza </v>
      </c>
      <c r="AG299" s="102" t="str">
        <f t="shared" si="114"/>
        <v xml:space="preserve"> prepárate para experimentar la innovación en tu belleza   descúbrela  </v>
      </c>
      <c r="AH299" s="102" t="str">
        <f>IF(SUMPRODUCT(--(LEFT(IF(LEFT(LOWER(E299),1)="¡",MID(LOWER(E299),2,300),LOWER(E299)),LEN({"actualizaci","el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299" s="102" t="str">
        <f>IF(OR(SUMPRODUCT(--ISNUMBER(SEARCH({"descuento","oferta","ahorr","precio"," sale ","flash","deals"},AF299)))&gt;0,SUMPRODUCT(--ISNUMBER(SEARCH({"descuento","oferta","ahorr","precio"," sale ","flash","deals"},AG299)))&gt;0),"Sí","No")</f>
        <v>No</v>
      </c>
      <c r="AJ299" s="102" t="str">
        <f>IF(SUMPRODUCT(--ISNUMBER(SEARCH({" hoy ","horas","tiempo limitado","antes de que","se acab","se agot","finalic","última oportunidad","oportunidad única","relámpago","express","no esperes","no volver","no parpadees"},AF299)))&gt;0,"Sí","No")</f>
        <v>No</v>
      </c>
      <c r="AK299" s="102" t="str">
        <f>IF(SUMPRODUCT(--ISNUMBER(SEARCH({" hoy ","horas","tiempo limitado","antes de que","se acab","se agot","finalic","última oportunidad","oportunidad única","relámpago","express","no esperes","no volver","no parpadees"},AG299)))&gt;0,"Sí","No")</f>
        <v>No</v>
      </c>
      <c r="AL299" s="102" t="str">
        <f t="shared" si="115"/>
        <v>Sin descuento</v>
      </c>
      <c r="AM299" s="102" t="str">
        <f>IF(SUMPRODUCT(--ISNUMBER(SEARCH({"0","1","2","3","4","5","6","7","8","9","favorit","maquillaje","piel","cabello","productos","belleza","regalo"},E299)))&gt;0,"Sí","No")</f>
        <v>Sí</v>
      </c>
      <c r="AN299" s="102" t="str">
        <f>IF(SUMPRODUCT(--ISNUMBER(SEARCH({"lo que tenemos","estas ofertas","algo especial","ofertas únicas","que preparamos","no te quedes","echa un vistazo"},F299)))&gt;0,"Sí","No")</f>
        <v>No</v>
      </c>
      <c r="AO299" s="102">
        <f t="shared" si="116"/>
        <v>61</v>
      </c>
      <c r="AP299" s="102">
        <f t="shared" si="117"/>
        <v>11</v>
      </c>
      <c r="AQ299" s="102">
        <f>SUMPRODUCT(LEN(E299)-LEN(SUBSTITUTE(E299,{"!","¡","?","¿",":",",",".","%","·","-",";"},"")))</f>
        <v>3</v>
      </c>
      <c r="AR299" s="102" t="str">
        <f t="shared" si="118"/>
        <v>No</v>
      </c>
      <c r="AS299" s="102" t="str">
        <f t="shared" si="119"/>
        <v>No</v>
      </c>
      <c r="AT299" s="102" t="str">
        <f>IF(SUMPRODUCT(--ISNUMBER(FIND({"0","1","2","3","4","5","6","7","8","9"},E299)))&gt;0,"Con cifra concreta",IF(OR(ISNUMBER(FIND("?",E299)),ISNUMBER(FIND("¿",E299))),"Pregunta abierta",IF(SUMPRODUCT(--ISNUMBER(SEARCH({" hoy ","horas","tiempo limitado","antes de que","se acab","se agot","finalic","última oportunidad","oportunidad única","relámpago","express","no esperes","no volver","no parpadees"," ya ","últimas horas","últimas unidades"," ahora "},AF299)))&gt;0,"Solo urgencia, sin cifra",IF(SUMPRODUCT(--ISNUMBER(SEARCH({"recompensa","sorpresa","regalo","lealtad","detalle","gracias","pensamos en ti","para ti"},E299)))&gt;0,"Recompensa o sorpresa","Otro: beneficio o novedad"))))</f>
        <v>Otro: beneficio o novedad</v>
      </c>
    </row>
    <row r="300" spans="1:46" x14ac:dyDescent="0.2">
      <c r="A300" s="104" t="s">
        <v>1171</v>
      </c>
      <c r="B300" s="104" t="s">
        <v>276</v>
      </c>
      <c r="C300" s="104" t="s">
        <v>830</v>
      </c>
      <c r="D300" s="104" t="s">
        <v>950</v>
      </c>
      <c r="E300" s="104" t="s">
        <v>450</v>
      </c>
      <c r="F300" s="104" t="s">
        <v>451</v>
      </c>
      <c r="G300" s="105">
        <v>209506</v>
      </c>
      <c r="H300" s="105">
        <v>94145</v>
      </c>
      <c r="I300" s="105">
        <v>35153</v>
      </c>
      <c r="J300" s="106">
        <v>7.88</v>
      </c>
      <c r="K300" s="106">
        <v>4.79</v>
      </c>
      <c r="L300" s="107">
        <v>19048.93</v>
      </c>
      <c r="M300" s="108">
        <f t="shared" si="96"/>
        <v>44.936660525235553</v>
      </c>
      <c r="N300" s="108">
        <f t="shared" si="97"/>
        <v>16.778994396341869</v>
      </c>
      <c r="O300" s="108">
        <f t="shared" si="98"/>
        <v>37.339210791863614</v>
      </c>
      <c r="P300" s="108">
        <f t="shared" si="99"/>
        <v>90.923076188748766</v>
      </c>
      <c r="Q300" s="108">
        <f t="shared" si="100"/>
        <v>41.593592985418489</v>
      </c>
      <c r="R300" s="108">
        <f t="shared" si="101"/>
        <v>29.440902453236173</v>
      </c>
      <c r="S300" s="101">
        <f t="shared" si="102"/>
        <v>45901</v>
      </c>
      <c r="T300" s="102" t="str">
        <f t="shared" si="103"/>
        <v>Septiembre</v>
      </c>
      <c r="U300" s="102" t="str">
        <f t="shared" si="104"/>
        <v>Lunes</v>
      </c>
      <c r="V300" s="102">
        <f t="shared" si="105"/>
        <v>14</v>
      </c>
      <c r="W300" s="102" t="str">
        <f t="shared" si="106"/>
        <v>Quincena</v>
      </c>
      <c r="X300" s="102">
        <f t="shared" si="107"/>
        <v>29</v>
      </c>
      <c r="Y300" s="102" t="str">
        <f t="shared" si="108"/>
        <v>Sí</v>
      </c>
      <c r="Z300" s="102" t="str">
        <f>CHOOSE(MATCH(B300,{"Customer Appreciation","Exclusive Offers","Flash Sale","Holiday Discounts","New Product Launch","Newsletter"},0),"Fidelizar","Vender","Vender","Vender","Lanzar","Educar")</f>
        <v>Vender</v>
      </c>
      <c r="AA300" s="102" t="str">
        <f t="shared" si="109"/>
        <v>200 a 300 mil</v>
      </c>
      <c r="AB300" s="102">
        <f>COUNTIFS($E$5:$E$493,E300,$S$5:$S$493,"&lt;"&amp;S300)+COUNTIFS($E$5:E300,E300,$S$5:S300,S300)</f>
        <v>7</v>
      </c>
      <c r="AC300" s="102">
        <f t="shared" si="110"/>
        <v>21</v>
      </c>
      <c r="AD300" s="102" t="str">
        <f t="shared" si="111"/>
        <v>Primer tercio</v>
      </c>
      <c r="AE300" s="103">
        <f t="shared" si="112"/>
        <v>3.3430675398170635</v>
      </c>
      <c r="AF300" s="102" t="str">
        <f t="shared" si="113"/>
        <v xml:space="preserve">  ahorra ya  flash sale  hasta 50% en tus favoritos </v>
      </c>
      <c r="AG300" s="102" t="str">
        <f t="shared" si="114"/>
        <v xml:space="preserve"> edición limitada  maquillaje  cuidado de piel y más   corre  </v>
      </c>
      <c r="AH300" s="102" t="str">
        <f>IF(SUMPRODUCT(--(LEFT(IF(LEFT(LOWER(E300),1)="¡",MID(LOWER(E300),2,300),LOWER(E300)),LEN({"actualizaci","el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300" s="102" t="str">
        <f>IF(OR(SUMPRODUCT(--ISNUMBER(SEARCH({"descuento","oferta","ahorr","precio"," sale ","flash","deals"},AF300)))&gt;0,SUMPRODUCT(--ISNUMBER(SEARCH({"descuento","oferta","ahorr","precio"," sale ","flash","deals"},AG300)))&gt;0),"Sí","No")</f>
        <v>Sí</v>
      </c>
      <c r="AJ300" s="102" t="str">
        <f>IF(SUMPRODUCT(--ISNUMBER(SEARCH({" hoy ","horas","tiempo limitado","antes de que","se acab","se agot","finalic","última oportunidad","oportunidad única","relámpago","express","no esperes","no volver","no parpadees"},AF300)))&gt;0,"Sí","No")</f>
        <v>No</v>
      </c>
      <c r="AK300" s="102" t="str">
        <f>IF(SUMPRODUCT(--ISNUMBER(SEARCH({" hoy ","horas","tiempo limitado","antes de que","se acab","se agot","finalic","última oportunidad","oportunidad única","relámpago","express","no esperes","no volver","no parpadees"},AG300)))&gt;0,"Sí","No")</f>
        <v>No</v>
      </c>
      <c r="AL300" s="102" t="str">
        <f t="shared" si="115"/>
        <v>Descuento sin tiempo límite</v>
      </c>
      <c r="AM300" s="102" t="str">
        <f>IF(SUMPRODUCT(--ISNUMBER(SEARCH({"0","1","2","3","4","5","6","7","8","9","favorit","maquillaje","piel","cabello","productos","belleza","regalo"},E300)))&gt;0,"Sí","No")</f>
        <v>Sí</v>
      </c>
      <c r="AN300" s="102" t="str">
        <f>IF(SUMPRODUCT(--ISNUMBER(SEARCH({"lo que tenemos","estas ofertas","algo especial","ofertas únicas","que preparamos","no te quedes","echa un vistazo"},F300)))&gt;0,"Sí","No")</f>
        <v>No</v>
      </c>
      <c r="AO300" s="102">
        <f t="shared" si="116"/>
        <v>50</v>
      </c>
      <c r="AP300" s="102">
        <f t="shared" si="117"/>
        <v>9</v>
      </c>
      <c r="AQ300" s="102">
        <f>SUMPRODUCT(LEN(E300)-LEN(SUBSTITUTE(E300,{"!","¡","?","¿",":",",",".","%","·","-",";"},"")))</f>
        <v>4</v>
      </c>
      <c r="AR300" s="102" t="str">
        <f t="shared" si="118"/>
        <v>No</v>
      </c>
      <c r="AS300" s="102" t="str">
        <f t="shared" si="119"/>
        <v>No</v>
      </c>
      <c r="AT300" s="102" t="str">
        <f>IF(SUMPRODUCT(--ISNUMBER(FIND({"0","1","2","3","4","5","6","7","8","9"},E300)))&gt;0,"Con cifra concreta",IF(OR(ISNUMBER(FIND("?",E300)),ISNUMBER(FIND("¿",E300))),"Pregunta abierta",IF(SUMPRODUCT(--ISNUMBER(SEARCH({" hoy ","horas","tiempo limitado","antes de que","se acab","se agot","finalic","última oportunidad","oportunidad única","relámpago","express","no esperes","no volver","no parpadees"," ya ","últimas horas","últimas unidades"," ahora "},AF300)))&gt;0,"Solo urgencia, sin cifra",IF(SUMPRODUCT(--ISNUMBER(SEARCH({"recompensa","sorpresa","regalo","lealtad","detalle","gracias","pensamos en ti","para ti"},E300)))&gt;0,"Recompensa o sorpresa","Otro: beneficio o novedad"))))</f>
        <v>Con cifra concreta</v>
      </c>
    </row>
    <row r="301" spans="1:46" x14ac:dyDescent="0.2">
      <c r="A301" s="96" t="s">
        <v>1172</v>
      </c>
      <c r="B301" s="96" t="s">
        <v>278</v>
      </c>
      <c r="C301" s="96" t="s">
        <v>976</v>
      </c>
      <c r="D301" s="96" t="s">
        <v>751</v>
      </c>
      <c r="E301" s="96" t="s">
        <v>367</v>
      </c>
      <c r="F301" s="96" t="s">
        <v>458</v>
      </c>
      <c r="G301" s="97">
        <v>205514</v>
      </c>
      <c r="H301" s="97">
        <v>84795</v>
      </c>
      <c r="I301" s="97">
        <v>18972</v>
      </c>
      <c r="J301" s="98">
        <v>6.22</v>
      </c>
      <c r="K301" s="98">
        <v>0.18</v>
      </c>
      <c r="L301" s="99">
        <v>88722.4</v>
      </c>
      <c r="M301" s="100">
        <f t="shared" si="96"/>
        <v>41.259962824917032</v>
      </c>
      <c r="N301" s="100">
        <f t="shared" si="97"/>
        <v>9.2314878791712491</v>
      </c>
      <c r="O301" s="100">
        <f t="shared" si="98"/>
        <v>22.373960728816559</v>
      </c>
      <c r="P301" s="100">
        <f t="shared" si="99"/>
        <v>431.70976186537166</v>
      </c>
      <c r="Q301" s="100">
        <f t="shared" si="100"/>
        <v>36.132518317209367</v>
      </c>
      <c r="R301" s="100">
        <f t="shared" si="101"/>
        <v>29.458247936272421</v>
      </c>
      <c r="S301" s="101">
        <f t="shared" si="102"/>
        <v>45892</v>
      </c>
      <c r="T301" s="102" t="str">
        <f t="shared" si="103"/>
        <v>Agosto</v>
      </c>
      <c r="U301" s="102" t="str">
        <f t="shared" si="104"/>
        <v>Sábado</v>
      </c>
      <c r="V301" s="102">
        <f t="shared" si="105"/>
        <v>11</v>
      </c>
      <c r="W301" s="102" t="str">
        <f t="shared" si="106"/>
        <v>Resto del mes</v>
      </c>
      <c r="X301" s="102">
        <f t="shared" si="107"/>
        <v>25</v>
      </c>
      <c r="Y301" s="102" t="str">
        <f t="shared" si="108"/>
        <v>Sí</v>
      </c>
      <c r="Z301" s="102" t="str">
        <f>CHOOSE(MATCH(B301,{"Customer Appreciation","Exclusive Offers","Flash Sale","Holiday Discounts","New Product Launch","Newsletter"},0),"Fidelizar","Vender","Vender","Vender","Lanzar","Educar")</f>
        <v>Lanzar</v>
      </c>
      <c r="AA301" s="102" t="str">
        <f t="shared" si="109"/>
        <v>200 a 300 mil</v>
      </c>
      <c r="AB301" s="102">
        <f>COUNTIFS($E$5:$E$493,E301,$S$5:$S$493,"&lt;"&amp;S301)+COUNTIFS($E$5:E301,E301,$S$5:S301,S301)</f>
        <v>3</v>
      </c>
      <c r="AC301" s="102">
        <f t="shared" si="110"/>
        <v>25</v>
      </c>
      <c r="AD301" s="102" t="str">
        <f t="shared" si="111"/>
        <v>Primer tercio</v>
      </c>
      <c r="AE301" s="103">
        <f t="shared" si="112"/>
        <v>5.1274445077076649</v>
      </c>
      <c r="AF301" s="102" t="str">
        <f t="shared" si="113"/>
        <v xml:space="preserve">  el futuro de tu piel ha llegado  nuevo producto revolucionario </v>
      </c>
      <c r="AG301" s="102" t="str">
        <f t="shared" si="114"/>
        <v xml:space="preserve"> una fórmula revolucionaria para resultados visibles   compruébalo  </v>
      </c>
      <c r="AH301" s="102" t="str">
        <f>IF(SUMPRODUCT(--(LEFT(IF(LEFT(LOWER(E301),1)="¡",MID(LOWER(E301),2,300),LOWER(E301)),LEN({"actualizaci","el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301" s="102" t="str">
        <f>IF(OR(SUMPRODUCT(--ISNUMBER(SEARCH({"descuento","oferta","ahorr","precio"," sale ","flash","deals"},AF301)))&gt;0,SUMPRODUCT(--ISNUMBER(SEARCH({"descuento","oferta","ahorr","precio"," sale ","flash","deals"},AG301)))&gt;0),"Sí","No")</f>
        <v>No</v>
      </c>
      <c r="AJ301" s="102" t="str">
        <f>IF(SUMPRODUCT(--ISNUMBER(SEARCH({" hoy ","horas","tiempo limitado","antes de que","se acab","se agot","finalic","última oportunidad","oportunidad única","relámpago","express","no esperes","no volver","no parpadees"},AF301)))&gt;0,"Sí","No")</f>
        <v>No</v>
      </c>
      <c r="AK301" s="102" t="str">
        <f>IF(SUMPRODUCT(--ISNUMBER(SEARCH({" hoy ","horas","tiempo limitado","antes de que","se acab","se agot","finalic","última oportunidad","oportunidad única","relámpago","express","no esperes","no volver","no parpadees"},AG301)))&gt;0,"Sí","No")</f>
        <v>No</v>
      </c>
      <c r="AL301" s="102" t="str">
        <f t="shared" si="115"/>
        <v>Sin descuento</v>
      </c>
      <c r="AM301" s="102" t="str">
        <f>IF(SUMPRODUCT(--ISNUMBER(SEARCH({"0","1","2","3","4","5","6","7","8","9","favorit","maquillaje","piel","cabello","productos","belleza","regalo"},E301)))&gt;0,"Sí","No")</f>
        <v>Sí</v>
      </c>
      <c r="AN301" s="102" t="str">
        <f>IF(SUMPRODUCT(--ISNUMBER(SEARCH({"lo que tenemos","estas ofertas","algo especial","ofertas únicas","que preparamos","no te quedes","echa un vistazo"},F301)))&gt;0,"Sí","No")</f>
        <v>No</v>
      </c>
      <c r="AO301" s="102">
        <f t="shared" si="116"/>
        <v>63</v>
      </c>
      <c r="AP301" s="102">
        <f t="shared" si="117"/>
        <v>10</v>
      </c>
      <c r="AQ301" s="102">
        <f>SUMPRODUCT(LEN(E301)-LEN(SUBSTITUTE(E301,{"!","¡","?","¿",":",",",".","%","·","-",";"},"")))</f>
        <v>2</v>
      </c>
      <c r="AR301" s="102" t="str">
        <f t="shared" si="118"/>
        <v>No</v>
      </c>
      <c r="AS301" s="102" t="str">
        <f t="shared" si="119"/>
        <v>No</v>
      </c>
      <c r="AT301" s="102" t="str">
        <f>IF(SUMPRODUCT(--ISNUMBER(FIND({"0","1","2","3","4","5","6","7","8","9"},E301)))&gt;0,"Con cifra concreta",IF(OR(ISNUMBER(FIND("?",E301)),ISNUMBER(FIND("¿",E301))),"Pregunta abierta",IF(SUMPRODUCT(--ISNUMBER(SEARCH({" hoy ","horas","tiempo limitado","antes de que","se acab","se agot","finalic","última oportunidad","oportunidad única","relámpago","express","no esperes","no volver","no parpadees"," ya ","últimas horas","últimas unidades"," ahora "},AF301)))&gt;0,"Solo urgencia, sin cifra",IF(SUMPRODUCT(--ISNUMBER(SEARCH({"recompensa","sorpresa","regalo","lealtad","detalle","gracias","pensamos en ti","para ti"},E301)))&gt;0,"Recompensa o sorpresa","Otro: beneficio o novedad"))))</f>
        <v>Otro: beneficio o novedad</v>
      </c>
    </row>
    <row r="302" spans="1:46" x14ac:dyDescent="0.2">
      <c r="A302" s="104" t="s">
        <v>1173</v>
      </c>
      <c r="B302" s="104" t="s">
        <v>275</v>
      </c>
      <c r="C302" s="104" t="s">
        <v>742</v>
      </c>
      <c r="D302" s="104" t="s">
        <v>702</v>
      </c>
      <c r="E302" s="104" t="s">
        <v>465</v>
      </c>
      <c r="F302" s="104" t="s">
        <v>466</v>
      </c>
      <c r="G302" s="105">
        <v>124442</v>
      </c>
      <c r="H302" s="105">
        <v>59160</v>
      </c>
      <c r="I302" s="105">
        <v>2091</v>
      </c>
      <c r="J302" s="106">
        <v>4.09</v>
      </c>
      <c r="K302" s="106">
        <v>0.52</v>
      </c>
      <c r="L302" s="107">
        <v>92646</v>
      </c>
      <c r="M302" s="108">
        <f t="shared" si="96"/>
        <v>47.540219540026676</v>
      </c>
      <c r="N302" s="108">
        <f t="shared" si="97"/>
        <v>1.680300863052667</v>
      </c>
      <c r="O302" s="108">
        <f t="shared" si="98"/>
        <v>3.5344827586206899</v>
      </c>
      <c r="P302" s="108">
        <f t="shared" si="99"/>
        <v>744.49140965268953</v>
      </c>
      <c r="Q302" s="108">
        <f t="shared" si="100"/>
        <v>33.047230763392911</v>
      </c>
      <c r="R302" s="108">
        <f t="shared" si="101"/>
        <v>27.021447627328243</v>
      </c>
      <c r="S302" s="101">
        <f t="shared" si="102"/>
        <v>45948</v>
      </c>
      <c r="T302" s="102" t="str">
        <f t="shared" si="103"/>
        <v>Octubre</v>
      </c>
      <c r="U302" s="102" t="str">
        <f t="shared" si="104"/>
        <v>Sábado</v>
      </c>
      <c r="V302" s="102">
        <f t="shared" si="105"/>
        <v>16</v>
      </c>
      <c r="W302" s="102" t="str">
        <f t="shared" si="106"/>
        <v>Días después del pago</v>
      </c>
      <c r="X302" s="102">
        <f t="shared" si="107"/>
        <v>27</v>
      </c>
      <c r="Y302" s="102" t="str">
        <f t="shared" si="108"/>
        <v>Sí</v>
      </c>
      <c r="Z302" s="102" t="str">
        <f>CHOOSE(MATCH(B302,{"Customer Appreciation","Exclusive Offers","Flash Sale","Holiday Discounts","New Product Launch","Newsletter"},0),"Fidelizar","Vender","Vender","Vender","Lanzar","Educar")</f>
        <v>Vender</v>
      </c>
      <c r="AA302" s="102" t="str">
        <f t="shared" si="109"/>
        <v>100 a 200 mil</v>
      </c>
      <c r="AB302" s="102">
        <f>COUNTIFS($E$5:$E$493,E302,$S$5:$S$493,"&lt;"&amp;S302)+COUNTIFS($E$5:E302,E302,$S$5:S302,S302)</f>
        <v>21</v>
      </c>
      <c r="AC302" s="102">
        <f t="shared" si="110"/>
        <v>22</v>
      </c>
      <c r="AD302" s="102" t="str">
        <f t="shared" si="111"/>
        <v>Último tercio</v>
      </c>
      <c r="AE302" s="103">
        <f t="shared" si="112"/>
        <v>14.492988776633766</v>
      </c>
      <c r="AF302" s="102" t="str">
        <f t="shared" si="113"/>
        <v xml:space="preserve">  ofertas exclusivas  solo para nuestra comunidad vip </v>
      </c>
      <c r="AG302" s="102" t="str">
        <f t="shared" si="114"/>
        <v xml:space="preserve"> productos premium con descuentos únicos   acceso limitado  </v>
      </c>
      <c r="AH302" s="102" t="str">
        <f>IF(SUMPRODUCT(--(LEFT(IF(LEFT(LOWER(E302),1)="¡",MID(LOWER(E302),2,300),LOWER(E302)),LEN({"actualizaci","el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302" s="102" t="str">
        <f>IF(OR(SUMPRODUCT(--ISNUMBER(SEARCH({"descuento","oferta","ahorr","precio"," sale ","flash","deals"},AF302)))&gt;0,SUMPRODUCT(--ISNUMBER(SEARCH({"descuento","oferta","ahorr","precio"," sale ","flash","deals"},AG302)))&gt;0),"Sí","No")</f>
        <v>Sí</v>
      </c>
      <c r="AJ302" s="102" t="str">
        <f>IF(SUMPRODUCT(--ISNUMBER(SEARCH({" hoy ","horas","tiempo limitado","antes de que","se acab","se agot","finalic","última oportunidad","oportunidad única","relámpago","express","no esperes","no volver","no parpadees"},AF302)))&gt;0,"Sí","No")</f>
        <v>No</v>
      </c>
      <c r="AK302" s="102" t="str">
        <f>IF(SUMPRODUCT(--ISNUMBER(SEARCH({" hoy ","horas","tiempo limitado","antes de que","se acab","se agot","finalic","última oportunidad","oportunidad única","relámpago","express","no esperes","no volver","no parpadees"},AG302)))&gt;0,"Sí","No")</f>
        <v>No</v>
      </c>
      <c r="AL302" s="102" t="str">
        <f t="shared" si="115"/>
        <v>Descuento sin tiempo límite</v>
      </c>
      <c r="AM302" s="102" t="str">
        <f>IF(SUMPRODUCT(--ISNUMBER(SEARCH({"0","1","2","3","4","5","6","7","8","9","favorit","maquillaje","piel","cabello","productos","belleza","regalo"},E302)))&gt;0,"Sí","No")</f>
        <v>No</v>
      </c>
      <c r="AN302" s="102" t="str">
        <f>IF(SUMPRODUCT(--ISNUMBER(SEARCH({"lo que tenemos","estas ofertas","algo especial","ofertas únicas","que preparamos","no te quedes","echa un vistazo"},F302)))&gt;0,"Sí","No")</f>
        <v>No</v>
      </c>
      <c r="AO302" s="102">
        <f t="shared" si="116"/>
        <v>52</v>
      </c>
      <c r="AP302" s="102">
        <f t="shared" si="117"/>
        <v>7</v>
      </c>
      <c r="AQ302" s="102">
        <f>SUMPRODUCT(LEN(E302)-LEN(SUBSTITUTE(E302,{"!","¡","?","¿",":",",",".","%","·","-",";"},"")))</f>
        <v>2</v>
      </c>
      <c r="AR302" s="102" t="str">
        <f t="shared" si="118"/>
        <v>Sí</v>
      </c>
      <c r="AS302" s="102" t="str">
        <f t="shared" si="119"/>
        <v>No</v>
      </c>
      <c r="AT302" s="102" t="str">
        <f>IF(SUMPRODUCT(--ISNUMBER(FIND({"0","1","2","3","4","5","6","7","8","9"},E302)))&gt;0,"Con cifra concreta",IF(OR(ISNUMBER(FIND("?",E302)),ISNUMBER(FIND("¿",E302))),"Pregunta abierta",IF(SUMPRODUCT(--ISNUMBER(SEARCH({" hoy ","horas","tiempo limitado","antes de que","se acab","se agot","finalic","última oportunidad","oportunidad única","relámpago","express","no esperes","no volver","no parpadees"," ya ","últimas horas","últimas unidades"," ahora "},AF302)))&gt;0,"Solo urgencia, sin cifra",IF(SUMPRODUCT(--ISNUMBER(SEARCH({"recompensa","sorpresa","regalo","lealtad","detalle","gracias","pensamos en ti","para ti"},E302)))&gt;0,"Recompensa o sorpresa","Otro: beneficio o novedad"))))</f>
        <v>Otro: beneficio o novedad</v>
      </c>
    </row>
    <row r="303" spans="1:46" x14ac:dyDescent="0.2">
      <c r="A303" s="96" t="s">
        <v>1174</v>
      </c>
      <c r="B303" s="96" t="s">
        <v>276</v>
      </c>
      <c r="C303" s="96" t="s">
        <v>773</v>
      </c>
      <c r="D303" s="96" t="s">
        <v>707</v>
      </c>
      <c r="E303" s="96" t="s">
        <v>474</v>
      </c>
      <c r="F303" s="96" t="s">
        <v>475</v>
      </c>
      <c r="G303" s="97">
        <v>417318</v>
      </c>
      <c r="H303" s="97">
        <v>156767</v>
      </c>
      <c r="I303" s="97">
        <v>17242</v>
      </c>
      <c r="J303" s="98">
        <v>6.22</v>
      </c>
      <c r="K303" s="98">
        <v>0.6</v>
      </c>
      <c r="L303" s="99">
        <v>44169.57</v>
      </c>
      <c r="M303" s="100">
        <f t="shared" si="96"/>
        <v>37.565357832636025</v>
      </c>
      <c r="N303" s="100">
        <f t="shared" si="97"/>
        <v>4.1316214493503756</v>
      </c>
      <c r="O303" s="100">
        <f t="shared" si="98"/>
        <v>10.998488202236439</v>
      </c>
      <c r="P303" s="100">
        <f t="shared" si="99"/>
        <v>105.84151654134259</v>
      </c>
      <c r="Q303" s="100">
        <f t="shared" si="100"/>
        <v>22.775066640377752</v>
      </c>
      <c r="R303" s="100">
        <f t="shared" si="101"/>
        <v>29.440902453236173</v>
      </c>
      <c r="S303" s="101">
        <f t="shared" si="102"/>
        <v>45909</v>
      </c>
      <c r="T303" s="102" t="str">
        <f t="shared" si="103"/>
        <v>Septiembre</v>
      </c>
      <c r="U303" s="102" t="str">
        <f t="shared" si="104"/>
        <v>Martes</v>
      </c>
      <c r="V303" s="102">
        <f t="shared" si="105"/>
        <v>13</v>
      </c>
      <c r="W303" s="102" t="str">
        <f t="shared" si="106"/>
        <v>Resto del mes</v>
      </c>
      <c r="X303" s="102">
        <f t="shared" si="107"/>
        <v>28</v>
      </c>
      <c r="Y303" s="102" t="str">
        <f t="shared" si="108"/>
        <v>Sí</v>
      </c>
      <c r="Z303" s="102" t="str">
        <f>CHOOSE(MATCH(B303,{"Customer Appreciation","Exclusive Offers","Flash Sale","Holiday Discounts","New Product Launch","Newsletter"},0),"Fidelizar","Vender","Vender","Vender","Lanzar","Educar")</f>
        <v>Vender</v>
      </c>
      <c r="AA303" s="102" t="str">
        <f t="shared" si="109"/>
        <v>Más de 400 mil</v>
      </c>
      <c r="AB303" s="102">
        <f>COUNTIFS($E$5:$E$493,E303,$S$5:$S$493,"&lt;"&amp;S303)+COUNTIFS($E$5:E303,E303,$S$5:S303,S303)</f>
        <v>10</v>
      </c>
      <c r="AC303" s="102">
        <f t="shared" si="110"/>
        <v>20</v>
      </c>
      <c r="AD303" s="102" t="str">
        <f t="shared" si="111"/>
        <v>Medio</v>
      </c>
      <c r="AE303" s="103">
        <f t="shared" si="112"/>
        <v>14.790291192258273</v>
      </c>
      <c r="AF303" s="102" t="str">
        <f t="shared" si="113"/>
        <v xml:space="preserve">  aprovecha antes de que se acabe  oferta flash  productos top </v>
      </c>
      <c r="AG303" s="102" t="str">
        <f t="shared" si="114"/>
        <v xml:space="preserve"> grandes descuentos por tiempo limitado   no te lo pierdas  </v>
      </c>
      <c r="AH303" s="102" t="str">
        <f>IF(SUMPRODUCT(--(LEFT(IF(LEFT(LOWER(E303),1)="¡",MID(LOWER(E303),2,300),LOWER(E303)),LEN({"actualizaci","el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303" s="102" t="str">
        <f>IF(OR(SUMPRODUCT(--ISNUMBER(SEARCH({"descuento","oferta","ahorr","precio"," sale ","flash","deals"},AF303)))&gt;0,SUMPRODUCT(--ISNUMBER(SEARCH({"descuento","oferta","ahorr","precio"," sale ","flash","deals"},AG303)))&gt;0),"Sí","No")</f>
        <v>Sí</v>
      </c>
      <c r="AJ303" s="102" t="str">
        <f>IF(SUMPRODUCT(--ISNUMBER(SEARCH({" hoy ","horas","tiempo limitado","antes de que","se acab","se agot","finalic","última oportunidad","oportunidad única","relámpago","express","no esperes","no volver","no parpadees"},AF303)))&gt;0,"Sí","No")</f>
        <v>Sí</v>
      </c>
      <c r="AK303" s="102" t="str">
        <f>IF(SUMPRODUCT(--ISNUMBER(SEARCH({" hoy ","horas","tiempo limitado","antes de que","se acab","se agot","finalic","última oportunidad","oportunidad única","relámpago","express","no esperes","no volver","no parpadees"},AG303)))&gt;0,"Sí","No")</f>
        <v>Sí</v>
      </c>
      <c r="AL303" s="102" t="str">
        <f t="shared" si="115"/>
        <v>Descuento con tiempo límite en el asunto</v>
      </c>
      <c r="AM303" s="102" t="str">
        <f>IF(SUMPRODUCT(--ISNUMBER(SEARCH({"0","1","2","3","4","5","6","7","8","9","favorit","maquillaje","piel","cabello","productos","belleza","regalo"},E303)))&gt;0,"Sí","No")</f>
        <v>Sí</v>
      </c>
      <c r="AN303" s="102" t="str">
        <f>IF(SUMPRODUCT(--ISNUMBER(SEARCH({"lo que tenemos","estas ofertas","algo especial","ofertas únicas","que preparamos","no te quedes","echa un vistazo"},F303)))&gt;0,"Sí","No")</f>
        <v>No</v>
      </c>
      <c r="AO303" s="102">
        <f t="shared" si="116"/>
        <v>61</v>
      </c>
      <c r="AP303" s="102">
        <f t="shared" si="117"/>
        <v>10</v>
      </c>
      <c r="AQ303" s="102">
        <f>SUMPRODUCT(LEN(E303)-LEN(SUBSTITUTE(E303,{"!","¡","?","¿",":",",",".","%","·","-",";"},"")))</f>
        <v>3</v>
      </c>
      <c r="AR303" s="102" t="str">
        <f t="shared" si="118"/>
        <v>No</v>
      </c>
      <c r="AS303" s="102" t="str">
        <f t="shared" si="119"/>
        <v>No</v>
      </c>
      <c r="AT303" s="102" t="str">
        <f>IF(SUMPRODUCT(--ISNUMBER(FIND({"0","1","2","3","4","5","6","7","8","9"},E303)))&gt;0,"Con cifra concreta",IF(OR(ISNUMBER(FIND("?",E303)),ISNUMBER(FIND("¿",E303))),"Pregunta abierta",IF(SUMPRODUCT(--ISNUMBER(SEARCH({" hoy ","horas","tiempo limitado","antes de que","se acab","se agot","finalic","última oportunidad","oportunidad única","relámpago","express","no esperes","no volver","no parpadees"," ya ","últimas horas","últimas unidades"," ahora "},AF303)))&gt;0,"Solo urgencia, sin cifra",IF(SUMPRODUCT(--ISNUMBER(SEARCH({"recompensa","sorpresa","regalo","lealtad","detalle","gracias","pensamos en ti","para ti"},E303)))&gt;0,"Recompensa o sorpresa","Otro: beneficio o novedad"))))</f>
        <v>Solo urgencia, sin cifra</v>
      </c>
    </row>
    <row r="304" spans="1:46" x14ac:dyDescent="0.2">
      <c r="A304" s="104" t="s">
        <v>1175</v>
      </c>
      <c r="B304" s="104" t="s">
        <v>278</v>
      </c>
      <c r="C304" s="104" t="s">
        <v>980</v>
      </c>
      <c r="D304" s="104" t="s">
        <v>824</v>
      </c>
      <c r="E304" s="104" t="s">
        <v>368</v>
      </c>
      <c r="F304" s="104" t="s">
        <v>471</v>
      </c>
      <c r="G304" s="105">
        <v>418650</v>
      </c>
      <c r="H304" s="105">
        <v>119472</v>
      </c>
      <c r="I304" s="105">
        <v>14653</v>
      </c>
      <c r="J304" s="106">
        <v>2.2999999999999998</v>
      </c>
      <c r="K304" s="106">
        <v>2.75</v>
      </c>
      <c r="L304" s="107">
        <v>97146.41</v>
      </c>
      <c r="M304" s="108">
        <f t="shared" si="96"/>
        <v>28.53744177714081</v>
      </c>
      <c r="N304" s="108">
        <f t="shared" si="97"/>
        <v>3.5000597157530158</v>
      </c>
      <c r="O304" s="108">
        <f t="shared" si="98"/>
        <v>12.264798446497924</v>
      </c>
      <c r="P304" s="108">
        <f t="shared" si="99"/>
        <v>232.04684103666548</v>
      </c>
      <c r="Q304" s="108">
        <f t="shared" si="100"/>
        <v>23.315840784070005</v>
      </c>
      <c r="R304" s="108">
        <f t="shared" si="101"/>
        <v>29.458247936272421</v>
      </c>
      <c r="S304" s="101">
        <f t="shared" si="102"/>
        <v>45875</v>
      </c>
      <c r="T304" s="102" t="str">
        <f t="shared" si="103"/>
        <v>Agosto</v>
      </c>
      <c r="U304" s="102" t="str">
        <f t="shared" si="104"/>
        <v>Miércoles</v>
      </c>
      <c r="V304" s="102">
        <f t="shared" si="105"/>
        <v>10</v>
      </c>
      <c r="W304" s="102" t="str">
        <f t="shared" si="106"/>
        <v>Resto del mes</v>
      </c>
      <c r="X304" s="102">
        <f t="shared" si="107"/>
        <v>28</v>
      </c>
      <c r="Y304" s="102" t="str">
        <f t="shared" si="108"/>
        <v>Sí</v>
      </c>
      <c r="Z304" s="102" t="str">
        <f>CHOOSE(MATCH(B304,{"Customer Appreciation","Exclusive Offers","Flash Sale","Holiday Discounts","New Product Launch","Newsletter"},0),"Fidelizar","Vender","Vender","Vender","Lanzar","Educar")</f>
        <v>Lanzar</v>
      </c>
      <c r="AA304" s="102" t="str">
        <f t="shared" si="109"/>
        <v>Más de 400 mil</v>
      </c>
      <c r="AB304" s="102">
        <f>COUNTIFS($E$5:$E$493,E304,$S$5:$S$493,"&lt;"&amp;S304)+COUNTIFS($E$5:E304,E304,$S$5:S304,S304)</f>
        <v>3</v>
      </c>
      <c r="AC304" s="102">
        <f t="shared" si="110"/>
        <v>33</v>
      </c>
      <c r="AD304" s="102" t="str">
        <f t="shared" si="111"/>
        <v>Primer tercio</v>
      </c>
      <c r="AE304" s="103">
        <f t="shared" si="112"/>
        <v>5.2216009930708047</v>
      </c>
      <c r="AF304" s="102" t="str">
        <f t="shared" si="113"/>
        <v xml:space="preserve"> presentamos  nuestro último lanzamiento de belleza  imperdible  </v>
      </c>
      <c r="AG304" s="102" t="str">
        <f t="shared" si="114"/>
        <v xml:space="preserve"> una innovación que cambiará tu rutina   sé de los primeros  </v>
      </c>
      <c r="AH304" s="102" t="str">
        <f>IF(SUMPRODUCT(--(LEFT(IF(LEFT(LOWER(E304),1)="¡",MID(LOWER(E304),2,300),LOWER(E304)),LEN({"actualizaci","el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Sí</v>
      </c>
      <c r="AI304" s="102" t="str">
        <f>IF(OR(SUMPRODUCT(--ISNUMBER(SEARCH({"descuento","oferta","ahorr","precio"," sale ","flash","deals"},AF304)))&gt;0,SUMPRODUCT(--ISNUMBER(SEARCH({"descuento","oferta","ahorr","precio"," sale ","flash","deals"},AG304)))&gt;0),"Sí","No")</f>
        <v>No</v>
      </c>
      <c r="AJ304" s="102" t="str">
        <f>IF(SUMPRODUCT(--ISNUMBER(SEARCH({" hoy ","horas","tiempo limitado","antes de que","se acab","se agot","finalic","última oportunidad","oportunidad única","relámpago","express","no esperes","no volver","no parpadees"},AF304)))&gt;0,"Sí","No")</f>
        <v>No</v>
      </c>
      <c r="AK304" s="102" t="str">
        <f>IF(SUMPRODUCT(--ISNUMBER(SEARCH({" hoy ","horas","tiempo limitado","antes de que","se acab","se agot","finalic","última oportunidad","oportunidad única","relámpago","express","no esperes","no volver","no parpadees"},AG304)))&gt;0,"Sí","No")</f>
        <v>No</v>
      </c>
      <c r="AL304" s="102" t="str">
        <f t="shared" si="115"/>
        <v>Sin descuento</v>
      </c>
      <c r="AM304" s="102" t="str">
        <f>IF(SUMPRODUCT(--ISNUMBER(SEARCH({"0","1","2","3","4","5","6","7","8","9","favorit","maquillaje","piel","cabello","productos","belleza","regalo"},E304)))&gt;0,"Sí","No")</f>
        <v>Sí</v>
      </c>
      <c r="AN304" s="102" t="str">
        <f>IF(SUMPRODUCT(--ISNUMBER(SEARCH({"lo que tenemos","estas ofertas","algo especial","ofertas únicas","que preparamos","no te quedes","echa un vistazo"},F304)))&gt;0,"Sí","No")</f>
        <v>No</v>
      </c>
      <c r="AO304" s="102">
        <f t="shared" si="116"/>
        <v>63</v>
      </c>
      <c r="AP304" s="102">
        <f t="shared" si="117"/>
        <v>7</v>
      </c>
      <c r="AQ304" s="102">
        <f>SUMPRODUCT(LEN(E304)-LEN(SUBSTITUTE(E304,{"!","¡","?","¿",":",",",".","%","·","-",";"},"")))</f>
        <v>3</v>
      </c>
      <c r="AR304" s="102" t="str">
        <f t="shared" si="118"/>
        <v>No</v>
      </c>
      <c r="AS304" s="102" t="str">
        <f t="shared" si="119"/>
        <v>No</v>
      </c>
      <c r="AT304" s="102" t="str">
        <f>IF(SUMPRODUCT(--ISNUMBER(FIND({"0","1","2","3","4","5","6","7","8","9"},E304)))&gt;0,"Con cifra concreta",IF(OR(ISNUMBER(FIND("?",E304)),ISNUMBER(FIND("¿",E304))),"Pregunta abierta",IF(SUMPRODUCT(--ISNUMBER(SEARCH({" hoy ","horas","tiempo limitado","antes de que","se acab","se agot","finalic","última oportunidad","oportunidad única","relámpago","express","no esperes","no volver","no parpadees"," ya ","últimas horas","últimas unidades"," ahora "},AF304)))&gt;0,"Solo urgencia, sin cifra",IF(SUMPRODUCT(--ISNUMBER(SEARCH({"recompensa","sorpresa","regalo","lealtad","detalle","gracias","pensamos en ti","para ti"},E304)))&gt;0,"Recompensa o sorpresa","Otro: beneficio o novedad"))))</f>
        <v>Otro: beneficio o novedad</v>
      </c>
    </row>
    <row r="305" spans="1:46" x14ac:dyDescent="0.2">
      <c r="A305" s="96" t="s">
        <v>1176</v>
      </c>
      <c r="B305" s="96" t="s">
        <v>274</v>
      </c>
      <c r="C305" s="96" t="s">
        <v>815</v>
      </c>
      <c r="D305" s="96" t="s">
        <v>764</v>
      </c>
      <c r="E305" s="96" t="s">
        <v>948</v>
      </c>
      <c r="F305" s="96" t="s">
        <v>480</v>
      </c>
      <c r="G305" s="97">
        <v>134729</v>
      </c>
      <c r="H305" s="97">
        <v>9943</v>
      </c>
      <c r="I305" s="97">
        <v>1927</v>
      </c>
      <c r="J305" s="98">
        <v>5.01</v>
      </c>
      <c r="K305" s="98">
        <v>4.67</v>
      </c>
      <c r="L305" s="99">
        <v>98251.83</v>
      </c>
      <c r="M305" s="100">
        <f t="shared" si="96"/>
        <v>7.3799998515538601</v>
      </c>
      <c r="N305" s="100">
        <f t="shared" si="97"/>
        <v>1.4302785591817648</v>
      </c>
      <c r="O305" s="100">
        <f t="shared" si="98"/>
        <v>19.380468671427135</v>
      </c>
      <c r="P305" s="100">
        <f t="shared" si="99"/>
        <v>729.25524571547328</v>
      </c>
      <c r="Q305" s="100">
        <f t="shared" si="100"/>
        <v>15.012382065107001</v>
      </c>
      <c r="R305" s="100">
        <f t="shared" si="101"/>
        <v>31.113650744455075</v>
      </c>
      <c r="S305" s="101">
        <f t="shared" si="102"/>
        <v>45959</v>
      </c>
      <c r="T305" s="102" t="str">
        <f t="shared" si="103"/>
        <v>Octubre</v>
      </c>
      <c r="U305" s="102" t="str">
        <f t="shared" si="104"/>
        <v>Miércoles</v>
      </c>
      <c r="V305" s="102">
        <f t="shared" si="105"/>
        <v>15</v>
      </c>
      <c r="W305" s="102" t="str">
        <f t="shared" si="106"/>
        <v>Resto del mes</v>
      </c>
      <c r="X305" s="102">
        <f t="shared" si="107"/>
        <v>27</v>
      </c>
      <c r="Y305" s="102" t="str">
        <f t="shared" si="108"/>
        <v>Sí</v>
      </c>
      <c r="Z305" s="102" t="str">
        <f>CHOOSE(MATCH(B305,{"Customer Appreciation","Exclusive Offers","Flash Sale","Holiday Discounts","New Product Launch","Newsletter"},0),"Fidelizar","Vender","Vender","Vender","Lanzar","Educar")</f>
        <v>Fidelizar</v>
      </c>
      <c r="AA305" s="102" t="str">
        <f t="shared" si="109"/>
        <v>100 a 200 mil</v>
      </c>
      <c r="AB305" s="102">
        <f>COUNTIFS($E$5:$E$493,E305,$S$5:$S$493,"&lt;"&amp;S305)+COUNTIFS($E$5:E305,E305,$S$5:S305,S305)</f>
        <v>4</v>
      </c>
      <c r="AC305" s="102">
        <f t="shared" si="110"/>
        <v>4</v>
      </c>
      <c r="AD305" s="102" t="str">
        <f t="shared" si="111"/>
        <v/>
      </c>
      <c r="AE305" s="103">
        <f t="shared" si="112"/>
        <v>-7.6323822135531412</v>
      </c>
      <c r="AF305" s="102" t="str">
        <f t="shared" si="113"/>
        <v xml:space="preserve">  un pequeño detalle para agradecerte tu lealtad  </v>
      </c>
      <c r="AG305" s="102" t="str">
        <f t="shared" si="114"/>
        <v xml:space="preserve"> echa un vistazo a lo que tenemos para ti   te va a encantar  </v>
      </c>
      <c r="AH305" s="102" t="str">
        <f>IF(SUMPRODUCT(--(LEFT(IF(LEFT(LOWER(E305),1)="¡",MID(LOWER(E305),2,300),LOWER(E305)),LEN({"actualizaci","el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Sí</v>
      </c>
      <c r="AI305" s="102" t="str">
        <f>IF(OR(SUMPRODUCT(--ISNUMBER(SEARCH({"descuento","oferta","ahorr","precio"," sale ","flash","deals"},AF305)))&gt;0,SUMPRODUCT(--ISNUMBER(SEARCH({"descuento","oferta","ahorr","precio"," sale ","flash","deals"},AG305)))&gt;0),"Sí","No")</f>
        <v>No</v>
      </c>
      <c r="AJ305" s="102" t="str">
        <f>IF(SUMPRODUCT(--ISNUMBER(SEARCH({" hoy ","horas","tiempo limitado","antes de que","se acab","se agot","finalic","última oportunidad","oportunidad única","relámpago","express","no esperes","no volver","no parpadees"},AF305)))&gt;0,"Sí","No")</f>
        <v>No</v>
      </c>
      <c r="AK305" s="102" t="str">
        <f>IF(SUMPRODUCT(--ISNUMBER(SEARCH({" hoy ","horas","tiempo limitado","antes de que","se acab","se agot","finalic","última oportunidad","oportunidad única","relámpago","express","no esperes","no volver","no parpadees"},AG305)))&gt;0,"Sí","No")</f>
        <v>No</v>
      </c>
      <c r="AL305" s="102" t="str">
        <f t="shared" si="115"/>
        <v>Sin descuento</v>
      </c>
      <c r="AM305" s="102" t="str">
        <f>IF(SUMPRODUCT(--ISNUMBER(SEARCH({"0","1","2","3","4","5","6","7","8","9","favorit","maquillaje","piel","cabello","productos","belleza","regalo"},E305)))&gt;0,"Sí","No")</f>
        <v>No</v>
      </c>
      <c r="AN305" s="102" t="str">
        <f>IF(SUMPRODUCT(--ISNUMBER(SEARCH({"lo que tenemos","estas ofertas","algo especial","ofertas únicas","que preparamos","no te quedes","echa un vistazo"},F305)))&gt;0,"Sí","No")</f>
        <v>Sí</v>
      </c>
      <c r="AO305" s="102">
        <f t="shared" si="116"/>
        <v>48</v>
      </c>
      <c r="AP305" s="102">
        <f t="shared" si="117"/>
        <v>7</v>
      </c>
      <c r="AQ305" s="102">
        <f>SUMPRODUCT(LEN(E305)-LEN(SUBSTITUTE(E305,{"!","¡","?","¿",":",",",".","%","·","-",";"},"")))</f>
        <v>2</v>
      </c>
      <c r="AR305" s="102" t="str">
        <f t="shared" si="118"/>
        <v>Sí</v>
      </c>
      <c r="AS305" s="102" t="str">
        <f t="shared" si="119"/>
        <v>No</v>
      </c>
      <c r="AT305" s="102" t="str">
        <f>IF(SUMPRODUCT(--ISNUMBER(FIND({"0","1","2","3","4","5","6","7","8","9"},E305)))&gt;0,"Con cifra concreta",IF(OR(ISNUMBER(FIND("?",E305)),ISNUMBER(FIND("¿",E305))),"Pregunta abierta",IF(SUMPRODUCT(--ISNUMBER(SEARCH({" hoy ","horas","tiempo limitado","antes de que","se acab","se agot","finalic","última oportunidad","oportunidad única","relámpago","express","no esperes","no volver","no parpadees"," ya ","últimas horas","últimas unidades"," ahora "},AF305)))&gt;0,"Solo urgencia, sin cifra",IF(SUMPRODUCT(--ISNUMBER(SEARCH({"recompensa","sorpresa","regalo","lealtad","detalle","gracias","pensamos en ti","para ti"},E305)))&gt;0,"Recompensa o sorpresa","Otro: beneficio o novedad"))))</f>
        <v>Recompensa o sorpresa</v>
      </c>
    </row>
    <row r="306" spans="1:46" x14ac:dyDescent="0.2">
      <c r="A306" s="104" t="s">
        <v>1177</v>
      </c>
      <c r="B306" s="104" t="s">
        <v>276</v>
      </c>
      <c r="C306" s="104" t="s">
        <v>928</v>
      </c>
      <c r="D306" s="104" t="s">
        <v>715</v>
      </c>
      <c r="E306" s="104" t="s">
        <v>483</v>
      </c>
      <c r="F306" s="104" t="s">
        <v>484</v>
      </c>
      <c r="G306" s="105">
        <v>382173</v>
      </c>
      <c r="H306" s="105">
        <v>109723</v>
      </c>
      <c r="I306" s="105">
        <v>30956</v>
      </c>
      <c r="J306" s="106">
        <v>3.11</v>
      </c>
      <c r="K306" s="106">
        <v>1.53</v>
      </c>
      <c r="L306" s="107">
        <v>65911.06</v>
      </c>
      <c r="M306" s="108">
        <f t="shared" si="96"/>
        <v>28.710296122436695</v>
      </c>
      <c r="N306" s="108">
        <f t="shared" si="97"/>
        <v>8.0999965983991551</v>
      </c>
      <c r="O306" s="108">
        <f t="shared" si="98"/>
        <v>28.212863301222168</v>
      </c>
      <c r="P306" s="108">
        <f t="shared" si="99"/>
        <v>172.46393648949561</v>
      </c>
      <c r="Q306" s="108">
        <f t="shared" si="100"/>
        <v>17.395911943759799</v>
      </c>
      <c r="R306" s="108">
        <f t="shared" si="101"/>
        <v>29.440902453236173</v>
      </c>
      <c r="S306" s="101">
        <f t="shared" si="102"/>
        <v>45883</v>
      </c>
      <c r="T306" s="102" t="str">
        <f t="shared" si="103"/>
        <v>Agosto</v>
      </c>
      <c r="U306" s="102" t="str">
        <f t="shared" si="104"/>
        <v>Jueves</v>
      </c>
      <c r="V306" s="102">
        <f t="shared" si="105"/>
        <v>11</v>
      </c>
      <c r="W306" s="102" t="str">
        <f t="shared" si="106"/>
        <v>Quincena</v>
      </c>
      <c r="X306" s="102">
        <f t="shared" si="107"/>
        <v>23</v>
      </c>
      <c r="Y306" s="102" t="str">
        <f t="shared" si="108"/>
        <v>Sí</v>
      </c>
      <c r="Z306" s="102" t="str">
        <f>CHOOSE(MATCH(B306,{"Customer Appreciation","Exclusive Offers","Flash Sale","Holiday Discounts","New Product Launch","Newsletter"},0),"Fidelizar","Vender","Vender","Vender","Lanzar","Educar")</f>
        <v>Vender</v>
      </c>
      <c r="AA306" s="102" t="str">
        <f t="shared" si="109"/>
        <v>300 a 400 mil</v>
      </c>
      <c r="AB306" s="102">
        <f>COUNTIFS($E$5:$E$493,E306,$S$5:$S$493,"&lt;"&amp;S306)+COUNTIFS($E$5:E306,E306,$S$5:S306,S306)</f>
        <v>4</v>
      </c>
      <c r="AC306" s="102">
        <f t="shared" si="110"/>
        <v>9</v>
      </c>
      <c r="AD306" s="102" t="str">
        <f t="shared" si="111"/>
        <v>Medio</v>
      </c>
      <c r="AE306" s="103">
        <f t="shared" si="112"/>
        <v>11.314384178676896</v>
      </c>
      <c r="AF306" s="102" t="str">
        <f t="shared" si="113"/>
        <v xml:space="preserve">  gran oferta  por tiempo limitado  no te lo pierdas </v>
      </c>
      <c r="AG306" s="102" t="str">
        <f t="shared" si="114"/>
        <v xml:space="preserve"> aprovecha los descuentos en tus productos esenciales   compra ahora  </v>
      </c>
      <c r="AH306" s="102" t="str">
        <f>IF(SUMPRODUCT(--(LEFT(IF(LEFT(LOWER(E306),1)="¡",MID(LOWER(E306),2,300),LOWER(E306)),LEN({"actualizaci","el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Sí</v>
      </c>
      <c r="AI306" s="102" t="str">
        <f>IF(OR(SUMPRODUCT(--ISNUMBER(SEARCH({"descuento","oferta","ahorr","precio"," sale ","flash","deals"},AF306)))&gt;0,SUMPRODUCT(--ISNUMBER(SEARCH({"descuento","oferta","ahorr","precio"," sale ","flash","deals"},AG306)))&gt;0),"Sí","No")</f>
        <v>Sí</v>
      </c>
      <c r="AJ306" s="102" t="str">
        <f>IF(SUMPRODUCT(--ISNUMBER(SEARCH({" hoy ","horas","tiempo limitado","antes de que","se acab","se agot","finalic","última oportunidad","oportunidad única","relámpago","express","no esperes","no volver","no parpadees"},AF306)))&gt;0,"Sí","No")</f>
        <v>Sí</v>
      </c>
      <c r="AK306" s="102" t="str">
        <f>IF(SUMPRODUCT(--ISNUMBER(SEARCH({" hoy ","horas","tiempo limitado","antes de que","se acab","se agot","finalic","última oportunidad","oportunidad única","relámpago","express","no esperes","no volver","no parpadees"},AG306)))&gt;0,"Sí","No")</f>
        <v>No</v>
      </c>
      <c r="AL306" s="102" t="str">
        <f t="shared" si="115"/>
        <v>Descuento con tiempo límite en el asunto</v>
      </c>
      <c r="AM306" s="102" t="str">
        <f>IF(SUMPRODUCT(--ISNUMBER(SEARCH({"0","1","2","3","4","5","6","7","8","9","favorit","maquillaje","piel","cabello","productos","belleza","regalo"},E306)))&gt;0,"Sí","No")</f>
        <v>No</v>
      </c>
      <c r="AN306" s="102" t="str">
        <f>IF(SUMPRODUCT(--ISNUMBER(SEARCH({"lo que tenemos","estas ofertas","algo especial","ofertas únicas","que preparamos","no te quedes","echa un vistazo"},F306)))&gt;0,"Sí","No")</f>
        <v>No</v>
      </c>
      <c r="AO306" s="102">
        <f t="shared" si="116"/>
        <v>51</v>
      </c>
      <c r="AP306" s="102">
        <f t="shared" si="117"/>
        <v>9</v>
      </c>
      <c r="AQ306" s="102">
        <f>SUMPRODUCT(LEN(E306)-LEN(SUBSTITUTE(E306,{"!","¡","?","¿",":",",",".","%","·","-",";"},"")))</f>
        <v>3</v>
      </c>
      <c r="AR306" s="102" t="str">
        <f t="shared" si="118"/>
        <v>Sí</v>
      </c>
      <c r="AS306" s="102" t="str">
        <f t="shared" si="119"/>
        <v>No</v>
      </c>
      <c r="AT306" s="102" t="str">
        <f>IF(SUMPRODUCT(--ISNUMBER(FIND({"0","1","2","3","4","5","6","7","8","9"},E306)))&gt;0,"Con cifra concreta",IF(OR(ISNUMBER(FIND("?",E306)),ISNUMBER(FIND("¿",E306))),"Pregunta abierta",IF(SUMPRODUCT(--ISNUMBER(SEARCH({" hoy ","horas","tiempo limitado","antes de que","se acab","se agot","finalic","última oportunidad","oportunidad única","relámpago","express","no esperes","no volver","no parpadees"," ya ","últimas horas","últimas unidades"," ahora "},AF306)))&gt;0,"Solo urgencia, sin cifra",IF(SUMPRODUCT(--ISNUMBER(SEARCH({"recompensa","sorpresa","regalo","lealtad","detalle","gracias","pensamos en ti","para ti"},E306)))&gt;0,"Recompensa o sorpresa","Otro: beneficio o novedad"))))</f>
        <v>Solo urgencia, sin cifra</v>
      </c>
    </row>
    <row r="307" spans="1:46" x14ac:dyDescent="0.2">
      <c r="A307" s="96" t="s">
        <v>1178</v>
      </c>
      <c r="B307" s="96" t="s">
        <v>274</v>
      </c>
      <c r="C307" s="96" t="s">
        <v>944</v>
      </c>
      <c r="D307" s="96" t="s">
        <v>794</v>
      </c>
      <c r="E307" s="96" t="s">
        <v>817</v>
      </c>
      <c r="F307" s="96" t="s">
        <v>818</v>
      </c>
      <c r="G307" s="97">
        <v>376110</v>
      </c>
      <c r="H307" s="97">
        <v>75382</v>
      </c>
      <c r="I307" s="97">
        <v>73456</v>
      </c>
      <c r="J307" s="98">
        <v>1.89</v>
      </c>
      <c r="K307" s="98">
        <v>1.56</v>
      </c>
      <c r="L307" s="99">
        <v>59684.27</v>
      </c>
      <c r="M307" s="100">
        <f t="shared" si="96"/>
        <v>20.042540746058336</v>
      </c>
      <c r="N307" s="100">
        <f t="shared" si="97"/>
        <v>19.53045651538114</v>
      </c>
      <c r="O307" s="100">
        <f t="shared" si="98"/>
        <v>97.445013398424024</v>
      </c>
      <c r="P307" s="100">
        <f t="shared" si="99"/>
        <v>158.68833585919012</v>
      </c>
      <c r="Q307" s="100">
        <f t="shared" si="100"/>
        <v>29.881859851946338</v>
      </c>
      <c r="R307" s="100">
        <f t="shared" si="101"/>
        <v>31.113650744455075</v>
      </c>
      <c r="S307" s="101">
        <f t="shared" si="102"/>
        <v>45943</v>
      </c>
      <c r="T307" s="102" t="str">
        <f t="shared" si="103"/>
        <v>Octubre</v>
      </c>
      <c r="U307" s="102" t="str">
        <f t="shared" si="104"/>
        <v>Lunes</v>
      </c>
      <c r="V307" s="102">
        <f t="shared" si="105"/>
        <v>12</v>
      </c>
      <c r="W307" s="102" t="str">
        <f t="shared" si="106"/>
        <v>Resto del mes</v>
      </c>
      <c r="X307" s="102">
        <f t="shared" si="107"/>
        <v>23</v>
      </c>
      <c r="Y307" s="102" t="str">
        <f t="shared" si="108"/>
        <v>Sí</v>
      </c>
      <c r="Z307" s="102" t="str">
        <f>CHOOSE(MATCH(B307,{"Customer Appreciation","Exclusive Offers","Flash Sale","Holiday Discounts","New Product Launch","Newsletter"},0),"Fidelizar","Vender","Vender","Vender","Lanzar","Educar")</f>
        <v>Fidelizar</v>
      </c>
      <c r="AA307" s="102" t="str">
        <f t="shared" si="109"/>
        <v>300 a 400 mil</v>
      </c>
      <c r="AB307" s="102">
        <f>COUNTIFS($E$5:$E$493,E307,$S$5:$S$493,"&lt;"&amp;S307)+COUNTIFS($E$5:E307,E307,$S$5:S307,S307)</f>
        <v>3</v>
      </c>
      <c r="AC307" s="102">
        <f t="shared" si="110"/>
        <v>5</v>
      </c>
      <c r="AD307" s="102" t="str">
        <f t="shared" si="111"/>
        <v/>
      </c>
      <c r="AE307" s="103">
        <f t="shared" si="112"/>
        <v>-9.8393191058880021</v>
      </c>
      <c r="AF307" s="102" t="str">
        <f t="shared" si="113"/>
        <v xml:space="preserve">  un gesto de gratitud de l'oréal  tu belleza  nuestra pasión </v>
      </c>
      <c r="AG307" s="102" t="str">
        <f t="shared" si="114"/>
        <v xml:space="preserve"> hemos preparado algo especial para ti   descúbrelo ahora  </v>
      </c>
      <c r="AH307" s="102" t="str">
        <f>IF(SUMPRODUCT(--(LEFT(IF(LEFT(LOWER(E307),1)="¡",MID(LOWER(E307),2,300),LOWER(E307)),LEN({"actualizaci","el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307" s="102" t="str">
        <f>IF(OR(SUMPRODUCT(--ISNUMBER(SEARCH({"descuento","oferta","ahorr","precio"," sale ","flash","deals"},AF307)))&gt;0,SUMPRODUCT(--ISNUMBER(SEARCH({"descuento","oferta","ahorr","precio"," sale ","flash","deals"},AG307)))&gt;0),"Sí","No")</f>
        <v>No</v>
      </c>
      <c r="AJ307" s="102" t="str">
        <f>IF(SUMPRODUCT(--ISNUMBER(SEARCH({" hoy ","horas","tiempo limitado","antes de que","se acab","se agot","finalic","última oportunidad","oportunidad única","relámpago","express","no esperes","no volver","no parpadees"},AF307)))&gt;0,"Sí","No")</f>
        <v>No</v>
      </c>
      <c r="AK307" s="102" t="str">
        <f>IF(SUMPRODUCT(--ISNUMBER(SEARCH({" hoy ","horas","tiempo limitado","antes de que","se acab","se agot","finalic","última oportunidad","oportunidad única","relámpago","express","no esperes","no volver","no parpadees"},AG307)))&gt;0,"Sí","No")</f>
        <v>No</v>
      </c>
      <c r="AL307" s="102" t="str">
        <f t="shared" si="115"/>
        <v>Sin descuento</v>
      </c>
      <c r="AM307" s="102" t="str">
        <f>IF(SUMPRODUCT(--ISNUMBER(SEARCH({"0","1","2","3","4","5","6","7","8","9","favorit","maquillaje","piel","cabello","productos","belleza","regalo"},E307)))&gt;0,"Sí","No")</f>
        <v>Sí</v>
      </c>
      <c r="AN307" s="102" t="str">
        <f>IF(SUMPRODUCT(--ISNUMBER(SEARCH({"lo que tenemos","estas ofertas","algo especial","ofertas únicas","que preparamos","no te quedes","echa un vistazo"},F307)))&gt;0,"Sí","No")</f>
        <v>Sí</v>
      </c>
      <c r="AO307" s="102">
        <f t="shared" si="116"/>
        <v>60</v>
      </c>
      <c r="AP307" s="102">
        <f t="shared" si="117"/>
        <v>10</v>
      </c>
      <c r="AQ307" s="102">
        <f>SUMPRODUCT(LEN(E307)-LEN(SUBSTITUTE(E307,{"!","¡","?","¿",":",",",".","%","·","-",";"},"")))</f>
        <v>3</v>
      </c>
      <c r="AR307" s="102" t="str">
        <f t="shared" si="118"/>
        <v>No</v>
      </c>
      <c r="AS307" s="102" t="str">
        <f t="shared" si="119"/>
        <v>No</v>
      </c>
      <c r="AT307" s="102" t="str">
        <f>IF(SUMPRODUCT(--ISNUMBER(FIND({"0","1","2","3","4","5","6","7","8","9"},E307)))&gt;0,"Con cifra concreta",IF(OR(ISNUMBER(FIND("?",E307)),ISNUMBER(FIND("¿",E307))),"Pregunta abierta",IF(SUMPRODUCT(--ISNUMBER(SEARCH({" hoy ","horas","tiempo limitado","antes de que","se acab","se agot","finalic","última oportunidad","oportunidad única","relámpago","express","no esperes","no volver","no parpadees"," ya ","últimas horas","últimas unidades"," ahora "},AF307)))&gt;0,"Solo urgencia, sin cifra",IF(SUMPRODUCT(--ISNUMBER(SEARCH({"recompensa","sorpresa","regalo","lealtad","detalle","gracias","pensamos en ti","para ti"},E307)))&gt;0,"Recompensa o sorpresa","Otro: beneficio o novedad"))))</f>
        <v>Otro: beneficio o novedad</v>
      </c>
    </row>
    <row r="308" spans="1:46" x14ac:dyDescent="0.2">
      <c r="A308" s="104" t="s">
        <v>1179</v>
      </c>
      <c r="B308" s="104" t="s">
        <v>279</v>
      </c>
      <c r="C308" s="104" t="s">
        <v>889</v>
      </c>
      <c r="D308" s="104" t="s">
        <v>761</v>
      </c>
      <c r="E308" s="104" t="s">
        <v>463</v>
      </c>
      <c r="F308" s="104" t="s">
        <v>464</v>
      </c>
      <c r="G308" s="105">
        <v>211955</v>
      </c>
      <c r="H308" s="105">
        <v>39281</v>
      </c>
      <c r="I308" s="105">
        <v>36709</v>
      </c>
      <c r="J308" s="106">
        <v>4.22</v>
      </c>
      <c r="K308" s="106">
        <v>0.3</v>
      </c>
      <c r="L308" s="107">
        <v>69874.17</v>
      </c>
      <c r="M308" s="108">
        <f t="shared" si="96"/>
        <v>18.532707414309641</v>
      </c>
      <c r="N308" s="108">
        <f t="shared" si="97"/>
        <v>17.319242291995941</v>
      </c>
      <c r="O308" s="108">
        <f t="shared" si="98"/>
        <v>93.452305185713186</v>
      </c>
      <c r="P308" s="108">
        <f t="shared" si="99"/>
        <v>329.66511759571603</v>
      </c>
      <c r="Q308" s="108">
        <f t="shared" si="100"/>
        <v>33.412775116147934</v>
      </c>
      <c r="R308" s="108">
        <f t="shared" si="101"/>
        <v>27.75136451093497</v>
      </c>
      <c r="S308" s="101">
        <f t="shared" si="102"/>
        <v>45908</v>
      </c>
      <c r="T308" s="102" t="str">
        <f t="shared" si="103"/>
        <v>Septiembre</v>
      </c>
      <c r="U308" s="102" t="str">
        <f t="shared" si="104"/>
        <v>Lunes</v>
      </c>
      <c r="V308" s="102">
        <f t="shared" si="105"/>
        <v>10</v>
      </c>
      <c r="W308" s="102" t="str">
        <f t="shared" si="106"/>
        <v>Resto del mes</v>
      </c>
      <c r="X308" s="102">
        <f t="shared" si="107"/>
        <v>28</v>
      </c>
      <c r="Y308" s="102" t="str">
        <f t="shared" si="108"/>
        <v>Sí</v>
      </c>
      <c r="Z308" s="102" t="str">
        <f>CHOOSE(MATCH(B308,{"Customer Appreciation","Exclusive Offers","Flash Sale","Holiday Discounts","New Product Launch","Newsletter"},0),"Fidelizar","Vender","Vender","Vender","Lanzar","Educar")</f>
        <v>Educar</v>
      </c>
      <c r="AA308" s="102" t="str">
        <f t="shared" si="109"/>
        <v>200 a 300 mil</v>
      </c>
      <c r="AB308" s="102">
        <f>COUNTIFS($E$5:$E$493,E308,$S$5:$S$493,"&lt;"&amp;S308)+COUNTIFS($E$5:E308,E308,$S$5:S308,S308)</f>
        <v>13</v>
      </c>
      <c r="AC308" s="102">
        <f t="shared" si="110"/>
        <v>25</v>
      </c>
      <c r="AD308" s="102" t="str">
        <f t="shared" si="111"/>
        <v>Medio</v>
      </c>
      <c r="AE308" s="103">
        <f t="shared" si="112"/>
        <v>-14.880067701838293</v>
      </c>
      <c r="AF308" s="102" t="str">
        <f t="shared" si="113"/>
        <v xml:space="preserve"> tu dosis de belleza   no te lo pierdas  tips y trucos </v>
      </c>
      <c r="AG308" s="102" t="str">
        <f t="shared" si="114"/>
        <v xml:space="preserve"> consejos expertos  tendencias y más en tu bandeja de entrada   descúbrelo  </v>
      </c>
      <c r="AH308" s="102" t="str">
        <f>IF(SUMPRODUCT(--(LEFT(IF(LEFT(LOWER(E308),1)="¡",MID(LOWER(E308),2,300),LOWER(E308)),LEN({"actualizaci","el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308" s="102" t="str">
        <f>IF(OR(SUMPRODUCT(--ISNUMBER(SEARCH({"descuento","oferta","ahorr","precio"," sale ","flash","deals"},AF308)))&gt;0,SUMPRODUCT(--ISNUMBER(SEARCH({"descuento","oferta","ahorr","precio"," sale ","flash","deals"},AG308)))&gt;0),"Sí","No")</f>
        <v>No</v>
      </c>
      <c r="AJ308" s="102" t="str">
        <f>IF(SUMPRODUCT(--ISNUMBER(SEARCH({" hoy ","horas","tiempo limitado","antes de que","se acab","se agot","finalic","última oportunidad","oportunidad única","relámpago","express","no esperes","no volver","no parpadees"},AF308)))&gt;0,"Sí","No")</f>
        <v>No</v>
      </c>
      <c r="AK308" s="102" t="str">
        <f>IF(SUMPRODUCT(--ISNUMBER(SEARCH({" hoy ","horas","tiempo limitado","antes de que","se acab","se agot","finalic","última oportunidad","oportunidad única","relámpago","express","no esperes","no volver","no parpadees"},AG308)))&gt;0,"Sí","No")</f>
        <v>No</v>
      </c>
      <c r="AL308" s="102" t="str">
        <f t="shared" si="115"/>
        <v>Sin descuento</v>
      </c>
      <c r="AM308" s="102" t="str">
        <f>IF(SUMPRODUCT(--ISNUMBER(SEARCH({"0","1","2","3","4","5","6","7","8","9","favorit","maquillaje","piel","cabello","productos","belleza","regalo"},E308)))&gt;0,"Sí","No")</f>
        <v>Sí</v>
      </c>
      <c r="AN308" s="102" t="str">
        <f>IF(SUMPRODUCT(--ISNUMBER(SEARCH({"lo que tenemos","estas ofertas","algo especial","ofertas únicas","que preparamos","no te quedes","echa un vistazo"},F308)))&gt;0,"Sí","No")</f>
        <v>No</v>
      </c>
      <c r="AO308" s="102">
        <f t="shared" si="116"/>
        <v>53</v>
      </c>
      <c r="AP308" s="102">
        <f t="shared" si="117"/>
        <v>11</v>
      </c>
      <c r="AQ308" s="102">
        <f>SUMPRODUCT(LEN(E308)-LEN(SUBSTITUTE(E308,{"!","¡","?","¿",":",",",".","%","·","-",";"},"")))</f>
        <v>3</v>
      </c>
      <c r="AR308" s="102" t="str">
        <f t="shared" si="118"/>
        <v>No</v>
      </c>
      <c r="AS308" s="102" t="str">
        <f t="shared" si="119"/>
        <v>No</v>
      </c>
      <c r="AT308" s="102" t="str">
        <f>IF(SUMPRODUCT(--ISNUMBER(FIND({"0","1","2","3","4","5","6","7","8","9"},E308)))&gt;0,"Con cifra concreta",IF(OR(ISNUMBER(FIND("?",E308)),ISNUMBER(FIND("¿",E308))),"Pregunta abierta",IF(SUMPRODUCT(--ISNUMBER(SEARCH({" hoy ","horas","tiempo limitado","antes de que","se acab","se agot","finalic","última oportunidad","oportunidad única","relámpago","express","no esperes","no volver","no parpadees"," ya ","últimas horas","últimas unidades"," ahora "},AF308)))&gt;0,"Solo urgencia, sin cifra",IF(SUMPRODUCT(--ISNUMBER(SEARCH({"recompensa","sorpresa","regalo","lealtad","detalle","gracias","pensamos en ti","para ti"},E308)))&gt;0,"Recompensa o sorpresa","Otro: beneficio o novedad"))))</f>
        <v>Otro: beneficio o novedad</v>
      </c>
    </row>
    <row r="309" spans="1:46" x14ac:dyDescent="0.2">
      <c r="A309" s="96" t="s">
        <v>1180</v>
      </c>
      <c r="B309" s="96" t="s">
        <v>275</v>
      </c>
      <c r="C309" s="96" t="s">
        <v>891</v>
      </c>
      <c r="D309" s="96" t="s">
        <v>786</v>
      </c>
      <c r="E309" s="96" t="s">
        <v>486</v>
      </c>
      <c r="F309" s="96" t="s">
        <v>487</v>
      </c>
      <c r="G309" s="97">
        <v>129171</v>
      </c>
      <c r="H309" s="97">
        <v>9625</v>
      </c>
      <c r="I309" s="97">
        <v>7995</v>
      </c>
      <c r="J309" s="98">
        <v>4.22</v>
      </c>
      <c r="K309" s="98">
        <v>4.38</v>
      </c>
      <c r="L309" s="99">
        <v>99041.9</v>
      </c>
      <c r="M309" s="100">
        <f t="shared" si="96"/>
        <v>7.4513629220180997</v>
      </c>
      <c r="N309" s="100">
        <f t="shared" si="97"/>
        <v>6.1894697726269827</v>
      </c>
      <c r="O309" s="100">
        <f t="shared" si="98"/>
        <v>83.064935064935071</v>
      </c>
      <c r="P309" s="100">
        <f t="shared" si="99"/>
        <v>766.75027676490845</v>
      </c>
      <c r="Q309" s="100">
        <f t="shared" si="100"/>
        <v>10.717211021745861</v>
      </c>
      <c r="R309" s="100">
        <f t="shared" si="101"/>
        <v>27.021447627328243</v>
      </c>
      <c r="S309" s="101">
        <f t="shared" si="102"/>
        <v>45888</v>
      </c>
      <c r="T309" s="102" t="str">
        <f t="shared" si="103"/>
        <v>Agosto</v>
      </c>
      <c r="U309" s="102" t="str">
        <f t="shared" si="104"/>
        <v>Martes</v>
      </c>
      <c r="V309" s="102">
        <f t="shared" si="105"/>
        <v>15</v>
      </c>
      <c r="W309" s="102" t="str">
        <f t="shared" si="106"/>
        <v>Días después del pago</v>
      </c>
      <c r="X309" s="102">
        <f t="shared" si="107"/>
        <v>29</v>
      </c>
      <c r="Y309" s="102" t="str">
        <f t="shared" si="108"/>
        <v>Sí</v>
      </c>
      <c r="Z309" s="102" t="str">
        <f>CHOOSE(MATCH(B309,{"Customer Appreciation","Exclusive Offers","Flash Sale","Holiday Discounts","New Product Launch","Newsletter"},0),"Fidelizar","Vender","Vender","Vender","Lanzar","Educar")</f>
        <v>Vender</v>
      </c>
      <c r="AA309" s="102" t="str">
        <f t="shared" si="109"/>
        <v>100 a 200 mil</v>
      </c>
      <c r="AB309" s="102">
        <f>COUNTIFS($E$5:$E$493,E309,$S$5:$S$493,"&lt;"&amp;S309)+COUNTIFS($E$5:E309,E309,$S$5:S309,S309)</f>
        <v>1</v>
      </c>
      <c r="AC309" s="102">
        <f t="shared" si="110"/>
        <v>8</v>
      </c>
      <c r="AD309" s="102" t="str">
        <f t="shared" si="111"/>
        <v>Primer tercio</v>
      </c>
      <c r="AE309" s="103">
        <f t="shared" si="112"/>
        <v>-3.2658480997277612</v>
      </c>
      <c r="AF309" s="102" t="str">
        <f t="shared" si="113"/>
        <v xml:space="preserve">  oportunidades de ahorro  descúbrelas  solo para ti </v>
      </c>
      <c r="AG309" s="102" t="str">
        <f t="shared" si="114"/>
        <v xml:space="preserve"> no te pierdas estas ofertas únicas que tenemos para ti   entra ya  </v>
      </c>
      <c r="AH309" s="102" t="str">
        <f>IF(SUMPRODUCT(--(LEFT(IF(LEFT(LOWER(E309),1)="¡",MID(LOWER(E309),2,300),LOWER(E309)),LEN({"actualizaci","el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Sí</v>
      </c>
      <c r="AI309" s="102" t="str">
        <f>IF(OR(SUMPRODUCT(--ISNUMBER(SEARCH({"descuento","oferta","ahorr","precio"," sale ","flash","deals"},AF309)))&gt;0,SUMPRODUCT(--ISNUMBER(SEARCH({"descuento","oferta","ahorr","precio"," sale ","flash","deals"},AG309)))&gt;0),"Sí","No")</f>
        <v>Sí</v>
      </c>
      <c r="AJ309" s="102" t="str">
        <f>IF(SUMPRODUCT(--ISNUMBER(SEARCH({" hoy ","horas","tiempo limitado","antes de que","se acab","se agot","finalic","última oportunidad","oportunidad única","relámpago","express","no esperes","no volver","no parpadees"},AF309)))&gt;0,"Sí","No")</f>
        <v>No</v>
      </c>
      <c r="AK309" s="102" t="str">
        <f>IF(SUMPRODUCT(--ISNUMBER(SEARCH({" hoy ","horas","tiempo limitado","antes de que","se acab","se agot","finalic","última oportunidad","oportunidad única","relámpago","express","no esperes","no volver","no parpadees"},AG309)))&gt;0,"Sí","No")</f>
        <v>No</v>
      </c>
      <c r="AL309" s="102" t="str">
        <f t="shared" si="115"/>
        <v>Descuento sin tiempo límite</v>
      </c>
      <c r="AM309" s="102" t="str">
        <f>IF(SUMPRODUCT(--ISNUMBER(SEARCH({"0","1","2","3","4","5","6","7","8","9","favorit","maquillaje","piel","cabello","productos","belleza","regalo"},E309)))&gt;0,"Sí","No")</f>
        <v>No</v>
      </c>
      <c r="AN309" s="102" t="str">
        <f>IF(SUMPRODUCT(--ISNUMBER(SEARCH({"lo que tenemos","estas ofertas","algo especial","ofertas únicas","que preparamos","no te quedes","echa un vistazo"},F309)))&gt;0,"Sí","No")</f>
        <v>Sí</v>
      </c>
      <c r="AO309" s="102">
        <f t="shared" si="116"/>
        <v>51</v>
      </c>
      <c r="AP309" s="102">
        <f t="shared" si="117"/>
        <v>7</v>
      </c>
      <c r="AQ309" s="102">
        <f>SUMPRODUCT(LEN(E309)-LEN(SUBSTITUTE(E309,{"!","¡","?","¿",":",",",".","%","·","-",";"},"")))</f>
        <v>3</v>
      </c>
      <c r="AR309" s="102" t="str">
        <f t="shared" si="118"/>
        <v>Sí</v>
      </c>
      <c r="AS309" s="102" t="str">
        <f t="shared" si="119"/>
        <v>No</v>
      </c>
      <c r="AT309" s="102" t="str">
        <f>IF(SUMPRODUCT(--ISNUMBER(FIND({"0","1","2","3","4","5","6","7","8","9"},E309)))&gt;0,"Con cifra concreta",IF(OR(ISNUMBER(FIND("?",E309)),ISNUMBER(FIND("¿",E309))),"Pregunta abierta",IF(SUMPRODUCT(--ISNUMBER(SEARCH({" hoy ","horas","tiempo limitado","antes de que","se acab","se agot","finalic","última oportunidad","oportunidad única","relámpago","express","no esperes","no volver","no parpadees"," ya ","últimas horas","últimas unidades"," ahora "},AF309)))&gt;0,"Solo urgencia, sin cifra",IF(SUMPRODUCT(--ISNUMBER(SEARCH({"recompensa","sorpresa","regalo","lealtad","detalle","gracias","pensamos en ti","para ti"},E309)))&gt;0,"Recompensa o sorpresa","Otro: beneficio o novedad"))))</f>
        <v>Recompensa o sorpresa</v>
      </c>
    </row>
    <row r="310" spans="1:46" x14ac:dyDescent="0.2">
      <c r="A310" s="104" t="s">
        <v>1181</v>
      </c>
      <c r="B310" s="104" t="s">
        <v>278</v>
      </c>
      <c r="C310" s="104" t="s">
        <v>915</v>
      </c>
      <c r="D310" s="104" t="s">
        <v>769</v>
      </c>
      <c r="E310" s="104" t="s">
        <v>367</v>
      </c>
      <c r="F310" s="104" t="s">
        <v>458</v>
      </c>
      <c r="G310" s="105">
        <v>430285</v>
      </c>
      <c r="H310" s="105">
        <v>137207</v>
      </c>
      <c r="I310" s="105">
        <v>72619</v>
      </c>
      <c r="J310" s="106">
        <v>0.51</v>
      </c>
      <c r="K310" s="106">
        <v>2.64</v>
      </c>
      <c r="L310" s="107">
        <v>36558.29</v>
      </c>
      <c r="M310" s="108">
        <f t="shared" si="96"/>
        <v>31.887469932719011</v>
      </c>
      <c r="N310" s="108">
        <f t="shared" si="97"/>
        <v>16.876953647001404</v>
      </c>
      <c r="O310" s="108">
        <f t="shared" si="98"/>
        <v>52.926599954812801</v>
      </c>
      <c r="P310" s="108">
        <f t="shared" si="99"/>
        <v>84.962966405986734</v>
      </c>
      <c r="Q310" s="108">
        <f t="shared" si="100"/>
        <v>36.132518317209367</v>
      </c>
      <c r="R310" s="108">
        <f t="shared" si="101"/>
        <v>29.458247936272421</v>
      </c>
      <c r="S310" s="101">
        <f t="shared" si="102"/>
        <v>45954</v>
      </c>
      <c r="T310" s="102" t="str">
        <f t="shared" si="103"/>
        <v>Octubre</v>
      </c>
      <c r="U310" s="102" t="str">
        <f t="shared" si="104"/>
        <v>Viernes</v>
      </c>
      <c r="V310" s="102">
        <f t="shared" si="105"/>
        <v>13</v>
      </c>
      <c r="W310" s="102" t="str">
        <f t="shared" si="106"/>
        <v>Resto del mes</v>
      </c>
      <c r="X310" s="102">
        <f t="shared" si="107"/>
        <v>29</v>
      </c>
      <c r="Y310" s="102" t="str">
        <f t="shared" si="108"/>
        <v>Sí</v>
      </c>
      <c r="Z310" s="102" t="str">
        <f>CHOOSE(MATCH(B310,{"Customer Appreciation","Exclusive Offers","Flash Sale","Holiday Discounts","New Product Launch","Newsletter"},0),"Fidelizar","Vender","Vender","Vender","Lanzar","Educar")</f>
        <v>Lanzar</v>
      </c>
      <c r="AA310" s="102" t="str">
        <f t="shared" si="109"/>
        <v>Más de 400 mil</v>
      </c>
      <c r="AB310" s="102">
        <f>COUNTIFS($E$5:$E$493,E310,$S$5:$S$493,"&lt;"&amp;S310)+COUNTIFS($E$5:E310,E310,$S$5:S310,S310)</f>
        <v>20</v>
      </c>
      <c r="AC310" s="102">
        <f t="shared" si="110"/>
        <v>25</v>
      </c>
      <c r="AD310" s="102" t="str">
        <f t="shared" si="111"/>
        <v>Último tercio</v>
      </c>
      <c r="AE310" s="103">
        <f t="shared" si="112"/>
        <v>-4.2450483844903566</v>
      </c>
      <c r="AF310" s="102" t="str">
        <f t="shared" si="113"/>
        <v xml:space="preserve">  el futuro de tu piel ha llegado  nuevo producto revolucionario </v>
      </c>
      <c r="AG310" s="102" t="str">
        <f t="shared" si="114"/>
        <v xml:space="preserve"> una fórmula revolucionaria para resultados visibles   compruébalo  </v>
      </c>
      <c r="AH310" s="102" t="str">
        <f>IF(SUMPRODUCT(--(LEFT(IF(LEFT(LOWER(E310),1)="¡",MID(LOWER(E310),2,300),LOWER(E310)),LEN({"actualizaci","el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310" s="102" t="str">
        <f>IF(OR(SUMPRODUCT(--ISNUMBER(SEARCH({"descuento","oferta","ahorr","precio"," sale ","flash","deals"},AF310)))&gt;0,SUMPRODUCT(--ISNUMBER(SEARCH({"descuento","oferta","ahorr","precio"," sale ","flash","deals"},AG310)))&gt;0),"Sí","No")</f>
        <v>No</v>
      </c>
      <c r="AJ310" s="102" t="str">
        <f>IF(SUMPRODUCT(--ISNUMBER(SEARCH({" hoy ","horas","tiempo limitado","antes de que","se acab","se agot","finalic","última oportunidad","oportunidad única","relámpago","express","no esperes","no volver","no parpadees"},AF310)))&gt;0,"Sí","No")</f>
        <v>No</v>
      </c>
      <c r="AK310" s="102" t="str">
        <f>IF(SUMPRODUCT(--ISNUMBER(SEARCH({" hoy ","horas","tiempo limitado","antes de que","se acab","se agot","finalic","última oportunidad","oportunidad única","relámpago","express","no esperes","no volver","no parpadees"},AG310)))&gt;0,"Sí","No")</f>
        <v>No</v>
      </c>
      <c r="AL310" s="102" t="str">
        <f t="shared" si="115"/>
        <v>Sin descuento</v>
      </c>
      <c r="AM310" s="102" t="str">
        <f>IF(SUMPRODUCT(--ISNUMBER(SEARCH({"0","1","2","3","4","5","6","7","8","9","favorit","maquillaje","piel","cabello","productos","belleza","regalo"},E310)))&gt;0,"Sí","No")</f>
        <v>Sí</v>
      </c>
      <c r="AN310" s="102" t="str">
        <f>IF(SUMPRODUCT(--ISNUMBER(SEARCH({"lo que tenemos","estas ofertas","algo especial","ofertas únicas","que preparamos","no te quedes","echa un vistazo"},F310)))&gt;0,"Sí","No")</f>
        <v>No</v>
      </c>
      <c r="AO310" s="102">
        <f t="shared" si="116"/>
        <v>63</v>
      </c>
      <c r="AP310" s="102">
        <f t="shared" si="117"/>
        <v>10</v>
      </c>
      <c r="AQ310" s="102">
        <f>SUMPRODUCT(LEN(E310)-LEN(SUBSTITUTE(E310,{"!","¡","?","¿",":",",",".","%","·","-",";"},"")))</f>
        <v>2</v>
      </c>
      <c r="AR310" s="102" t="str">
        <f t="shared" si="118"/>
        <v>No</v>
      </c>
      <c r="AS310" s="102" t="str">
        <f t="shared" si="119"/>
        <v>No</v>
      </c>
      <c r="AT310" s="102" t="str">
        <f>IF(SUMPRODUCT(--ISNUMBER(FIND({"0","1","2","3","4","5","6","7","8","9"},E310)))&gt;0,"Con cifra concreta",IF(OR(ISNUMBER(FIND("?",E310)),ISNUMBER(FIND("¿",E310))),"Pregunta abierta",IF(SUMPRODUCT(--ISNUMBER(SEARCH({" hoy ","horas","tiempo limitado","antes de que","se acab","se agot","finalic","última oportunidad","oportunidad única","relámpago","express","no esperes","no volver","no parpadees"," ya ","últimas horas","últimas unidades"," ahora "},AF310)))&gt;0,"Solo urgencia, sin cifra",IF(SUMPRODUCT(--ISNUMBER(SEARCH({"recompensa","sorpresa","regalo","lealtad","detalle","gracias","pensamos en ti","para ti"},E310)))&gt;0,"Recompensa o sorpresa","Otro: beneficio o novedad"))))</f>
        <v>Otro: beneficio o novedad</v>
      </c>
    </row>
    <row r="311" spans="1:46" x14ac:dyDescent="0.2">
      <c r="A311" s="96" t="s">
        <v>1182</v>
      </c>
      <c r="B311" s="96" t="s">
        <v>278</v>
      </c>
      <c r="C311" s="96" t="s">
        <v>917</v>
      </c>
      <c r="D311" s="96" t="s">
        <v>774</v>
      </c>
      <c r="E311" s="96" t="s">
        <v>467</v>
      </c>
      <c r="F311" s="96" t="s">
        <v>468</v>
      </c>
      <c r="G311" s="97">
        <v>37971</v>
      </c>
      <c r="H311" s="97">
        <v>17042</v>
      </c>
      <c r="I311" s="97">
        <v>2662</v>
      </c>
      <c r="J311" s="98">
        <v>5.41</v>
      </c>
      <c r="K311" s="98">
        <v>0.17</v>
      </c>
      <c r="L311" s="99">
        <v>92268.27</v>
      </c>
      <c r="M311" s="100">
        <f t="shared" si="96"/>
        <v>44.881620183824502</v>
      </c>
      <c r="N311" s="100">
        <f t="shared" si="97"/>
        <v>7.0106133628295275</v>
      </c>
      <c r="O311" s="100">
        <f t="shared" si="98"/>
        <v>15.620232367093065</v>
      </c>
      <c r="P311" s="100">
        <f t="shared" si="99"/>
        <v>2429.9668167812279</v>
      </c>
      <c r="Q311" s="100">
        <f t="shared" si="100"/>
        <v>30.93688234168668</v>
      </c>
      <c r="R311" s="100">
        <f t="shared" si="101"/>
        <v>29.458247936272421</v>
      </c>
      <c r="S311" s="101">
        <f t="shared" si="102"/>
        <v>45916</v>
      </c>
      <c r="T311" s="102" t="str">
        <f t="shared" si="103"/>
        <v>Septiembre</v>
      </c>
      <c r="U311" s="102" t="str">
        <f t="shared" si="104"/>
        <v>Martes</v>
      </c>
      <c r="V311" s="102">
        <f t="shared" si="105"/>
        <v>11</v>
      </c>
      <c r="W311" s="102" t="str">
        <f t="shared" si="106"/>
        <v>Quincena</v>
      </c>
      <c r="X311" s="102">
        <f t="shared" si="107"/>
        <v>27</v>
      </c>
      <c r="Y311" s="102" t="str">
        <f t="shared" si="108"/>
        <v>Sí</v>
      </c>
      <c r="Z311" s="102" t="str">
        <f>CHOOSE(MATCH(B311,{"Customer Appreciation","Exclusive Offers","Flash Sale","Holiday Discounts","New Product Launch","Newsletter"},0),"Fidelizar","Vender","Vender","Vender","Lanzar","Educar")</f>
        <v>Lanzar</v>
      </c>
      <c r="AA311" s="102" t="str">
        <f t="shared" si="109"/>
        <v>Menos de 100 mil</v>
      </c>
      <c r="AB311" s="102">
        <f>COUNTIFS($E$5:$E$493,E311,$S$5:$S$493,"&lt;"&amp;S311)+COUNTIFS($E$5:E311,E311,$S$5:S311,S311)</f>
        <v>17</v>
      </c>
      <c r="AC311" s="102">
        <f t="shared" si="110"/>
        <v>22</v>
      </c>
      <c r="AD311" s="102" t="str">
        <f t="shared" si="111"/>
        <v>Último tercio</v>
      </c>
      <c r="AE311" s="103">
        <f t="shared" si="112"/>
        <v>13.944737842137823</v>
      </c>
      <c r="AF311" s="102" t="str">
        <f t="shared" si="113"/>
        <v xml:space="preserve">  lo nuevo de l'oréal  te va a encantar  innovación en belleza </v>
      </c>
      <c r="AG311" s="102" t="str">
        <f t="shared" si="114"/>
        <v xml:space="preserve"> prepárate para experimentar la innovación en tu belleza   descúbrela  </v>
      </c>
      <c r="AH311" s="102" t="str">
        <f>IF(SUMPRODUCT(--(LEFT(IF(LEFT(LOWER(E311),1)="¡",MID(LOWER(E311),2,300),LOWER(E311)),LEN({"actualizaci","el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311" s="102" t="str">
        <f>IF(OR(SUMPRODUCT(--ISNUMBER(SEARCH({"descuento","oferta","ahorr","precio"," sale ","flash","deals"},AF311)))&gt;0,SUMPRODUCT(--ISNUMBER(SEARCH({"descuento","oferta","ahorr","precio"," sale ","flash","deals"},AG311)))&gt;0),"Sí","No")</f>
        <v>No</v>
      </c>
      <c r="AJ311" s="102" t="str">
        <f>IF(SUMPRODUCT(--ISNUMBER(SEARCH({" hoy ","horas","tiempo limitado","antes de que","se acab","se agot","finalic","última oportunidad","oportunidad única","relámpago","express","no esperes","no volver","no parpadees"},AF311)))&gt;0,"Sí","No")</f>
        <v>No</v>
      </c>
      <c r="AK311" s="102" t="str">
        <f>IF(SUMPRODUCT(--ISNUMBER(SEARCH({" hoy ","horas","tiempo limitado","antes de que","se acab","se agot","finalic","última oportunidad","oportunidad única","relámpago","express","no esperes","no volver","no parpadees"},AG311)))&gt;0,"Sí","No")</f>
        <v>No</v>
      </c>
      <c r="AL311" s="102" t="str">
        <f t="shared" si="115"/>
        <v>Sin descuento</v>
      </c>
      <c r="AM311" s="102" t="str">
        <f>IF(SUMPRODUCT(--ISNUMBER(SEARCH({"0","1","2","3","4","5","6","7","8","9","favorit","maquillaje","piel","cabello","productos","belleza","regalo"},E311)))&gt;0,"Sí","No")</f>
        <v>Sí</v>
      </c>
      <c r="AN311" s="102" t="str">
        <f>IF(SUMPRODUCT(--ISNUMBER(SEARCH({"lo que tenemos","estas ofertas","algo especial","ofertas únicas","que preparamos","no te quedes","echa un vistazo"},F311)))&gt;0,"Sí","No")</f>
        <v>No</v>
      </c>
      <c r="AO311" s="102">
        <f t="shared" si="116"/>
        <v>61</v>
      </c>
      <c r="AP311" s="102">
        <f t="shared" si="117"/>
        <v>11</v>
      </c>
      <c r="AQ311" s="102">
        <f>SUMPRODUCT(LEN(E311)-LEN(SUBSTITUTE(E311,{"!","¡","?","¿",":",",",".","%","·","-",";"},"")))</f>
        <v>3</v>
      </c>
      <c r="AR311" s="102" t="str">
        <f t="shared" si="118"/>
        <v>No</v>
      </c>
      <c r="AS311" s="102" t="str">
        <f t="shared" si="119"/>
        <v>No</v>
      </c>
      <c r="AT311" s="102" t="str">
        <f>IF(SUMPRODUCT(--ISNUMBER(FIND({"0","1","2","3","4","5","6","7","8","9"},E311)))&gt;0,"Con cifra concreta",IF(OR(ISNUMBER(FIND("?",E311)),ISNUMBER(FIND("¿",E311))),"Pregunta abierta",IF(SUMPRODUCT(--ISNUMBER(SEARCH({" hoy ","horas","tiempo limitado","antes de que","se acab","se agot","finalic","última oportunidad","oportunidad única","relámpago","express","no esperes","no volver","no parpadees"," ya ","últimas horas","últimas unidades"," ahora "},AF311)))&gt;0,"Solo urgencia, sin cifra",IF(SUMPRODUCT(--ISNUMBER(SEARCH({"recompensa","sorpresa","regalo","lealtad","detalle","gracias","pensamos en ti","para ti"},E311)))&gt;0,"Recompensa o sorpresa","Otro: beneficio o novedad"))))</f>
        <v>Otro: beneficio o novedad</v>
      </c>
    </row>
    <row r="312" spans="1:46" x14ac:dyDescent="0.2">
      <c r="A312" s="104" t="s">
        <v>1183</v>
      </c>
      <c r="B312" s="104" t="s">
        <v>275</v>
      </c>
      <c r="C312" s="104" t="s">
        <v>793</v>
      </c>
      <c r="D312" s="104" t="s">
        <v>947</v>
      </c>
      <c r="E312" s="104" t="s">
        <v>455</v>
      </c>
      <c r="F312" s="104" t="s">
        <v>456</v>
      </c>
      <c r="G312" s="105">
        <v>381739</v>
      </c>
      <c r="H312" s="105">
        <v>116172</v>
      </c>
      <c r="I312" s="105">
        <v>60882</v>
      </c>
      <c r="J312" s="106">
        <v>0.6</v>
      </c>
      <c r="K312" s="106">
        <v>4.95</v>
      </c>
      <c r="L312" s="107">
        <v>73920.600000000006</v>
      </c>
      <c r="M312" s="108">
        <f t="shared" si="96"/>
        <v>30.432311081655268</v>
      </c>
      <c r="N312" s="108">
        <f t="shared" si="97"/>
        <v>15.948593148722031</v>
      </c>
      <c r="O312" s="108">
        <f t="shared" si="98"/>
        <v>52.406776159487656</v>
      </c>
      <c r="P312" s="108">
        <f t="shared" si="99"/>
        <v>193.64172903475938</v>
      </c>
      <c r="Q312" s="108">
        <f t="shared" si="100"/>
        <v>38.720231784441999</v>
      </c>
      <c r="R312" s="108">
        <f t="shared" si="101"/>
        <v>27.021447627328243</v>
      </c>
      <c r="S312" s="101">
        <f t="shared" si="102"/>
        <v>45939</v>
      </c>
      <c r="T312" s="102" t="str">
        <f t="shared" si="103"/>
        <v>Octubre</v>
      </c>
      <c r="U312" s="102" t="str">
        <f t="shared" si="104"/>
        <v>Jueves</v>
      </c>
      <c r="V312" s="102">
        <f t="shared" si="105"/>
        <v>9</v>
      </c>
      <c r="W312" s="102" t="str">
        <f t="shared" si="106"/>
        <v>Resto del mes</v>
      </c>
      <c r="X312" s="102">
        <f t="shared" si="107"/>
        <v>27</v>
      </c>
      <c r="Y312" s="102" t="str">
        <f t="shared" si="108"/>
        <v>Sí</v>
      </c>
      <c r="Z312" s="102" t="str">
        <f>CHOOSE(MATCH(B312,{"Customer Appreciation","Exclusive Offers","Flash Sale","Holiday Discounts","New Product Launch","Newsletter"},0),"Fidelizar","Vender","Vender","Vender","Lanzar","Educar")</f>
        <v>Vender</v>
      </c>
      <c r="AA312" s="102" t="str">
        <f t="shared" si="109"/>
        <v>300 a 400 mil</v>
      </c>
      <c r="AB312" s="102">
        <f>COUNTIFS($E$5:$E$493,E312,$S$5:$S$493,"&lt;"&amp;S312)+COUNTIFS($E$5:E312,E312,$S$5:S312,S312)</f>
        <v>11</v>
      </c>
      <c r="AC312" s="102">
        <f t="shared" si="110"/>
        <v>15</v>
      </c>
      <c r="AD312" s="102" t="str">
        <f t="shared" si="111"/>
        <v>Último tercio</v>
      </c>
      <c r="AE312" s="103">
        <f t="shared" si="112"/>
        <v>-8.2879207027867317</v>
      </c>
      <c r="AF312" s="102" t="str">
        <f t="shared" si="113"/>
        <v xml:space="preserve">  solo un clic te separa de estas ofertas  l'oréal paris </v>
      </c>
      <c r="AG312" s="102" t="str">
        <f t="shared" si="114"/>
        <v xml:space="preserve"> descuentos irresistibles en productos seleccionados   últimas horas  </v>
      </c>
      <c r="AH312" s="102" t="str">
        <f>IF(SUMPRODUCT(--(LEFT(IF(LEFT(LOWER(E312),1)="¡",MID(LOWER(E312),2,300),LOWER(E312)),LEN({"actualizaci","el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312" s="102" t="str">
        <f>IF(OR(SUMPRODUCT(--ISNUMBER(SEARCH({"descuento","oferta","ahorr","precio"," sale ","flash","deals"},AF312)))&gt;0,SUMPRODUCT(--ISNUMBER(SEARCH({"descuento","oferta","ahorr","precio"," sale ","flash","deals"},AG312)))&gt;0),"Sí","No")</f>
        <v>Sí</v>
      </c>
      <c r="AJ312" s="102" t="str">
        <f>IF(SUMPRODUCT(--ISNUMBER(SEARCH({" hoy ","horas","tiempo limitado","antes de que","se acab","se agot","finalic","última oportunidad","oportunidad única","relámpago","express","no esperes","no volver","no parpadees"},AF312)))&gt;0,"Sí","No")</f>
        <v>No</v>
      </c>
      <c r="AK312" s="102" t="str">
        <f>IF(SUMPRODUCT(--ISNUMBER(SEARCH({" hoy ","horas","tiempo limitado","antes de que","se acab","se agot","finalic","última oportunidad","oportunidad única","relámpago","express","no esperes","no volver","no parpadees"},AG312)))&gt;0,"Sí","No")</f>
        <v>Sí</v>
      </c>
      <c r="AL312" s="102" t="str">
        <f t="shared" si="115"/>
        <v>Descuento con tiempo límite solo en el preheader</v>
      </c>
      <c r="AM312" s="102" t="str">
        <f>IF(SUMPRODUCT(--ISNUMBER(SEARCH({"0","1","2","3","4","5","6","7","8","9","favorit","maquillaje","piel","cabello","productos","belleza","regalo"},E312)))&gt;0,"Sí","No")</f>
        <v>No</v>
      </c>
      <c r="AN312" s="102" t="str">
        <f>IF(SUMPRODUCT(--ISNUMBER(SEARCH({"lo que tenemos","estas ofertas","algo especial","ofertas únicas","que preparamos","no te quedes","echa un vistazo"},F312)))&gt;0,"Sí","No")</f>
        <v>No</v>
      </c>
      <c r="AO312" s="102">
        <f t="shared" si="116"/>
        <v>55</v>
      </c>
      <c r="AP312" s="102">
        <f t="shared" si="117"/>
        <v>10</v>
      </c>
      <c r="AQ312" s="102">
        <f>SUMPRODUCT(LEN(E312)-LEN(SUBSTITUTE(E312,{"!","¡","?","¿",":",",",".","%","·","-",";"},"")))</f>
        <v>2</v>
      </c>
      <c r="AR312" s="102" t="str">
        <f t="shared" si="118"/>
        <v>No</v>
      </c>
      <c r="AS312" s="102" t="str">
        <f t="shared" si="119"/>
        <v>No</v>
      </c>
      <c r="AT312" s="102" t="str">
        <f>IF(SUMPRODUCT(--ISNUMBER(FIND({"0","1","2","3","4","5","6","7","8","9"},E312)))&gt;0,"Con cifra concreta",IF(OR(ISNUMBER(FIND("?",E312)),ISNUMBER(FIND("¿",E312))),"Pregunta abierta",IF(SUMPRODUCT(--ISNUMBER(SEARCH({" hoy ","horas","tiempo limitado","antes de que","se acab","se agot","finalic","última oportunidad","oportunidad única","relámpago","express","no esperes","no volver","no parpadees"," ya ","últimas horas","últimas unidades"," ahora "},AF312)))&gt;0,"Solo urgencia, sin cifra",IF(SUMPRODUCT(--ISNUMBER(SEARCH({"recompensa","sorpresa","regalo","lealtad","detalle","gracias","pensamos en ti","para ti"},E312)))&gt;0,"Recompensa o sorpresa","Otro: beneficio o novedad"))))</f>
        <v>Otro: beneficio o novedad</v>
      </c>
    </row>
    <row r="313" spans="1:46" x14ac:dyDescent="0.2">
      <c r="A313" s="96" t="s">
        <v>1184</v>
      </c>
      <c r="B313" s="96" t="s">
        <v>275</v>
      </c>
      <c r="C313" s="96" t="s">
        <v>830</v>
      </c>
      <c r="D313" s="96" t="s">
        <v>950</v>
      </c>
      <c r="E313" s="96" t="s">
        <v>465</v>
      </c>
      <c r="F313" s="96" t="s">
        <v>466</v>
      </c>
      <c r="G313" s="97">
        <v>318815</v>
      </c>
      <c r="H313" s="97">
        <v>34710</v>
      </c>
      <c r="I313" s="97">
        <v>14697</v>
      </c>
      <c r="J313" s="98">
        <v>8.66</v>
      </c>
      <c r="K313" s="98">
        <v>1.1599999999999999</v>
      </c>
      <c r="L313" s="99">
        <v>22392.68</v>
      </c>
      <c r="M313" s="100">
        <f t="shared" si="96"/>
        <v>10.887191631510436</v>
      </c>
      <c r="N313" s="100">
        <f t="shared" si="97"/>
        <v>4.6098834747424053</v>
      </c>
      <c r="O313" s="100">
        <f t="shared" si="98"/>
        <v>42.342264477095938</v>
      </c>
      <c r="P313" s="100">
        <f t="shared" si="99"/>
        <v>70.237222213509412</v>
      </c>
      <c r="Q313" s="100">
        <f t="shared" si="100"/>
        <v>33.047230763392911</v>
      </c>
      <c r="R313" s="100">
        <f t="shared" si="101"/>
        <v>27.021447627328243</v>
      </c>
      <c r="S313" s="101">
        <f t="shared" si="102"/>
        <v>45901</v>
      </c>
      <c r="T313" s="102" t="str">
        <f t="shared" si="103"/>
        <v>Septiembre</v>
      </c>
      <c r="U313" s="102" t="str">
        <f t="shared" si="104"/>
        <v>Lunes</v>
      </c>
      <c r="V313" s="102">
        <f t="shared" si="105"/>
        <v>14</v>
      </c>
      <c r="W313" s="102" t="str">
        <f t="shared" si="106"/>
        <v>Quincena</v>
      </c>
      <c r="X313" s="102">
        <f t="shared" si="107"/>
        <v>29</v>
      </c>
      <c r="Y313" s="102" t="str">
        <f t="shared" si="108"/>
        <v>Sí</v>
      </c>
      <c r="Z313" s="102" t="str">
        <f>CHOOSE(MATCH(B313,{"Customer Appreciation","Exclusive Offers","Flash Sale","Holiday Discounts","New Product Launch","Newsletter"},0),"Fidelizar","Vender","Vender","Vender","Lanzar","Educar")</f>
        <v>Vender</v>
      </c>
      <c r="AA313" s="102" t="str">
        <f t="shared" si="109"/>
        <v>300 a 400 mil</v>
      </c>
      <c r="AB313" s="102">
        <f>COUNTIFS($E$5:$E$493,E313,$S$5:$S$493,"&lt;"&amp;S313)+COUNTIFS($E$5:E313,E313,$S$5:S313,S313)</f>
        <v>7</v>
      </c>
      <c r="AC313" s="102">
        <f t="shared" si="110"/>
        <v>22</v>
      </c>
      <c r="AD313" s="102" t="str">
        <f t="shared" si="111"/>
        <v>Primer tercio</v>
      </c>
      <c r="AE313" s="103">
        <f t="shared" si="112"/>
        <v>-22.160039131882474</v>
      </c>
      <c r="AF313" s="102" t="str">
        <f t="shared" si="113"/>
        <v xml:space="preserve">  ofertas exclusivas  solo para nuestra comunidad vip </v>
      </c>
      <c r="AG313" s="102" t="str">
        <f t="shared" si="114"/>
        <v xml:space="preserve"> productos premium con descuentos únicos   acceso limitado  </v>
      </c>
      <c r="AH313" s="102" t="str">
        <f>IF(SUMPRODUCT(--(LEFT(IF(LEFT(LOWER(E313),1)="¡",MID(LOWER(E313),2,300),LOWER(E313)),LEN({"actualizaci","el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313" s="102" t="str">
        <f>IF(OR(SUMPRODUCT(--ISNUMBER(SEARCH({"descuento","oferta","ahorr","precio"," sale ","flash","deals"},AF313)))&gt;0,SUMPRODUCT(--ISNUMBER(SEARCH({"descuento","oferta","ahorr","precio"," sale ","flash","deals"},AG313)))&gt;0),"Sí","No")</f>
        <v>Sí</v>
      </c>
      <c r="AJ313" s="102" t="str">
        <f>IF(SUMPRODUCT(--ISNUMBER(SEARCH({" hoy ","horas","tiempo limitado","antes de que","se acab","se agot","finalic","última oportunidad","oportunidad única","relámpago","express","no esperes","no volver","no parpadees"},AF313)))&gt;0,"Sí","No")</f>
        <v>No</v>
      </c>
      <c r="AK313" s="102" t="str">
        <f>IF(SUMPRODUCT(--ISNUMBER(SEARCH({" hoy ","horas","tiempo limitado","antes de que","se acab","se agot","finalic","última oportunidad","oportunidad única","relámpago","express","no esperes","no volver","no parpadees"},AG313)))&gt;0,"Sí","No")</f>
        <v>No</v>
      </c>
      <c r="AL313" s="102" t="str">
        <f t="shared" si="115"/>
        <v>Descuento sin tiempo límite</v>
      </c>
      <c r="AM313" s="102" t="str">
        <f>IF(SUMPRODUCT(--ISNUMBER(SEARCH({"0","1","2","3","4","5","6","7","8","9","favorit","maquillaje","piel","cabello","productos","belleza","regalo"},E313)))&gt;0,"Sí","No")</f>
        <v>No</v>
      </c>
      <c r="AN313" s="102" t="str">
        <f>IF(SUMPRODUCT(--ISNUMBER(SEARCH({"lo que tenemos","estas ofertas","algo especial","ofertas únicas","que preparamos","no te quedes","echa un vistazo"},F313)))&gt;0,"Sí","No")</f>
        <v>No</v>
      </c>
      <c r="AO313" s="102">
        <f t="shared" si="116"/>
        <v>52</v>
      </c>
      <c r="AP313" s="102">
        <f t="shared" si="117"/>
        <v>7</v>
      </c>
      <c r="AQ313" s="102">
        <f>SUMPRODUCT(LEN(E313)-LEN(SUBSTITUTE(E313,{"!","¡","?","¿",":",",",".","%","·","-",";"},"")))</f>
        <v>2</v>
      </c>
      <c r="AR313" s="102" t="str">
        <f t="shared" si="118"/>
        <v>Sí</v>
      </c>
      <c r="AS313" s="102" t="str">
        <f t="shared" si="119"/>
        <v>No</v>
      </c>
      <c r="AT313" s="102" t="str">
        <f>IF(SUMPRODUCT(--ISNUMBER(FIND({"0","1","2","3","4","5","6","7","8","9"},E313)))&gt;0,"Con cifra concreta",IF(OR(ISNUMBER(FIND("?",E313)),ISNUMBER(FIND("¿",E313))),"Pregunta abierta",IF(SUMPRODUCT(--ISNUMBER(SEARCH({" hoy ","horas","tiempo limitado","antes de que","se acab","se agot","finalic","última oportunidad","oportunidad única","relámpago","express","no esperes","no volver","no parpadees"," ya ","últimas horas","últimas unidades"," ahora "},AF313)))&gt;0,"Solo urgencia, sin cifra",IF(SUMPRODUCT(--ISNUMBER(SEARCH({"recompensa","sorpresa","regalo","lealtad","detalle","gracias","pensamos en ti","para ti"},E313)))&gt;0,"Recompensa o sorpresa","Otro: beneficio o novedad"))))</f>
        <v>Otro: beneficio o novedad</v>
      </c>
    </row>
    <row r="314" spans="1:46" x14ac:dyDescent="0.2">
      <c r="A314" s="104" t="s">
        <v>1185</v>
      </c>
      <c r="B314" s="104" t="s">
        <v>278</v>
      </c>
      <c r="C314" s="104" t="s">
        <v>976</v>
      </c>
      <c r="D314" s="104" t="s">
        <v>751</v>
      </c>
      <c r="E314" s="104" t="s">
        <v>368</v>
      </c>
      <c r="F314" s="104" t="s">
        <v>471</v>
      </c>
      <c r="G314" s="105">
        <v>455974</v>
      </c>
      <c r="H314" s="105">
        <v>118742</v>
      </c>
      <c r="I314" s="105">
        <v>74092</v>
      </c>
      <c r="J314" s="106">
        <v>3.35</v>
      </c>
      <c r="K314" s="106">
        <v>2.5499999999999998</v>
      </c>
      <c r="L314" s="107">
        <v>67449.33</v>
      </c>
      <c r="M314" s="108">
        <f t="shared" si="96"/>
        <v>26.041397097202911</v>
      </c>
      <c r="N314" s="108">
        <f t="shared" si="97"/>
        <v>16.249172101918091</v>
      </c>
      <c r="O314" s="108">
        <f t="shared" si="98"/>
        <v>62.397466776709166</v>
      </c>
      <c r="P314" s="108">
        <f t="shared" si="99"/>
        <v>147.92363161057429</v>
      </c>
      <c r="Q314" s="108">
        <f t="shared" si="100"/>
        <v>23.315840784070005</v>
      </c>
      <c r="R314" s="108">
        <f t="shared" si="101"/>
        <v>29.458247936272421</v>
      </c>
      <c r="S314" s="101">
        <f t="shared" si="102"/>
        <v>45892</v>
      </c>
      <c r="T314" s="102" t="str">
        <f t="shared" si="103"/>
        <v>Agosto</v>
      </c>
      <c r="U314" s="102" t="str">
        <f t="shared" si="104"/>
        <v>Sábado</v>
      </c>
      <c r="V314" s="102">
        <f t="shared" si="105"/>
        <v>11</v>
      </c>
      <c r="W314" s="102" t="str">
        <f t="shared" si="106"/>
        <v>Resto del mes</v>
      </c>
      <c r="X314" s="102">
        <f t="shared" si="107"/>
        <v>25</v>
      </c>
      <c r="Y314" s="102" t="str">
        <f t="shared" si="108"/>
        <v>Sí</v>
      </c>
      <c r="Z314" s="102" t="str">
        <f>CHOOSE(MATCH(B314,{"Customer Appreciation","Exclusive Offers","Flash Sale","Holiday Discounts","New Product Launch","Newsletter"},0),"Fidelizar","Vender","Vender","Vender","Lanzar","Educar")</f>
        <v>Lanzar</v>
      </c>
      <c r="AA314" s="102" t="str">
        <f t="shared" si="109"/>
        <v>Más de 400 mil</v>
      </c>
      <c r="AB314" s="102">
        <f>COUNTIFS($E$5:$E$493,E314,$S$5:$S$493,"&lt;"&amp;S314)+COUNTIFS($E$5:E314,E314,$S$5:S314,S314)</f>
        <v>9</v>
      </c>
      <c r="AC314" s="102">
        <f t="shared" si="110"/>
        <v>33</v>
      </c>
      <c r="AD314" s="102" t="str">
        <f t="shared" si="111"/>
        <v>Primer tercio</v>
      </c>
      <c r="AE314" s="103">
        <f t="shared" si="112"/>
        <v>2.7255563131329055</v>
      </c>
      <c r="AF314" s="102" t="str">
        <f t="shared" si="113"/>
        <v xml:space="preserve"> presentamos  nuestro último lanzamiento de belleza  imperdible  </v>
      </c>
      <c r="AG314" s="102" t="str">
        <f t="shared" si="114"/>
        <v xml:space="preserve"> una innovación que cambiará tu rutina   sé de los primeros  </v>
      </c>
      <c r="AH314" s="102" t="str">
        <f>IF(SUMPRODUCT(--(LEFT(IF(LEFT(LOWER(E314),1)="¡",MID(LOWER(E314),2,300),LOWER(E314)),LEN({"actualizaci","el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Sí</v>
      </c>
      <c r="AI314" s="102" t="str">
        <f>IF(OR(SUMPRODUCT(--ISNUMBER(SEARCH({"descuento","oferta","ahorr","precio"," sale ","flash","deals"},AF314)))&gt;0,SUMPRODUCT(--ISNUMBER(SEARCH({"descuento","oferta","ahorr","precio"," sale ","flash","deals"},AG314)))&gt;0),"Sí","No")</f>
        <v>No</v>
      </c>
      <c r="AJ314" s="102" t="str">
        <f>IF(SUMPRODUCT(--ISNUMBER(SEARCH({" hoy ","horas","tiempo limitado","antes de que","se acab","se agot","finalic","última oportunidad","oportunidad única","relámpago","express","no esperes","no volver","no parpadees"},AF314)))&gt;0,"Sí","No")</f>
        <v>No</v>
      </c>
      <c r="AK314" s="102" t="str">
        <f>IF(SUMPRODUCT(--ISNUMBER(SEARCH({" hoy ","horas","tiempo limitado","antes de que","se acab","se agot","finalic","última oportunidad","oportunidad única","relámpago","express","no esperes","no volver","no parpadees"},AG314)))&gt;0,"Sí","No")</f>
        <v>No</v>
      </c>
      <c r="AL314" s="102" t="str">
        <f t="shared" si="115"/>
        <v>Sin descuento</v>
      </c>
      <c r="AM314" s="102" t="str">
        <f>IF(SUMPRODUCT(--ISNUMBER(SEARCH({"0","1","2","3","4","5","6","7","8","9","favorit","maquillaje","piel","cabello","productos","belleza","regalo"},E314)))&gt;0,"Sí","No")</f>
        <v>Sí</v>
      </c>
      <c r="AN314" s="102" t="str">
        <f>IF(SUMPRODUCT(--ISNUMBER(SEARCH({"lo que tenemos","estas ofertas","algo especial","ofertas únicas","que preparamos","no te quedes","echa un vistazo"},F314)))&gt;0,"Sí","No")</f>
        <v>No</v>
      </c>
      <c r="AO314" s="102">
        <f t="shared" si="116"/>
        <v>63</v>
      </c>
      <c r="AP314" s="102">
        <f t="shared" si="117"/>
        <v>7</v>
      </c>
      <c r="AQ314" s="102">
        <f>SUMPRODUCT(LEN(E314)-LEN(SUBSTITUTE(E314,{"!","¡","?","¿",":",",",".","%","·","-",";"},"")))</f>
        <v>3</v>
      </c>
      <c r="AR314" s="102" t="str">
        <f t="shared" si="118"/>
        <v>No</v>
      </c>
      <c r="AS314" s="102" t="str">
        <f t="shared" si="119"/>
        <v>No</v>
      </c>
      <c r="AT314" s="102" t="str">
        <f>IF(SUMPRODUCT(--ISNUMBER(FIND({"0","1","2","3","4","5","6","7","8","9"},E314)))&gt;0,"Con cifra concreta",IF(OR(ISNUMBER(FIND("?",E314)),ISNUMBER(FIND("¿",E314))),"Pregunta abierta",IF(SUMPRODUCT(--ISNUMBER(SEARCH({" hoy ","horas","tiempo limitado","antes de que","se acab","se agot","finalic","última oportunidad","oportunidad única","relámpago","express","no esperes","no volver","no parpadees"," ya ","últimas horas","últimas unidades"," ahora "},AF314)))&gt;0,"Solo urgencia, sin cifra",IF(SUMPRODUCT(--ISNUMBER(SEARCH({"recompensa","sorpresa","regalo","lealtad","detalle","gracias","pensamos en ti","para ti"},E314)))&gt;0,"Recompensa o sorpresa","Otro: beneficio o novedad"))))</f>
        <v>Otro: beneficio o novedad</v>
      </c>
    </row>
    <row r="315" spans="1:46" x14ac:dyDescent="0.2">
      <c r="A315" s="96" t="s">
        <v>1186</v>
      </c>
      <c r="B315" s="96" t="s">
        <v>277</v>
      </c>
      <c r="C315" s="96" t="s">
        <v>773</v>
      </c>
      <c r="D315" s="96" t="s">
        <v>707</v>
      </c>
      <c r="E315" s="96" t="s">
        <v>461</v>
      </c>
      <c r="F315" s="96" t="s">
        <v>462</v>
      </c>
      <c r="G315" s="97">
        <v>480932</v>
      </c>
      <c r="H315" s="97">
        <v>163866</v>
      </c>
      <c r="I315" s="97">
        <v>47892</v>
      </c>
      <c r="J315" s="98">
        <v>4.09</v>
      </c>
      <c r="K315" s="98">
        <v>4.7</v>
      </c>
      <c r="L315" s="99">
        <v>23968.97</v>
      </c>
      <c r="M315" s="100">
        <f t="shared" si="96"/>
        <v>34.072592383122768</v>
      </c>
      <c r="N315" s="100">
        <f t="shared" si="97"/>
        <v>9.958164563805278</v>
      </c>
      <c r="O315" s="100">
        <f t="shared" si="98"/>
        <v>29.226319065577972</v>
      </c>
      <c r="P315" s="100">
        <f t="shared" si="99"/>
        <v>49.838584248916689</v>
      </c>
      <c r="Q315" s="100">
        <f t="shared" si="100"/>
        <v>35.409886702202286</v>
      </c>
      <c r="R315" s="100">
        <f t="shared" si="101"/>
        <v>30.71114383300629</v>
      </c>
      <c r="S315" s="101">
        <f t="shared" si="102"/>
        <v>45909</v>
      </c>
      <c r="T315" s="102" t="str">
        <f t="shared" si="103"/>
        <v>Septiembre</v>
      </c>
      <c r="U315" s="102" t="str">
        <f t="shared" si="104"/>
        <v>Martes</v>
      </c>
      <c r="V315" s="102">
        <f t="shared" si="105"/>
        <v>13</v>
      </c>
      <c r="W315" s="102" t="str">
        <f t="shared" si="106"/>
        <v>Resto del mes</v>
      </c>
      <c r="X315" s="102">
        <f t="shared" si="107"/>
        <v>28</v>
      </c>
      <c r="Y315" s="102" t="str">
        <f t="shared" si="108"/>
        <v>Sí</v>
      </c>
      <c r="Z315" s="102" t="str">
        <f>CHOOSE(MATCH(B315,{"Customer Appreciation","Exclusive Offers","Flash Sale","Holiday Discounts","New Product Launch","Newsletter"},0),"Fidelizar","Vender","Vender","Vender","Lanzar","Educar")</f>
        <v>Vender</v>
      </c>
      <c r="AA315" s="102" t="str">
        <f t="shared" si="109"/>
        <v>Más de 400 mil</v>
      </c>
      <c r="AB315" s="102">
        <f>COUNTIFS($E$5:$E$493,E315,$S$5:$S$493,"&lt;"&amp;S315)+COUNTIFS($E$5:E315,E315,$S$5:S315,S315)</f>
        <v>19</v>
      </c>
      <c r="AC315" s="102">
        <f t="shared" si="110"/>
        <v>30</v>
      </c>
      <c r="AD315" s="102" t="str">
        <f t="shared" si="111"/>
        <v>Medio</v>
      </c>
      <c r="AE315" s="103">
        <f t="shared" si="112"/>
        <v>-1.3372943190795183</v>
      </c>
      <c r="AF315" s="102" t="str">
        <f t="shared" si="113"/>
        <v xml:space="preserve">  regalos perfectos te esperan  descuentos de lujo  l'oréal </v>
      </c>
      <c r="AG315" s="102" t="str">
        <f t="shared" si="114"/>
        <v xml:space="preserve"> encuentra ese detalle especial para ti o tus seres queridos   descubre  </v>
      </c>
      <c r="AH315" s="102" t="str">
        <f>IF(SUMPRODUCT(--(LEFT(IF(LEFT(LOWER(E315),1)="¡",MID(LOWER(E315),2,300),LOWER(E315)),LEN({"actualizaci","el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315" s="102" t="str">
        <f>IF(OR(SUMPRODUCT(--ISNUMBER(SEARCH({"descuento","oferta","ahorr","precio"," sale ","flash","deals"},AF315)))&gt;0,SUMPRODUCT(--ISNUMBER(SEARCH({"descuento","oferta","ahorr","precio"," sale ","flash","deals"},AG315)))&gt;0),"Sí","No")</f>
        <v>Sí</v>
      </c>
      <c r="AJ315" s="102" t="str">
        <f>IF(SUMPRODUCT(--ISNUMBER(SEARCH({" hoy ","horas","tiempo limitado","antes de que","se acab","se agot","finalic","última oportunidad","oportunidad única","relámpago","express","no esperes","no volver","no parpadees"},AF315)))&gt;0,"Sí","No")</f>
        <v>No</v>
      </c>
      <c r="AK315" s="102" t="str">
        <f>IF(SUMPRODUCT(--ISNUMBER(SEARCH({" hoy ","horas","tiempo limitado","antes de que","se acab","se agot","finalic","última oportunidad","oportunidad única","relámpago","express","no esperes","no volver","no parpadees"},AG315)))&gt;0,"Sí","No")</f>
        <v>No</v>
      </c>
      <c r="AL315" s="102" t="str">
        <f t="shared" si="115"/>
        <v>Descuento sin tiempo límite</v>
      </c>
      <c r="AM315" s="102" t="str">
        <f>IF(SUMPRODUCT(--ISNUMBER(SEARCH({"0","1","2","3","4","5","6","7","8","9","favorit","maquillaje","piel","cabello","productos","belleza","regalo"},E315)))&gt;0,"Sí","No")</f>
        <v>Sí</v>
      </c>
      <c r="AN315" s="102" t="str">
        <f>IF(SUMPRODUCT(--ISNUMBER(SEARCH({"lo que tenemos","estas ofertas","algo especial","ofertas únicas","que preparamos","no te quedes","echa un vistazo"},F315)))&gt;0,"Sí","No")</f>
        <v>No</v>
      </c>
      <c r="AO315" s="102">
        <f t="shared" si="116"/>
        <v>58</v>
      </c>
      <c r="AP315" s="102">
        <f t="shared" si="117"/>
        <v>8</v>
      </c>
      <c r="AQ315" s="102">
        <f>SUMPRODUCT(LEN(E315)-LEN(SUBSTITUTE(E315,{"!","¡","?","¿",":",",",".","%","·","-",";"},"")))</f>
        <v>3</v>
      </c>
      <c r="AR315" s="102" t="str">
        <f t="shared" si="118"/>
        <v>Sí</v>
      </c>
      <c r="AS315" s="102" t="str">
        <f t="shared" si="119"/>
        <v>No</v>
      </c>
      <c r="AT315" s="102" t="str">
        <f>IF(SUMPRODUCT(--ISNUMBER(FIND({"0","1","2","3","4","5","6","7","8","9"},E315)))&gt;0,"Con cifra concreta",IF(OR(ISNUMBER(FIND("?",E315)),ISNUMBER(FIND("¿",E315))),"Pregunta abierta",IF(SUMPRODUCT(--ISNUMBER(SEARCH({" hoy ","horas","tiempo limitado","antes de que","se acab","se agot","finalic","última oportunidad","oportunidad única","relámpago","express","no esperes","no volver","no parpadees"," ya ","últimas horas","últimas unidades"," ahora "},AF315)))&gt;0,"Solo urgencia, sin cifra",IF(SUMPRODUCT(--ISNUMBER(SEARCH({"recompensa","sorpresa","regalo","lealtad","detalle","gracias","pensamos en ti","para ti"},E315)))&gt;0,"Recompensa o sorpresa","Otro: beneficio o novedad"))))</f>
        <v>Recompensa o sorpresa</v>
      </c>
    </row>
    <row r="316" spans="1:46" x14ac:dyDescent="0.2">
      <c r="A316" s="104" t="s">
        <v>1187</v>
      </c>
      <c r="B316" s="104" t="s">
        <v>279</v>
      </c>
      <c r="C316" s="104" t="s">
        <v>980</v>
      </c>
      <c r="D316" s="104" t="s">
        <v>824</v>
      </c>
      <c r="E316" s="104" t="s">
        <v>1008</v>
      </c>
      <c r="F316" s="104" t="s">
        <v>1009</v>
      </c>
      <c r="G316" s="105">
        <v>490351</v>
      </c>
      <c r="H316" s="105">
        <v>144815</v>
      </c>
      <c r="I316" s="105">
        <v>39281</v>
      </c>
      <c r="J316" s="106">
        <v>1.1299999999999999</v>
      </c>
      <c r="K316" s="106">
        <v>1.1100000000000001</v>
      </c>
      <c r="L316" s="107">
        <v>40367.519999999997</v>
      </c>
      <c r="M316" s="108">
        <f t="shared" si="96"/>
        <v>29.532926413936138</v>
      </c>
      <c r="N316" s="108">
        <f t="shared" si="97"/>
        <v>8.0107922692112385</v>
      </c>
      <c r="O316" s="108">
        <f t="shared" si="98"/>
        <v>27.124952525636161</v>
      </c>
      <c r="P316" s="108">
        <f t="shared" si="99"/>
        <v>82.323723210516533</v>
      </c>
      <c r="Q316" s="108">
        <f t="shared" si="100"/>
        <v>20.124757314949409</v>
      </c>
      <c r="R316" s="108">
        <f t="shared" si="101"/>
        <v>27.75136451093497</v>
      </c>
      <c r="S316" s="101">
        <f t="shared" si="102"/>
        <v>45875</v>
      </c>
      <c r="T316" s="102" t="str">
        <f t="shared" si="103"/>
        <v>Agosto</v>
      </c>
      <c r="U316" s="102" t="str">
        <f t="shared" si="104"/>
        <v>Miércoles</v>
      </c>
      <c r="V316" s="102">
        <f t="shared" si="105"/>
        <v>10</v>
      </c>
      <c r="W316" s="102" t="str">
        <f t="shared" si="106"/>
        <v>Resto del mes</v>
      </c>
      <c r="X316" s="102">
        <f t="shared" si="107"/>
        <v>28</v>
      </c>
      <c r="Y316" s="102" t="str">
        <f t="shared" si="108"/>
        <v>Sí</v>
      </c>
      <c r="Z316" s="102" t="str">
        <f>CHOOSE(MATCH(B316,{"Customer Appreciation","Exclusive Offers","Flash Sale","Holiday Discounts","New Product Launch","Newsletter"},0),"Fidelizar","Vender","Vender","Vender","Lanzar","Educar")</f>
        <v>Educar</v>
      </c>
      <c r="AA316" s="102" t="str">
        <f t="shared" si="109"/>
        <v>Más de 400 mil</v>
      </c>
      <c r="AB316" s="102">
        <f>COUNTIFS($E$5:$E$493,E316,$S$5:$S$493,"&lt;"&amp;S316)+COUNTIFS($E$5:E316,E316,$S$5:S316,S316)</f>
        <v>3</v>
      </c>
      <c r="AC316" s="102">
        <f t="shared" si="110"/>
        <v>6</v>
      </c>
      <c r="AD316" s="102" t="str">
        <f t="shared" si="111"/>
        <v/>
      </c>
      <c r="AE316" s="103">
        <f t="shared" si="112"/>
        <v>9.408169098986729</v>
      </c>
      <c r="AF316" s="102" t="str">
        <f t="shared" si="113"/>
        <v xml:space="preserve"> actualización de l'oréal  lo más relevante </v>
      </c>
      <c r="AG316" s="102" t="str">
        <f t="shared" si="114"/>
        <v xml:space="preserve"> mantente al tanto de todas las novedades   infórmate  </v>
      </c>
      <c r="AH316" s="102" t="str">
        <f>IF(SUMPRODUCT(--(LEFT(IF(LEFT(LOWER(E316),1)="¡",MID(LOWER(E316),2,300),LOWER(E316)),LEN({"actualizaci","el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Sí</v>
      </c>
      <c r="AI316" s="102" t="str">
        <f>IF(OR(SUMPRODUCT(--ISNUMBER(SEARCH({"descuento","oferta","ahorr","precio"," sale ","flash","deals"},AF316)))&gt;0,SUMPRODUCT(--ISNUMBER(SEARCH({"descuento","oferta","ahorr","precio"," sale ","flash","deals"},AG316)))&gt;0),"Sí","No")</f>
        <v>No</v>
      </c>
      <c r="AJ316" s="102" t="str">
        <f>IF(SUMPRODUCT(--ISNUMBER(SEARCH({" hoy ","horas","tiempo limitado","antes de que","se acab","se agot","finalic","última oportunidad","oportunidad única","relámpago","express","no esperes","no volver","no parpadees"},AF316)))&gt;0,"Sí","No")</f>
        <v>No</v>
      </c>
      <c r="AK316" s="102" t="str">
        <f>IF(SUMPRODUCT(--ISNUMBER(SEARCH({" hoy ","horas","tiempo limitado","antes de que","se acab","se agot","finalic","última oportunidad","oportunidad única","relámpago","express","no esperes","no volver","no parpadees"},AG316)))&gt;0,"Sí","No")</f>
        <v>No</v>
      </c>
      <c r="AL316" s="102" t="str">
        <f t="shared" si="115"/>
        <v>Sin descuento</v>
      </c>
      <c r="AM316" s="102" t="str">
        <f>IF(SUMPRODUCT(--ISNUMBER(SEARCH({"0","1","2","3","4","5","6","7","8","9","favorit","maquillaje","piel","cabello","productos","belleza","regalo"},E316)))&gt;0,"Sí","No")</f>
        <v>No</v>
      </c>
      <c r="AN316" s="102" t="str">
        <f>IF(SUMPRODUCT(--ISNUMBER(SEARCH({"lo que tenemos","estas ofertas","algo especial","ofertas únicas","que preparamos","no te quedes","echa un vistazo"},F316)))&gt;0,"Sí","No")</f>
        <v>No</v>
      </c>
      <c r="AO316" s="102">
        <f t="shared" si="116"/>
        <v>42</v>
      </c>
      <c r="AP316" s="102">
        <f t="shared" si="117"/>
        <v>6</v>
      </c>
      <c r="AQ316" s="102">
        <f>SUMPRODUCT(LEN(E316)-LEN(SUBSTITUTE(E316,{"!","¡","?","¿",":",",",".","%","·","-",";"},"")))</f>
        <v>1</v>
      </c>
      <c r="AR316" s="102" t="str">
        <f t="shared" si="118"/>
        <v>Sí</v>
      </c>
      <c r="AS316" s="102" t="str">
        <f t="shared" si="119"/>
        <v>No</v>
      </c>
      <c r="AT316" s="102" t="str">
        <f>IF(SUMPRODUCT(--ISNUMBER(FIND({"0","1","2","3","4","5","6","7","8","9"},E316)))&gt;0,"Con cifra concreta",IF(OR(ISNUMBER(FIND("?",E316)),ISNUMBER(FIND("¿",E316))),"Pregunta abierta",IF(SUMPRODUCT(--ISNUMBER(SEARCH({" hoy ","horas","tiempo limitado","antes de que","se acab","se agot","finalic","última oportunidad","oportunidad única","relámpago","express","no esperes","no volver","no parpadees"," ya ","últimas horas","últimas unidades"," ahora "},AF316)))&gt;0,"Solo urgencia, sin cifra",IF(SUMPRODUCT(--ISNUMBER(SEARCH({"recompensa","sorpresa","regalo","lealtad","detalle","gracias","pensamos en ti","para ti"},E316)))&gt;0,"Recompensa o sorpresa","Otro: beneficio o novedad"))))</f>
        <v>Otro: beneficio o novedad</v>
      </c>
    </row>
    <row r="317" spans="1:46" x14ac:dyDescent="0.2">
      <c r="A317" s="96" t="s">
        <v>1188</v>
      </c>
      <c r="B317" s="96" t="s">
        <v>279</v>
      </c>
      <c r="C317" s="96" t="s">
        <v>869</v>
      </c>
      <c r="D317" s="96" t="s">
        <v>821</v>
      </c>
      <c r="E317" s="96" t="s">
        <v>463</v>
      </c>
      <c r="F317" s="96" t="s">
        <v>464</v>
      </c>
      <c r="G317" s="97">
        <v>236706</v>
      </c>
      <c r="H317" s="97">
        <v>82672</v>
      </c>
      <c r="I317" s="97">
        <v>13829</v>
      </c>
      <c r="J317" s="98">
        <v>9.33</v>
      </c>
      <c r="K317" s="98">
        <v>4.82</v>
      </c>
      <c r="L317" s="99">
        <v>88902.59</v>
      </c>
      <c r="M317" s="100">
        <f t="shared" si="96"/>
        <v>34.926026378714525</v>
      </c>
      <c r="N317" s="100">
        <f t="shared" si="97"/>
        <v>5.8422684680574219</v>
      </c>
      <c r="O317" s="100">
        <f t="shared" si="98"/>
        <v>16.727549835494486</v>
      </c>
      <c r="P317" s="100">
        <f t="shared" si="99"/>
        <v>375.58232575431123</v>
      </c>
      <c r="Q317" s="100">
        <f t="shared" si="100"/>
        <v>33.412775116147934</v>
      </c>
      <c r="R317" s="100">
        <f t="shared" si="101"/>
        <v>27.75136451093497</v>
      </c>
      <c r="S317" s="101">
        <f t="shared" si="102"/>
        <v>45917</v>
      </c>
      <c r="T317" s="102" t="str">
        <f t="shared" si="103"/>
        <v>Septiembre</v>
      </c>
      <c r="U317" s="102" t="str">
        <f t="shared" si="104"/>
        <v>Miércoles</v>
      </c>
      <c r="V317" s="102">
        <f t="shared" si="105"/>
        <v>8</v>
      </c>
      <c r="W317" s="102" t="str">
        <f t="shared" si="106"/>
        <v>Días después del pago</v>
      </c>
      <c r="X317" s="102">
        <f t="shared" si="107"/>
        <v>26</v>
      </c>
      <c r="Y317" s="102" t="str">
        <f t="shared" si="108"/>
        <v>Sí</v>
      </c>
      <c r="Z317" s="102" t="str">
        <f>CHOOSE(MATCH(B317,{"Customer Appreciation","Exclusive Offers","Flash Sale","Holiday Discounts","New Product Launch","Newsletter"},0),"Fidelizar","Vender","Vender","Vender","Lanzar","Educar")</f>
        <v>Educar</v>
      </c>
      <c r="AA317" s="102" t="str">
        <f t="shared" si="109"/>
        <v>200 a 300 mil</v>
      </c>
      <c r="AB317" s="102">
        <f>COUNTIFS($E$5:$E$493,E317,$S$5:$S$493,"&lt;"&amp;S317)+COUNTIFS($E$5:E317,E317,$S$5:S317,S317)</f>
        <v>17</v>
      </c>
      <c r="AC317" s="102">
        <f t="shared" si="110"/>
        <v>25</v>
      </c>
      <c r="AD317" s="102" t="str">
        <f t="shared" si="111"/>
        <v>Último tercio</v>
      </c>
      <c r="AE317" s="103">
        <f t="shared" si="112"/>
        <v>1.513251262566591</v>
      </c>
      <c r="AF317" s="102" t="str">
        <f t="shared" si="113"/>
        <v xml:space="preserve"> tu dosis de belleza   no te lo pierdas  tips y trucos </v>
      </c>
      <c r="AG317" s="102" t="str">
        <f t="shared" si="114"/>
        <v xml:space="preserve"> consejos expertos  tendencias y más en tu bandeja de entrada   descúbrelo  </v>
      </c>
      <c r="AH317" s="102" t="str">
        <f>IF(SUMPRODUCT(--(LEFT(IF(LEFT(LOWER(E317),1)="¡",MID(LOWER(E317),2,300),LOWER(E317)),LEN({"actualizaci","el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317" s="102" t="str">
        <f>IF(OR(SUMPRODUCT(--ISNUMBER(SEARCH({"descuento","oferta","ahorr","precio"," sale ","flash","deals"},AF317)))&gt;0,SUMPRODUCT(--ISNUMBER(SEARCH({"descuento","oferta","ahorr","precio"," sale ","flash","deals"},AG317)))&gt;0),"Sí","No")</f>
        <v>No</v>
      </c>
      <c r="AJ317" s="102" t="str">
        <f>IF(SUMPRODUCT(--ISNUMBER(SEARCH({" hoy ","horas","tiempo limitado","antes de que","se acab","se agot","finalic","última oportunidad","oportunidad única","relámpago","express","no esperes","no volver","no parpadees"},AF317)))&gt;0,"Sí","No")</f>
        <v>No</v>
      </c>
      <c r="AK317" s="102" t="str">
        <f>IF(SUMPRODUCT(--ISNUMBER(SEARCH({" hoy ","horas","tiempo limitado","antes de que","se acab","se agot","finalic","última oportunidad","oportunidad única","relámpago","express","no esperes","no volver","no parpadees"},AG317)))&gt;0,"Sí","No")</f>
        <v>No</v>
      </c>
      <c r="AL317" s="102" t="str">
        <f t="shared" si="115"/>
        <v>Sin descuento</v>
      </c>
      <c r="AM317" s="102" t="str">
        <f>IF(SUMPRODUCT(--ISNUMBER(SEARCH({"0","1","2","3","4","5","6","7","8","9","favorit","maquillaje","piel","cabello","productos","belleza","regalo"},E317)))&gt;0,"Sí","No")</f>
        <v>Sí</v>
      </c>
      <c r="AN317" s="102" t="str">
        <f>IF(SUMPRODUCT(--ISNUMBER(SEARCH({"lo que tenemos","estas ofertas","algo especial","ofertas únicas","que preparamos","no te quedes","echa un vistazo"},F317)))&gt;0,"Sí","No")</f>
        <v>No</v>
      </c>
      <c r="AO317" s="102">
        <f t="shared" si="116"/>
        <v>53</v>
      </c>
      <c r="AP317" s="102">
        <f t="shared" si="117"/>
        <v>11</v>
      </c>
      <c r="AQ317" s="102">
        <f>SUMPRODUCT(LEN(E317)-LEN(SUBSTITUTE(E317,{"!","¡","?","¿",":",",",".","%","·","-",";"},"")))</f>
        <v>3</v>
      </c>
      <c r="AR317" s="102" t="str">
        <f t="shared" si="118"/>
        <v>No</v>
      </c>
      <c r="AS317" s="102" t="str">
        <f t="shared" si="119"/>
        <v>No</v>
      </c>
      <c r="AT317" s="102" t="str">
        <f>IF(SUMPRODUCT(--ISNUMBER(FIND({"0","1","2","3","4","5","6","7","8","9"},E317)))&gt;0,"Con cifra concreta",IF(OR(ISNUMBER(FIND("?",E317)),ISNUMBER(FIND("¿",E317))),"Pregunta abierta",IF(SUMPRODUCT(--ISNUMBER(SEARCH({" hoy ","horas","tiempo limitado","antes de que","se acab","se agot","finalic","última oportunidad","oportunidad única","relámpago","express","no esperes","no volver","no parpadees"," ya ","últimas horas","últimas unidades"," ahora "},AF317)))&gt;0,"Solo urgencia, sin cifra",IF(SUMPRODUCT(--ISNUMBER(SEARCH({"recompensa","sorpresa","regalo","lealtad","detalle","gracias","pensamos en ti","para ti"},E317)))&gt;0,"Recompensa o sorpresa","Otro: beneficio o novedad"))))</f>
        <v>Otro: beneficio o novedad</v>
      </c>
    </row>
    <row r="318" spans="1:46" x14ac:dyDescent="0.2">
      <c r="A318" s="104" t="s">
        <v>1189</v>
      </c>
      <c r="B318" s="104" t="s">
        <v>277</v>
      </c>
      <c r="C318" s="104" t="s">
        <v>928</v>
      </c>
      <c r="D318" s="104" t="s">
        <v>715</v>
      </c>
      <c r="E318" s="104" t="s">
        <v>469</v>
      </c>
      <c r="F318" s="104" t="s">
        <v>470</v>
      </c>
      <c r="G318" s="105">
        <v>381873</v>
      </c>
      <c r="H318" s="105">
        <v>25000</v>
      </c>
      <c r="I318" s="105">
        <v>22266</v>
      </c>
      <c r="J318" s="106">
        <v>9.94</v>
      </c>
      <c r="K318" s="106">
        <v>3.39</v>
      </c>
      <c r="L318" s="107">
        <v>14236.43</v>
      </c>
      <c r="M318" s="108">
        <f t="shared" si="96"/>
        <v>6.5466791315437325</v>
      </c>
      <c r="N318" s="108">
        <f t="shared" si="97"/>
        <v>5.8307343017181097</v>
      </c>
      <c r="O318" s="108">
        <f t="shared" si="98"/>
        <v>89.063999999999993</v>
      </c>
      <c r="P318" s="108">
        <f t="shared" si="99"/>
        <v>37.28053567547326</v>
      </c>
      <c r="Q318" s="108">
        <f t="shared" si="100"/>
        <v>29.233022524783024</v>
      </c>
      <c r="R318" s="108">
        <f t="shared" si="101"/>
        <v>30.71114383300629</v>
      </c>
      <c r="S318" s="101">
        <f t="shared" si="102"/>
        <v>45883</v>
      </c>
      <c r="T318" s="102" t="str">
        <f t="shared" si="103"/>
        <v>Agosto</v>
      </c>
      <c r="U318" s="102" t="str">
        <f t="shared" si="104"/>
        <v>Jueves</v>
      </c>
      <c r="V318" s="102">
        <f t="shared" si="105"/>
        <v>11</v>
      </c>
      <c r="W318" s="102" t="str">
        <f t="shared" si="106"/>
        <v>Quincena</v>
      </c>
      <c r="X318" s="102">
        <f t="shared" si="107"/>
        <v>23</v>
      </c>
      <c r="Y318" s="102" t="str">
        <f t="shared" si="108"/>
        <v>Sí</v>
      </c>
      <c r="Z318" s="102" t="str">
        <f>CHOOSE(MATCH(B318,{"Customer Appreciation","Exclusive Offers","Flash Sale","Holiday Discounts","New Product Launch","Newsletter"},0),"Fidelizar","Vender","Vender","Vender","Lanzar","Educar")</f>
        <v>Vender</v>
      </c>
      <c r="AA318" s="102" t="str">
        <f t="shared" si="109"/>
        <v>300 a 400 mil</v>
      </c>
      <c r="AB318" s="102">
        <f>COUNTIFS($E$5:$E$493,E318,$S$5:$S$493,"&lt;"&amp;S318)+COUNTIFS($E$5:E318,E318,$S$5:S318,S318)</f>
        <v>3</v>
      </c>
      <c r="AC318" s="102">
        <f t="shared" si="110"/>
        <v>20</v>
      </c>
      <c r="AD318" s="102" t="str">
        <f t="shared" si="111"/>
        <v>Primer tercio</v>
      </c>
      <c r="AE318" s="103">
        <f t="shared" si="112"/>
        <v>-22.686343393239291</v>
      </c>
      <c r="AF318" s="102" t="str">
        <f t="shared" si="113"/>
        <v xml:space="preserve">  celebra con nosotros  descuentos festivos para regalar </v>
      </c>
      <c r="AG318" s="102" t="str">
        <f t="shared" si="114"/>
        <v xml:space="preserve"> regalos perfectos y ofertas que te encantarán   descubre más  </v>
      </c>
      <c r="AH318" s="102" t="str">
        <f>IF(SUMPRODUCT(--(LEFT(IF(LEFT(LOWER(E318),1)="¡",MID(LOWER(E318),2,300),LOWER(E318)),LEN({"actualizaci","el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318" s="102" t="str">
        <f>IF(OR(SUMPRODUCT(--ISNUMBER(SEARCH({"descuento","oferta","ahorr","precio"," sale ","flash","deals"},AF318)))&gt;0,SUMPRODUCT(--ISNUMBER(SEARCH({"descuento","oferta","ahorr","precio"," sale ","flash","deals"},AG318)))&gt;0),"Sí","No")</f>
        <v>Sí</v>
      </c>
      <c r="AJ318" s="102" t="str">
        <f>IF(SUMPRODUCT(--ISNUMBER(SEARCH({" hoy ","horas","tiempo limitado","antes de que","se acab","se agot","finalic","última oportunidad","oportunidad única","relámpago","express","no esperes","no volver","no parpadees"},AF318)))&gt;0,"Sí","No")</f>
        <v>No</v>
      </c>
      <c r="AK318" s="102" t="str">
        <f>IF(SUMPRODUCT(--ISNUMBER(SEARCH({" hoy ","horas","tiempo limitado","antes de que","se acab","se agot","finalic","última oportunidad","oportunidad única","relámpago","express","no esperes","no volver","no parpadees"},AG318)))&gt;0,"Sí","No")</f>
        <v>No</v>
      </c>
      <c r="AL318" s="102" t="str">
        <f t="shared" si="115"/>
        <v>Descuento sin tiempo límite</v>
      </c>
      <c r="AM318" s="102" t="str">
        <f>IF(SUMPRODUCT(--ISNUMBER(SEARCH({"0","1","2","3","4","5","6","7","8","9","favorit","maquillaje","piel","cabello","productos","belleza","regalo"},E318)))&gt;0,"Sí","No")</f>
        <v>No</v>
      </c>
      <c r="AN318" s="102" t="str">
        <f>IF(SUMPRODUCT(--ISNUMBER(SEARCH({"lo que tenemos","estas ofertas","algo especial","ofertas únicas","que preparamos","no te quedes","echa un vistazo"},F318)))&gt;0,"Sí","No")</f>
        <v>No</v>
      </c>
      <c r="AO318" s="102">
        <f t="shared" si="116"/>
        <v>55</v>
      </c>
      <c r="AP318" s="102">
        <f t="shared" si="117"/>
        <v>7</v>
      </c>
      <c r="AQ318" s="102">
        <f>SUMPRODUCT(LEN(E318)-LEN(SUBSTITUTE(E318,{"!","¡","?","¿",":",",",".","%","·","-",";"},"")))</f>
        <v>2</v>
      </c>
      <c r="AR318" s="102" t="str">
        <f t="shared" si="118"/>
        <v>Sí</v>
      </c>
      <c r="AS318" s="102" t="str">
        <f t="shared" si="119"/>
        <v>No</v>
      </c>
      <c r="AT318" s="102" t="str">
        <f>IF(SUMPRODUCT(--ISNUMBER(FIND({"0","1","2","3","4","5","6","7","8","9"},E318)))&gt;0,"Con cifra concreta",IF(OR(ISNUMBER(FIND("?",E318)),ISNUMBER(FIND("¿",E318))),"Pregunta abierta",IF(SUMPRODUCT(--ISNUMBER(SEARCH({" hoy ","horas","tiempo limitado","antes de que","se acab","se agot","finalic","última oportunidad","oportunidad única","relámpago","express","no esperes","no volver","no parpadees"," ya ","últimas horas","últimas unidades"," ahora "},AF318)))&gt;0,"Solo urgencia, sin cifra",IF(SUMPRODUCT(--ISNUMBER(SEARCH({"recompensa","sorpresa","regalo","lealtad","detalle","gracias","pensamos en ti","para ti"},E318)))&gt;0,"Recompensa o sorpresa","Otro: beneficio o novedad"))))</f>
        <v>Otro: beneficio o novedad</v>
      </c>
    </row>
    <row r="319" spans="1:46" x14ac:dyDescent="0.2">
      <c r="A319" s="96" t="s">
        <v>1190</v>
      </c>
      <c r="B319" s="96" t="s">
        <v>278</v>
      </c>
      <c r="C319" s="96" t="s">
        <v>944</v>
      </c>
      <c r="D319" s="96" t="s">
        <v>794</v>
      </c>
      <c r="E319" s="96" t="s">
        <v>368</v>
      </c>
      <c r="F319" s="96" t="s">
        <v>471</v>
      </c>
      <c r="G319" s="97">
        <v>20016</v>
      </c>
      <c r="H319" s="97">
        <v>3513</v>
      </c>
      <c r="I319" s="97">
        <v>2197</v>
      </c>
      <c r="J319" s="98">
        <v>3.68</v>
      </c>
      <c r="K319" s="98">
        <v>1.47</v>
      </c>
      <c r="L319" s="99">
        <v>66333.78</v>
      </c>
      <c r="M319" s="100">
        <f t="shared" si="96"/>
        <v>17.550959232613909</v>
      </c>
      <c r="N319" s="100">
        <f t="shared" si="97"/>
        <v>10.976219024780177</v>
      </c>
      <c r="O319" s="100">
        <f t="shared" si="98"/>
        <v>62.539140335895247</v>
      </c>
      <c r="P319" s="100">
        <f t="shared" si="99"/>
        <v>3314.0377697841727</v>
      </c>
      <c r="Q319" s="100">
        <f t="shared" si="100"/>
        <v>23.315840784070005</v>
      </c>
      <c r="R319" s="100">
        <f t="shared" si="101"/>
        <v>29.458247936272421</v>
      </c>
      <c r="S319" s="101">
        <f t="shared" si="102"/>
        <v>45943</v>
      </c>
      <c r="T319" s="102" t="str">
        <f t="shared" si="103"/>
        <v>Octubre</v>
      </c>
      <c r="U319" s="102" t="str">
        <f t="shared" si="104"/>
        <v>Lunes</v>
      </c>
      <c r="V319" s="102">
        <f t="shared" si="105"/>
        <v>12</v>
      </c>
      <c r="W319" s="102" t="str">
        <f t="shared" si="106"/>
        <v>Resto del mes</v>
      </c>
      <c r="X319" s="102">
        <f t="shared" si="107"/>
        <v>23</v>
      </c>
      <c r="Y319" s="102" t="str">
        <f t="shared" si="108"/>
        <v>Sí</v>
      </c>
      <c r="Z319" s="102" t="str">
        <f>CHOOSE(MATCH(B319,{"Customer Appreciation","Exclusive Offers","Flash Sale","Holiday Discounts","New Product Launch","Newsletter"},0),"Fidelizar","Vender","Vender","Vender","Lanzar","Educar")</f>
        <v>Lanzar</v>
      </c>
      <c r="AA319" s="102" t="str">
        <f t="shared" si="109"/>
        <v>Menos de 100 mil</v>
      </c>
      <c r="AB319" s="102">
        <f>COUNTIFS($E$5:$E$493,E319,$S$5:$S$493,"&lt;"&amp;S319)+COUNTIFS($E$5:E319,E319,$S$5:S319,S319)</f>
        <v>23</v>
      </c>
      <c r="AC319" s="102">
        <f t="shared" si="110"/>
        <v>33</v>
      </c>
      <c r="AD319" s="102" t="str">
        <f t="shared" si="111"/>
        <v>Último tercio</v>
      </c>
      <c r="AE319" s="103">
        <f t="shared" si="112"/>
        <v>-5.7648815514560958</v>
      </c>
      <c r="AF319" s="102" t="str">
        <f t="shared" si="113"/>
        <v xml:space="preserve"> presentamos  nuestro último lanzamiento de belleza  imperdible  </v>
      </c>
      <c r="AG319" s="102" t="str">
        <f t="shared" si="114"/>
        <v xml:space="preserve"> una innovación que cambiará tu rutina   sé de los primeros  </v>
      </c>
      <c r="AH319" s="102" t="str">
        <f>IF(SUMPRODUCT(--(LEFT(IF(LEFT(LOWER(E319),1)="¡",MID(LOWER(E319),2,300),LOWER(E319)),LEN({"actualizaci","el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Sí</v>
      </c>
      <c r="AI319" s="102" t="str">
        <f>IF(OR(SUMPRODUCT(--ISNUMBER(SEARCH({"descuento","oferta","ahorr","precio"," sale ","flash","deals"},AF319)))&gt;0,SUMPRODUCT(--ISNUMBER(SEARCH({"descuento","oferta","ahorr","precio"," sale ","flash","deals"},AG319)))&gt;0),"Sí","No")</f>
        <v>No</v>
      </c>
      <c r="AJ319" s="102" t="str">
        <f>IF(SUMPRODUCT(--ISNUMBER(SEARCH({" hoy ","horas","tiempo limitado","antes de que","se acab","se agot","finalic","última oportunidad","oportunidad única","relámpago","express","no esperes","no volver","no parpadees"},AF319)))&gt;0,"Sí","No")</f>
        <v>No</v>
      </c>
      <c r="AK319" s="102" t="str">
        <f>IF(SUMPRODUCT(--ISNUMBER(SEARCH({" hoy ","horas","tiempo limitado","antes de que","se acab","se agot","finalic","última oportunidad","oportunidad única","relámpago","express","no esperes","no volver","no parpadees"},AG319)))&gt;0,"Sí","No")</f>
        <v>No</v>
      </c>
      <c r="AL319" s="102" t="str">
        <f t="shared" si="115"/>
        <v>Sin descuento</v>
      </c>
      <c r="AM319" s="102" t="str">
        <f>IF(SUMPRODUCT(--ISNUMBER(SEARCH({"0","1","2","3","4","5","6","7","8","9","favorit","maquillaje","piel","cabello","productos","belleza","regalo"},E319)))&gt;0,"Sí","No")</f>
        <v>Sí</v>
      </c>
      <c r="AN319" s="102" t="str">
        <f>IF(SUMPRODUCT(--ISNUMBER(SEARCH({"lo que tenemos","estas ofertas","algo especial","ofertas únicas","que preparamos","no te quedes","echa un vistazo"},F319)))&gt;0,"Sí","No")</f>
        <v>No</v>
      </c>
      <c r="AO319" s="102">
        <f t="shared" si="116"/>
        <v>63</v>
      </c>
      <c r="AP319" s="102">
        <f t="shared" si="117"/>
        <v>7</v>
      </c>
      <c r="AQ319" s="102">
        <f>SUMPRODUCT(LEN(E319)-LEN(SUBSTITUTE(E319,{"!","¡","?","¿",":",",",".","%","·","-",";"},"")))</f>
        <v>3</v>
      </c>
      <c r="AR319" s="102" t="str">
        <f t="shared" si="118"/>
        <v>No</v>
      </c>
      <c r="AS319" s="102" t="str">
        <f t="shared" si="119"/>
        <v>No</v>
      </c>
      <c r="AT319" s="102" t="str">
        <f>IF(SUMPRODUCT(--ISNUMBER(FIND({"0","1","2","3","4","5","6","7","8","9"},E319)))&gt;0,"Con cifra concreta",IF(OR(ISNUMBER(FIND("?",E319)),ISNUMBER(FIND("¿",E319))),"Pregunta abierta",IF(SUMPRODUCT(--ISNUMBER(SEARCH({" hoy ","horas","tiempo limitado","antes de que","se acab","se agot","finalic","última oportunidad","oportunidad única","relámpago","express","no esperes","no volver","no parpadees"," ya ","últimas horas","últimas unidades"," ahora "},AF319)))&gt;0,"Solo urgencia, sin cifra",IF(SUMPRODUCT(--ISNUMBER(SEARCH({"recompensa","sorpresa","regalo","lealtad","detalle","gracias","pensamos en ti","para ti"},E319)))&gt;0,"Recompensa o sorpresa","Otro: beneficio o novedad"))))</f>
        <v>Otro: beneficio o novedad</v>
      </c>
    </row>
    <row r="320" spans="1:46" x14ac:dyDescent="0.2">
      <c r="A320" s="104" t="s">
        <v>1191</v>
      </c>
      <c r="B320" s="104" t="s">
        <v>277</v>
      </c>
      <c r="C320" s="104" t="s">
        <v>889</v>
      </c>
      <c r="D320" s="104" t="s">
        <v>761</v>
      </c>
      <c r="E320" s="104" t="s">
        <v>459</v>
      </c>
      <c r="F320" s="104" t="s">
        <v>460</v>
      </c>
      <c r="G320" s="105">
        <v>387014</v>
      </c>
      <c r="H320" s="105">
        <v>70984</v>
      </c>
      <c r="I320" s="105">
        <v>29762</v>
      </c>
      <c r="J320" s="106">
        <v>1.05</v>
      </c>
      <c r="K320" s="106">
        <v>1.32</v>
      </c>
      <c r="L320" s="107">
        <v>91453.36</v>
      </c>
      <c r="M320" s="108">
        <f t="shared" si="96"/>
        <v>18.341455347868553</v>
      </c>
      <c r="N320" s="108">
        <f t="shared" si="97"/>
        <v>7.6901610794441551</v>
      </c>
      <c r="O320" s="108">
        <f t="shared" si="98"/>
        <v>41.927758368082948</v>
      </c>
      <c r="P320" s="108">
        <f t="shared" si="99"/>
        <v>236.30504322841034</v>
      </c>
      <c r="Q320" s="108">
        <f t="shared" si="100"/>
        <v>35.565837226891659</v>
      </c>
      <c r="R320" s="108">
        <f t="shared" si="101"/>
        <v>30.71114383300629</v>
      </c>
      <c r="S320" s="101">
        <f t="shared" si="102"/>
        <v>45908</v>
      </c>
      <c r="T320" s="102" t="str">
        <f t="shared" si="103"/>
        <v>Septiembre</v>
      </c>
      <c r="U320" s="102" t="str">
        <f t="shared" si="104"/>
        <v>Lunes</v>
      </c>
      <c r="V320" s="102">
        <f t="shared" si="105"/>
        <v>10</v>
      </c>
      <c r="W320" s="102" t="str">
        <f t="shared" si="106"/>
        <v>Resto del mes</v>
      </c>
      <c r="X320" s="102">
        <f t="shared" si="107"/>
        <v>28</v>
      </c>
      <c r="Y320" s="102" t="str">
        <f t="shared" si="108"/>
        <v>Sí</v>
      </c>
      <c r="Z320" s="102" t="str">
        <f>CHOOSE(MATCH(B320,{"Customer Appreciation","Exclusive Offers","Flash Sale","Holiday Discounts","New Product Launch","Newsletter"},0),"Fidelizar","Vender","Vender","Vender","Lanzar","Educar")</f>
        <v>Vender</v>
      </c>
      <c r="AA320" s="102" t="str">
        <f t="shared" si="109"/>
        <v>300 a 400 mil</v>
      </c>
      <c r="AB320" s="102">
        <f>COUNTIFS($E$5:$E$493,E320,$S$5:$S$493,"&lt;"&amp;S320)+COUNTIFS($E$5:E320,E320,$S$5:S320,S320)</f>
        <v>3</v>
      </c>
      <c r="AC320" s="102">
        <f t="shared" si="110"/>
        <v>9</v>
      </c>
      <c r="AD320" s="102" t="str">
        <f t="shared" si="111"/>
        <v>Primer tercio</v>
      </c>
      <c r="AE320" s="103">
        <f t="shared" si="112"/>
        <v>-17.224381879023106</v>
      </c>
      <c r="AF320" s="102" t="str">
        <f t="shared" si="113"/>
        <v xml:space="preserve">  aprovecha los descuentos  temporada de fiestas  beauty deals </v>
      </c>
      <c r="AG320" s="102" t="str">
        <f t="shared" si="114"/>
        <v xml:space="preserve"> tus productos favoritos con precios festivos   no te los pierdas  </v>
      </c>
      <c r="AH320" s="102" t="str">
        <f>IF(SUMPRODUCT(--(LEFT(IF(LEFT(LOWER(E320),1)="¡",MID(LOWER(E320),2,300),LOWER(E320)),LEN({"actualizaci","el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320" s="102" t="str">
        <f>IF(OR(SUMPRODUCT(--ISNUMBER(SEARCH({"descuento","oferta","ahorr","precio"," sale ","flash","deals"},AF320)))&gt;0,SUMPRODUCT(--ISNUMBER(SEARCH({"descuento","oferta","ahorr","precio"," sale ","flash","deals"},AG320)))&gt;0),"Sí","No")</f>
        <v>Sí</v>
      </c>
      <c r="AJ320" s="102" t="str">
        <f>IF(SUMPRODUCT(--ISNUMBER(SEARCH({" hoy ","horas","tiempo limitado","antes de que","se acab","se agot","finalic","última oportunidad","oportunidad única","relámpago","express","no esperes","no volver","no parpadees"},AF320)))&gt;0,"Sí","No")</f>
        <v>No</v>
      </c>
      <c r="AK320" s="102" t="str">
        <f>IF(SUMPRODUCT(--ISNUMBER(SEARCH({" hoy ","horas","tiempo limitado","antes de que","se acab","se agot","finalic","última oportunidad","oportunidad única","relámpago","express","no esperes","no volver","no parpadees"},AG320)))&gt;0,"Sí","No")</f>
        <v>No</v>
      </c>
      <c r="AL320" s="102" t="str">
        <f t="shared" si="115"/>
        <v>Descuento sin tiempo límite</v>
      </c>
      <c r="AM320" s="102" t="str">
        <f>IF(SUMPRODUCT(--ISNUMBER(SEARCH({"0","1","2","3","4","5","6","7","8","9","favorit","maquillaje","piel","cabello","productos","belleza","regalo"},E320)))&gt;0,"Sí","No")</f>
        <v>No</v>
      </c>
      <c r="AN320" s="102" t="str">
        <f>IF(SUMPRODUCT(--ISNUMBER(SEARCH({"lo que tenemos","estas ofertas","algo especial","ofertas únicas","que preparamos","no te quedes","echa un vistazo"},F320)))&gt;0,"Sí","No")</f>
        <v>No</v>
      </c>
      <c r="AO320" s="102">
        <f t="shared" si="116"/>
        <v>61</v>
      </c>
      <c r="AP320" s="102">
        <f t="shared" si="117"/>
        <v>8</v>
      </c>
      <c r="AQ320" s="102">
        <f>SUMPRODUCT(LEN(E320)-LEN(SUBSTITUTE(E320,{"!","¡","?","¿",":",",",".","%","·","-",";"},"")))</f>
        <v>3</v>
      </c>
      <c r="AR320" s="102" t="str">
        <f t="shared" si="118"/>
        <v>No</v>
      </c>
      <c r="AS320" s="102" t="str">
        <f t="shared" si="119"/>
        <v>No</v>
      </c>
      <c r="AT320" s="102" t="str">
        <f>IF(SUMPRODUCT(--ISNUMBER(FIND({"0","1","2","3","4","5","6","7","8","9"},E320)))&gt;0,"Con cifra concreta",IF(OR(ISNUMBER(FIND("?",E320)),ISNUMBER(FIND("¿",E320))),"Pregunta abierta",IF(SUMPRODUCT(--ISNUMBER(SEARCH({" hoy ","horas","tiempo limitado","antes de que","se acab","se agot","finalic","última oportunidad","oportunidad única","relámpago","express","no esperes","no volver","no parpadees"," ya ","últimas horas","últimas unidades"," ahora "},AF320)))&gt;0,"Solo urgencia, sin cifra",IF(SUMPRODUCT(--ISNUMBER(SEARCH({"recompensa","sorpresa","regalo","lealtad","detalle","gracias","pensamos en ti","para ti"},E320)))&gt;0,"Recompensa o sorpresa","Otro: beneficio o novedad"))))</f>
        <v>Otro: beneficio o novedad</v>
      </c>
    </row>
    <row r="321" spans="1:46" x14ac:dyDescent="0.2">
      <c r="A321" s="96" t="s">
        <v>1192</v>
      </c>
      <c r="B321" s="96" t="s">
        <v>277</v>
      </c>
      <c r="C321" s="96" t="s">
        <v>891</v>
      </c>
      <c r="D321" s="96" t="s">
        <v>786</v>
      </c>
      <c r="E321" s="96" t="s">
        <v>461</v>
      </c>
      <c r="F321" s="96" t="s">
        <v>462</v>
      </c>
      <c r="G321" s="97">
        <v>204622</v>
      </c>
      <c r="H321" s="97">
        <v>64696</v>
      </c>
      <c r="I321" s="97">
        <v>7510</v>
      </c>
      <c r="J321" s="98">
        <v>7.08</v>
      </c>
      <c r="K321" s="98">
        <v>3.77</v>
      </c>
      <c r="L321" s="99">
        <v>28698.29</v>
      </c>
      <c r="M321" s="100">
        <f t="shared" si="96"/>
        <v>31.617323650438365</v>
      </c>
      <c r="N321" s="100">
        <f t="shared" si="97"/>
        <v>3.6701820918571806</v>
      </c>
      <c r="O321" s="100">
        <f t="shared" si="98"/>
        <v>11.60813651539508</v>
      </c>
      <c r="P321" s="100">
        <f t="shared" si="99"/>
        <v>140.25026634477231</v>
      </c>
      <c r="Q321" s="100">
        <f t="shared" si="100"/>
        <v>35.409886702202286</v>
      </c>
      <c r="R321" s="100">
        <f t="shared" si="101"/>
        <v>30.71114383300629</v>
      </c>
      <c r="S321" s="101">
        <f t="shared" si="102"/>
        <v>45888</v>
      </c>
      <c r="T321" s="102" t="str">
        <f t="shared" si="103"/>
        <v>Agosto</v>
      </c>
      <c r="U321" s="102" t="str">
        <f t="shared" si="104"/>
        <v>Martes</v>
      </c>
      <c r="V321" s="102">
        <f t="shared" si="105"/>
        <v>15</v>
      </c>
      <c r="W321" s="102" t="str">
        <f t="shared" si="106"/>
        <v>Días después del pago</v>
      </c>
      <c r="X321" s="102">
        <f t="shared" si="107"/>
        <v>29</v>
      </c>
      <c r="Y321" s="102" t="str">
        <f t="shared" si="108"/>
        <v>Sí</v>
      </c>
      <c r="Z321" s="102" t="str">
        <f>CHOOSE(MATCH(B321,{"Customer Appreciation","Exclusive Offers","Flash Sale","Holiday Discounts","New Product Launch","Newsletter"},0),"Fidelizar","Vender","Vender","Vender","Lanzar","Educar")</f>
        <v>Vender</v>
      </c>
      <c r="AA321" s="102" t="str">
        <f t="shared" si="109"/>
        <v>200 a 300 mil</v>
      </c>
      <c r="AB321" s="102">
        <f>COUNTIFS($E$5:$E$493,E321,$S$5:$S$493,"&lt;"&amp;S321)+COUNTIFS($E$5:E321,E321,$S$5:S321,S321)</f>
        <v>5</v>
      </c>
      <c r="AC321" s="102">
        <f t="shared" si="110"/>
        <v>30</v>
      </c>
      <c r="AD321" s="102" t="str">
        <f t="shared" si="111"/>
        <v>Primer tercio</v>
      </c>
      <c r="AE321" s="103">
        <f t="shared" si="112"/>
        <v>-3.7925630517639206</v>
      </c>
      <c r="AF321" s="102" t="str">
        <f t="shared" si="113"/>
        <v xml:space="preserve">  regalos perfectos te esperan  descuentos de lujo  l'oréal </v>
      </c>
      <c r="AG321" s="102" t="str">
        <f t="shared" si="114"/>
        <v xml:space="preserve"> encuentra ese detalle especial para ti o tus seres queridos   descubre  </v>
      </c>
      <c r="AH321" s="102" t="str">
        <f>IF(SUMPRODUCT(--(LEFT(IF(LEFT(LOWER(E321),1)="¡",MID(LOWER(E321),2,300),LOWER(E321)),LEN({"actualizaci","el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321" s="102" t="str">
        <f>IF(OR(SUMPRODUCT(--ISNUMBER(SEARCH({"descuento","oferta","ahorr","precio"," sale ","flash","deals"},AF321)))&gt;0,SUMPRODUCT(--ISNUMBER(SEARCH({"descuento","oferta","ahorr","precio"," sale ","flash","deals"},AG321)))&gt;0),"Sí","No")</f>
        <v>Sí</v>
      </c>
      <c r="AJ321" s="102" t="str">
        <f>IF(SUMPRODUCT(--ISNUMBER(SEARCH({" hoy ","horas","tiempo limitado","antes de que","se acab","se agot","finalic","última oportunidad","oportunidad única","relámpago","express","no esperes","no volver","no parpadees"},AF321)))&gt;0,"Sí","No")</f>
        <v>No</v>
      </c>
      <c r="AK321" s="102" t="str">
        <f>IF(SUMPRODUCT(--ISNUMBER(SEARCH({" hoy ","horas","tiempo limitado","antes de que","se acab","se agot","finalic","última oportunidad","oportunidad única","relámpago","express","no esperes","no volver","no parpadees"},AG321)))&gt;0,"Sí","No")</f>
        <v>No</v>
      </c>
      <c r="AL321" s="102" t="str">
        <f t="shared" si="115"/>
        <v>Descuento sin tiempo límite</v>
      </c>
      <c r="AM321" s="102" t="str">
        <f>IF(SUMPRODUCT(--ISNUMBER(SEARCH({"0","1","2","3","4","5","6","7","8","9","favorit","maquillaje","piel","cabello","productos","belleza","regalo"},E321)))&gt;0,"Sí","No")</f>
        <v>Sí</v>
      </c>
      <c r="AN321" s="102" t="str">
        <f>IF(SUMPRODUCT(--ISNUMBER(SEARCH({"lo que tenemos","estas ofertas","algo especial","ofertas únicas","que preparamos","no te quedes","echa un vistazo"},F321)))&gt;0,"Sí","No")</f>
        <v>No</v>
      </c>
      <c r="AO321" s="102">
        <f t="shared" si="116"/>
        <v>58</v>
      </c>
      <c r="AP321" s="102">
        <f t="shared" si="117"/>
        <v>8</v>
      </c>
      <c r="AQ321" s="102">
        <f>SUMPRODUCT(LEN(E321)-LEN(SUBSTITUTE(E321,{"!","¡","?","¿",":",",",".","%","·","-",";"},"")))</f>
        <v>3</v>
      </c>
      <c r="AR321" s="102" t="str">
        <f t="shared" si="118"/>
        <v>Sí</v>
      </c>
      <c r="AS321" s="102" t="str">
        <f t="shared" si="119"/>
        <v>No</v>
      </c>
      <c r="AT321" s="102" t="str">
        <f>IF(SUMPRODUCT(--ISNUMBER(FIND({"0","1","2","3","4","5","6","7","8","9"},E321)))&gt;0,"Con cifra concreta",IF(OR(ISNUMBER(FIND("?",E321)),ISNUMBER(FIND("¿",E321))),"Pregunta abierta",IF(SUMPRODUCT(--ISNUMBER(SEARCH({" hoy ","horas","tiempo limitado","antes de que","se acab","se agot","finalic","última oportunidad","oportunidad única","relámpago","express","no esperes","no volver","no parpadees"," ya ","últimas horas","últimas unidades"," ahora "},AF321)))&gt;0,"Solo urgencia, sin cifra",IF(SUMPRODUCT(--ISNUMBER(SEARCH({"recompensa","sorpresa","regalo","lealtad","detalle","gracias","pensamos en ti","para ti"},E321)))&gt;0,"Recompensa o sorpresa","Otro: beneficio o novedad"))))</f>
        <v>Recompensa o sorpresa</v>
      </c>
    </row>
    <row r="322" spans="1:46" x14ac:dyDescent="0.2">
      <c r="A322" s="104" t="s">
        <v>1193</v>
      </c>
      <c r="B322" s="104" t="s">
        <v>278</v>
      </c>
      <c r="C322" s="104" t="s">
        <v>915</v>
      </c>
      <c r="D322" s="104" t="s">
        <v>769</v>
      </c>
      <c r="E322" s="104" t="s">
        <v>367</v>
      </c>
      <c r="F322" s="104" t="s">
        <v>458</v>
      </c>
      <c r="G322" s="105">
        <v>476976</v>
      </c>
      <c r="H322" s="105">
        <v>147805</v>
      </c>
      <c r="I322" s="105">
        <v>10970</v>
      </c>
      <c r="J322" s="106">
        <v>4.22</v>
      </c>
      <c r="K322" s="106">
        <v>3.18</v>
      </c>
      <c r="L322" s="107">
        <v>33204.49</v>
      </c>
      <c r="M322" s="108">
        <f t="shared" si="96"/>
        <v>30.987932306866593</v>
      </c>
      <c r="N322" s="108">
        <f t="shared" si="97"/>
        <v>2.299906074938781</v>
      </c>
      <c r="O322" s="108">
        <f t="shared" si="98"/>
        <v>7.4219410710057163</v>
      </c>
      <c r="P322" s="108">
        <f t="shared" si="99"/>
        <v>69.614592767770276</v>
      </c>
      <c r="Q322" s="108">
        <f t="shared" si="100"/>
        <v>36.132518317209367</v>
      </c>
      <c r="R322" s="108">
        <f t="shared" si="101"/>
        <v>29.458247936272421</v>
      </c>
      <c r="S322" s="101">
        <f t="shared" si="102"/>
        <v>45954</v>
      </c>
      <c r="T322" s="102" t="str">
        <f t="shared" si="103"/>
        <v>Octubre</v>
      </c>
      <c r="U322" s="102" t="str">
        <f t="shared" si="104"/>
        <v>Viernes</v>
      </c>
      <c r="V322" s="102">
        <f t="shared" si="105"/>
        <v>13</v>
      </c>
      <c r="W322" s="102" t="str">
        <f t="shared" si="106"/>
        <v>Resto del mes</v>
      </c>
      <c r="X322" s="102">
        <f t="shared" si="107"/>
        <v>29</v>
      </c>
      <c r="Y322" s="102" t="str">
        <f t="shared" si="108"/>
        <v>Sí</v>
      </c>
      <c r="Z322" s="102" t="str">
        <f>CHOOSE(MATCH(B322,{"Customer Appreciation","Exclusive Offers","Flash Sale","Holiday Discounts","New Product Launch","Newsletter"},0),"Fidelizar","Vender","Vender","Vender","Lanzar","Educar")</f>
        <v>Lanzar</v>
      </c>
      <c r="AA322" s="102" t="str">
        <f t="shared" si="109"/>
        <v>Más de 400 mil</v>
      </c>
      <c r="AB322" s="102">
        <f>COUNTIFS($E$5:$E$493,E322,$S$5:$S$493,"&lt;"&amp;S322)+COUNTIFS($E$5:E322,E322,$S$5:S322,S322)</f>
        <v>21</v>
      </c>
      <c r="AC322" s="102">
        <f t="shared" si="110"/>
        <v>25</v>
      </c>
      <c r="AD322" s="102" t="str">
        <f t="shared" si="111"/>
        <v>Último tercio</v>
      </c>
      <c r="AE322" s="103">
        <f t="shared" si="112"/>
        <v>-5.1445860103427741</v>
      </c>
      <c r="AF322" s="102" t="str">
        <f t="shared" si="113"/>
        <v xml:space="preserve">  el futuro de tu piel ha llegado  nuevo producto revolucionario </v>
      </c>
      <c r="AG322" s="102" t="str">
        <f t="shared" si="114"/>
        <v xml:space="preserve"> una fórmula revolucionaria para resultados visibles   compruébalo  </v>
      </c>
      <c r="AH322" s="102" t="str">
        <f>IF(SUMPRODUCT(--(LEFT(IF(LEFT(LOWER(E322),1)="¡",MID(LOWER(E322),2,300),LOWER(E322)),LEN({"actualizaci","el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322" s="102" t="str">
        <f>IF(OR(SUMPRODUCT(--ISNUMBER(SEARCH({"descuento","oferta","ahorr","precio"," sale ","flash","deals"},AF322)))&gt;0,SUMPRODUCT(--ISNUMBER(SEARCH({"descuento","oferta","ahorr","precio"," sale ","flash","deals"},AG322)))&gt;0),"Sí","No")</f>
        <v>No</v>
      </c>
      <c r="AJ322" s="102" t="str">
        <f>IF(SUMPRODUCT(--ISNUMBER(SEARCH({" hoy ","horas","tiempo limitado","antes de que","se acab","se agot","finalic","última oportunidad","oportunidad única","relámpago","express","no esperes","no volver","no parpadees"},AF322)))&gt;0,"Sí","No")</f>
        <v>No</v>
      </c>
      <c r="AK322" s="102" t="str">
        <f>IF(SUMPRODUCT(--ISNUMBER(SEARCH({" hoy ","horas","tiempo limitado","antes de que","se acab","se agot","finalic","última oportunidad","oportunidad única","relámpago","express","no esperes","no volver","no parpadees"},AG322)))&gt;0,"Sí","No")</f>
        <v>No</v>
      </c>
      <c r="AL322" s="102" t="str">
        <f t="shared" si="115"/>
        <v>Sin descuento</v>
      </c>
      <c r="AM322" s="102" t="str">
        <f>IF(SUMPRODUCT(--ISNUMBER(SEARCH({"0","1","2","3","4","5","6","7","8","9","favorit","maquillaje","piel","cabello","productos","belleza","regalo"},E322)))&gt;0,"Sí","No")</f>
        <v>Sí</v>
      </c>
      <c r="AN322" s="102" t="str">
        <f>IF(SUMPRODUCT(--ISNUMBER(SEARCH({"lo que tenemos","estas ofertas","algo especial","ofertas únicas","que preparamos","no te quedes","echa un vistazo"},F322)))&gt;0,"Sí","No")</f>
        <v>No</v>
      </c>
      <c r="AO322" s="102">
        <f t="shared" si="116"/>
        <v>63</v>
      </c>
      <c r="AP322" s="102">
        <f t="shared" si="117"/>
        <v>10</v>
      </c>
      <c r="AQ322" s="102">
        <f>SUMPRODUCT(LEN(E322)-LEN(SUBSTITUTE(E322,{"!","¡","?","¿",":",",",".","%","·","-",";"},"")))</f>
        <v>2</v>
      </c>
      <c r="AR322" s="102" t="str">
        <f t="shared" si="118"/>
        <v>No</v>
      </c>
      <c r="AS322" s="102" t="str">
        <f t="shared" si="119"/>
        <v>No</v>
      </c>
      <c r="AT322" s="102" t="str">
        <f>IF(SUMPRODUCT(--ISNUMBER(FIND({"0","1","2","3","4","5","6","7","8","9"},E322)))&gt;0,"Con cifra concreta",IF(OR(ISNUMBER(FIND("?",E322)),ISNUMBER(FIND("¿",E322))),"Pregunta abierta",IF(SUMPRODUCT(--ISNUMBER(SEARCH({" hoy ","horas","tiempo limitado","antes de que","se acab","se agot","finalic","última oportunidad","oportunidad única","relámpago","express","no esperes","no volver","no parpadees"," ya ","últimas horas","últimas unidades"," ahora "},AF322)))&gt;0,"Solo urgencia, sin cifra",IF(SUMPRODUCT(--ISNUMBER(SEARCH({"recompensa","sorpresa","regalo","lealtad","detalle","gracias","pensamos en ti","para ti"},E322)))&gt;0,"Recompensa o sorpresa","Otro: beneficio o novedad"))))</f>
        <v>Otro: beneficio o novedad</v>
      </c>
    </row>
    <row r="323" spans="1:46" x14ac:dyDescent="0.2">
      <c r="A323" s="96" t="s">
        <v>1194</v>
      </c>
      <c r="B323" s="96" t="s">
        <v>279</v>
      </c>
      <c r="C323" s="96" t="s">
        <v>917</v>
      </c>
      <c r="D323" s="96" t="s">
        <v>774</v>
      </c>
      <c r="E323" s="96" t="s">
        <v>472</v>
      </c>
      <c r="F323" s="96" t="s">
        <v>473</v>
      </c>
      <c r="G323" s="97">
        <v>211837</v>
      </c>
      <c r="H323" s="97">
        <v>49187</v>
      </c>
      <c r="I323" s="97">
        <v>33134</v>
      </c>
      <c r="J323" s="98">
        <v>5.15</v>
      </c>
      <c r="K323" s="98">
        <v>1.31</v>
      </c>
      <c r="L323" s="99">
        <v>54737.37</v>
      </c>
      <c r="M323" s="100">
        <f t="shared" si="96"/>
        <v>23.219267644462487</v>
      </c>
      <c r="N323" s="100">
        <f t="shared" si="97"/>
        <v>15.641271354862466</v>
      </c>
      <c r="O323" s="100">
        <f t="shared" si="98"/>
        <v>67.363327708540879</v>
      </c>
      <c r="P323" s="100">
        <f t="shared" si="99"/>
        <v>258.39381222354922</v>
      </c>
      <c r="Q323" s="100">
        <f t="shared" si="100"/>
        <v>22.891293825435607</v>
      </c>
      <c r="R323" s="100">
        <f t="shared" si="101"/>
        <v>27.75136451093497</v>
      </c>
      <c r="S323" s="101">
        <f t="shared" si="102"/>
        <v>45916</v>
      </c>
      <c r="T323" s="102" t="str">
        <f t="shared" si="103"/>
        <v>Septiembre</v>
      </c>
      <c r="U323" s="102" t="str">
        <f t="shared" si="104"/>
        <v>Martes</v>
      </c>
      <c r="V323" s="102">
        <f t="shared" si="105"/>
        <v>11</v>
      </c>
      <c r="W323" s="102" t="str">
        <f t="shared" si="106"/>
        <v>Quincena</v>
      </c>
      <c r="X323" s="102">
        <f t="shared" si="107"/>
        <v>27</v>
      </c>
      <c r="Y323" s="102" t="str">
        <f t="shared" si="108"/>
        <v>Sí</v>
      </c>
      <c r="Z323" s="102" t="str">
        <f>CHOOSE(MATCH(B323,{"Customer Appreciation","Exclusive Offers","Flash Sale","Holiday Discounts","New Product Launch","Newsletter"},0),"Fidelizar","Vender","Vender","Vender","Lanzar","Educar")</f>
        <v>Educar</v>
      </c>
      <c r="AA323" s="102" t="str">
        <f t="shared" si="109"/>
        <v>200 a 300 mil</v>
      </c>
      <c r="AB323" s="102">
        <f>COUNTIFS($E$5:$E$493,E323,$S$5:$S$493,"&lt;"&amp;S323)+COUNTIFS($E$5:E323,E323,$S$5:S323,S323)</f>
        <v>14</v>
      </c>
      <c r="AC323" s="102">
        <f t="shared" si="110"/>
        <v>22</v>
      </c>
      <c r="AD323" s="102" t="str">
        <f t="shared" si="111"/>
        <v>Medio</v>
      </c>
      <c r="AE323" s="103">
        <f t="shared" si="112"/>
        <v>0.32797381902688016</v>
      </c>
      <c r="AF323" s="102" t="str">
        <f t="shared" si="113"/>
        <v xml:space="preserve"> tu dosis semanal de belleza  novedades y tips </v>
      </c>
      <c r="AG323" s="102" t="str">
        <f t="shared" si="114"/>
        <v xml:space="preserve"> novedades  tips y más para tu rutina diaria   entra ya  </v>
      </c>
      <c r="AH323" s="102" t="str">
        <f>IF(SUMPRODUCT(--(LEFT(IF(LEFT(LOWER(E323),1)="¡",MID(LOWER(E323),2,300),LOWER(E323)),LEN({"actualizaci","el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323" s="102" t="str">
        <f>IF(OR(SUMPRODUCT(--ISNUMBER(SEARCH({"descuento","oferta","ahorr","precio"," sale ","flash","deals"},AF323)))&gt;0,SUMPRODUCT(--ISNUMBER(SEARCH({"descuento","oferta","ahorr","precio"," sale ","flash","deals"},AG323)))&gt;0),"Sí","No")</f>
        <v>No</v>
      </c>
      <c r="AJ323" s="102" t="str">
        <f>IF(SUMPRODUCT(--ISNUMBER(SEARCH({" hoy ","horas","tiempo limitado","antes de que","se acab","se agot","finalic","última oportunidad","oportunidad única","relámpago","express","no esperes","no volver","no parpadees"},AF323)))&gt;0,"Sí","No")</f>
        <v>No</v>
      </c>
      <c r="AK323" s="102" t="str">
        <f>IF(SUMPRODUCT(--ISNUMBER(SEARCH({" hoy ","horas","tiempo limitado","antes de que","se acab","se agot","finalic","última oportunidad","oportunidad única","relámpago","express","no esperes","no volver","no parpadees"},AG323)))&gt;0,"Sí","No")</f>
        <v>No</v>
      </c>
      <c r="AL323" s="102" t="str">
        <f t="shared" si="115"/>
        <v>Sin descuento</v>
      </c>
      <c r="AM323" s="102" t="str">
        <f>IF(SUMPRODUCT(--ISNUMBER(SEARCH({"0","1","2","3","4","5","6","7","8","9","favorit","maquillaje","piel","cabello","productos","belleza","regalo"},E323)))&gt;0,"Sí","No")</f>
        <v>Sí</v>
      </c>
      <c r="AN323" s="102" t="str">
        <f>IF(SUMPRODUCT(--ISNUMBER(SEARCH({"lo que tenemos","estas ofertas","algo especial","ofertas únicas","que preparamos","no te quedes","echa un vistazo"},F323)))&gt;0,"Sí","No")</f>
        <v>No</v>
      </c>
      <c r="AO323" s="102">
        <f t="shared" si="116"/>
        <v>45</v>
      </c>
      <c r="AP323" s="102">
        <f t="shared" si="117"/>
        <v>8</v>
      </c>
      <c r="AQ323" s="102">
        <f>SUMPRODUCT(LEN(E323)-LEN(SUBSTITUTE(E323,{"!","¡","?","¿",":",",",".","%","·","-",";"},"")))</f>
        <v>1</v>
      </c>
      <c r="AR323" s="102" t="str">
        <f t="shared" si="118"/>
        <v>Sí</v>
      </c>
      <c r="AS323" s="102" t="str">
        <f t="shared" si="119"/>
        <v>No</v>
      </c>
      <c r="AT323" s="102" t="str">
        <f>IF(SUMPRODUCT(--ISNUMBER(FIND({"0","1","2","3","4","5","6","7","8","9"},E323)))&gt;0,"Con cifra concreta",IF(OR(ISNUMBER(FIND("?",E323)),ISNUMBER(FIND("¿",E323))),"Pregunta abierta",IF(SUMPRODUCT(--ISNUMBER(SEARCH({" hoy ","horas","tiempo limitado","antes de que","se acab","se agot","finalic","última oportunidad","oportunidad única","relámpago","express","no esperes","no volver","no parpadees"," ya ","últimas horas","últimas unidades"," ahora "},AF323)))&gt;0,"Solo urgencia, sin cifra",IF(SUMPRODUCT(--ISNUMBER(SEARCH({"recompensa","sorpresa","regalo","lealtad","detalle","gracias","pensamos en ti","para ti"},E323)))&gt;0,"Recompensa o sorpresa","Otro: beneficio o novedad"))))</f>
        <v>Otro: beneficio o novedad</v>
      </c>
    </row>
    <row r="324" spans="1:46" x14ac:dyDescent="0.2">
      <c r="A324" s="104" t="s">
        <v>1195</v>
      </c>
      <c r="B324" s="104" t="s">
        <v>277</v>
      </c>
      <c r="C324" s="104" t="s">
        <v>923</v>
      </c>
      <c r="D324" s="104" t="s">
        <v>729</v>
      </c>
      <c r="E324" s="104" t="s">
        <v>476</v>
      </c>
      <c r="F324" s="104" t="s">
        <v>477</v>
      </c>
      <c r="G324" s="105">
        <v>257372</v>
      </c>
      <c r="H324" s="105">
        <v>123910</v>
      </c>
      <c r="I324" s="105">
        <v>43360</v>
      </c>
      <c r="J324" s="106">
        <v>6.68</v>
      </c>
      <c r="K324" s="106">
        <v>1.1499999999999999</v>
      </c>
      <c r="L324" s="107">
        <v>36160.550000000003</v>
      </c>
      <c r="M324" s="108">
        <f t="shared" si="96"/>
        <v>48.144320283480717</v>
      </c>
      <c r="N324" s="108">
        <f t="shared" si="97"/>
        <v>16.847209486657444</v>
      </c>
      <c r="O324" s="108">
        <f t="shared" si="98"/>
        <v>34.993140182390441</v>
      </c>
      <c r="P324" s="108">
        <f t="shared" si="99"/>
        <v>140.49916074786691</v>
      </c>
      <c r="Q324" s="108">
        <f t="shared" si="100"/>
        <v>21.434915192427972</v>
      </c>
      <c r="R324" s="108">
        <f t="shared" si="101"/>
        <v>30.71114383300629</v>
      </c>
      <c r="S324" s="101">
        <f t="shared" si="102"/>
        <v>45873</v>
      </c>
      <c r="T324" s="102" t="str">
        <f t="shared" si="103"/>
        <v>Agosto</v>
      </c>
      <c r="U324" s="102" t="str">
        <f t="shared" si="104"/>
        <v>Lunes</v>
      </c>
      <c r="V324" s="102">
        <f t="shared" si="105"/>
        <v>10</v>
      </c>
      <c r="W324" s="102" t="str">
        <f t="shared" si="106"/>
        <v>Días después del pago</v>
      </c>
      <c r="X324" s="102">
        <f t="shared" si="107"/>
        <v>24</v>
      </c>
      <c r="Y324" s="102" t="str">
        <f t="shared" si="108"/>
        <v>Sí</v>
      </c>
      <c r="Z324" s="102" t="str">
        <f>CHOOSE(MATCH(B324,{"Customer Appreciation","Exclusive Offers","Flash Sale","Holiday Discounts","New Product Launch","Newsletter"},0),"Fidelizar","Vender","Vender","Vender","Lanzar","Educar")</f>
        <v>Vender</v>
      </c>
      <c r="AA324" s="102" t="str">
        <f t="shared" si="109"/>
        <v>200 a 300 mil</v>
      </c>
      <c r="AB324" s="102">
        <f>COUNTIFS($E$5:$E$493,E324,$S$5:$S$493,"&lt;"&amp;S324)+COUNTIFS($E$5:E324,E324,$S$5:S324,S324)</f>
        <v>1</v>
      </c>
      <c r="AC324" s="102">
        <f t="shared" si="110"/>
        <v>10</v>
      </c>
      <c r="AD324" s="102" t="str">
        <f t="shared" si="111"/>
        <v>Primer tercio</v>
      </c>
      <c r="AE324" s="103">
        <f t="shared" si="112"/>
        <v>26.709405091052744</v>
      </c>
      <c r="AF324" s="102" t="str">
        <f t="shared" si="113"/>
        <v xml:space="preserve">  ofertas de temporada  listas para ti  regalos perfectos </v>
      </c>
      <c r="AG324" s="102" t="str">
        <f t="shared" si="114"/>
        <v xml:space="preserve"> los mejores productos para tus celebraciones te esperan   descubre  </v>
      </c>
      <c r="AH324" s="102" t="str">
        <f>IF(SUMPRODUCT(--(LEFT(IF(LEFT(LOWER(E324),1)="¡",MID(LOWER(E324),2,300),LOWER(E324)),LEN({"actualizaci","el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Sí</v>
      </c>
      <c r="AI324" s="102" t="str">
        <f>IF(OR(SUMPRODUCT(--ISNUMBER(SEARCH({"descuento","oferta","ahorr","precio"," sale ","flash","deals"},AF324)))&gt;0,SUMPRODUCT(--ISNUMBER(SEARCH({"descuento","oferta","ahorr","precio"," sale ","flash","deals"},AG324)))&gt;0),"Sí","No")</f>
        <v>Sí</v>
      </c>
      <c r="AJ324" s="102" t="str">
        <f>IF(SUMPRODUCT(--ISNUMBER(SEARCH({" hoy ","horas","tiempo limitado","antes de que","se acab","se agot","finalic","última oportunidad","oportunidad única","relámpago","express","no esperes","no volver","no parpadees"},AF324)))&gt;0,"Sí","No")</f>
        <v>No</v>
      </c>
      <c r="AK324" s="102" t="str">
        <f>IF(SUMPRODUCT(--ISNUMBER(SEARCH({" hoy ","horas","tiempo limitado","antes de que","se acab","se agot","finalic","última oportunidad","oportunidad única","relámpago","express","no esperes","no volver","no parpadees"},AG324)))&gt;0,"Sí","No")</f>
        <v>No</v>
      </c>
      <c r="AL324" s="102" t="str">
        <f t="shared" si="115"/>
        <v>Descuento sin tiempo límite</v>
      </c>
      <c r="AM324" s="102" t="str">
        <f>IF(SUMPRODUCT(--ISNUMBER(SEARCH({"0","1","2","3","4","5","6","7","8","9","favorit","maquillaje","piel","cabello","productos","belleza","regalo"},E324)))&gt;0,"Sí","No")</f>
        <v>Sí</v>
      </c>
      <c r="AN324" s="102" t="str">
        <f>IF(SUMPRODUCT(--ISNUMBER(SEARCH({"lo que tenemos","estas ofertas","algo especial","ofertas únicas","que preparamos","no te quedes","echa un vistazo"},F324)))&gt;0,"Sí","No")</f>
        <v>No</v>
      </c>
      <c r="AO324" s="102">
        <f t="shared" si="116"/>
        <v>56</v>
      </c>
      <c r="AP324" s="102">
        <f t="shared" si="117"/>
        <v>8</v>
      </c>
      <c r="AQ324" s="102">
        <f>SUMPRODUCT(LEN(E324)-LEN(SUBSTITUTE(E324,{"!","¡","?","¿",":",",",".","%","·","-",";"},"")))</f>
        <v>3</v>
      </c>
      <c r="AR324" s="102" t="str">
        <f t="shared" si="118"/>
        <v>Sí</v>
      </c>
      <c r="AS324" s="102" t="str">
        <f t="shared" si="119"/>
        <v>No</v>
      </c>
      <c r="AT324" s="102" t="str">
        <f>IF(SUMPRODUCT(--ISNUMBER(FIND({"0","1","2","3","4","5","6","7","8","9"},E324)))&gt;0,"Con cifra concreta",IF(OR(ISNUMBER(FIND("?",E324)),ISNUMBER(FIND("¿",E324))),"Pregunta abierta",IF(SUMPRODUCT(--ISNUMBER(SEARCH({" hoy ","horas","tiempo limitado","antes de que","se acab","se agot","finalic","última oportunidad","oportunidad única","relámpago","express","no esperes","no volver","no parpadees"," ya ","últimas horas","últimas unidades"," ahora "},AF324)))&gt;0,"Solo urgencia, sin cifra",IF(SUMPRODUCT(--ISNUMBER(SEARCH({"recompensa","sorpresa","regalo","lealtad","detalle","gracias","pensamos en ti","para ti"},E324)))&gt;0,"Recompensa o sorpresa","Otro: beneficio o novedad"))))</f>
        <v>Recompensa o sorpresa</v>
      </c>
    </row>
    <row r="325" spans="1:46" x14ac:dyDescent="0.2">
      <c r="A325" s="96" t="s">
        <v>1196</v>
      </c>
      <c r="B325" s="96" t="s">
        <v>276</v>
      </c>
      <c r="C325" s="96" t="s">
        <v>793</v>
      </c>
      <c r="D325" s="96" t="s">
        <v>947</v>
      </c>
      <c r="E325" s="96" t="s">
        <v>450</v>
      </c>
      <c r="F325" s="96" t="s">
        <v>451</v>
      </c>
      <c r="G325" s="97">
        <v>387003</v>
      </c>
      <c r="H325" s="97">
        <v>186419</v>
      </c>
      <c r="I325" s="97">
        <v>43344</v>
      </c>
      <c r="J325" s="98">
        <v>6.13</v>
      </c>
      <c r="K325" s="98">
        <v>3.56</v>
      </c>
      <c r="L325" s="99">
        <v>46813.72</v>
      </c>
      <c r="M325" s="100">
        <f t="shared" ref="M325:M388" si="120">IFERROR(H325/G325*100,"")</f>
        <v>48.169910827564642</v>
      </c>
      <c r="N325" s="100">
        <f t="shared" ref="N325:N388" si="121">IFERROR(I325/G325*100,"")</f>
        <v>11.199913178967606</v>
      </c>
      <c r="O325" s="100">
        <f t="shared" ref="O325:O388" si="122">IFERROR(I325/H325*100,"")</f>
        <v>23.250848894157787</v>
      </c>
      <c r="P325" s="100">
        <f t="shared" ref="P325:P388" si="123">IFERROR(L325/G325*1000,"")</f>
        <v>120.96474704330458</v>
      </c>
      <c r="Q325" s="100">
        <f t="shared" ref="Q325:Q388" si="124">AVERAGEIF($E$5:$E$493,$E325,$M$5:$M$493)</f>
        <v>41.593592985418489</v>
      </c>
      <c r="R325" s="100">
        <f t="shared" ref="R325:R388" si="125">AVERAGEIF($B$5:$B$493,$B325,$M$5:$M$493)</f>
        <v>29.440902453236173</v>
      </c>
      <c r="S325" s="101">
        <f t="shared" ref="S325:S388" si="126">DATEVALUE(C325)</f>
        <v>45939</v>
      </c>
      <c r="T325" s="102" t="str">
        <f t="shared" ref="T325:T388" si="127">CHOOSE(MONTH(S325)-7,"Agosto","Septiembre","Octubre")</f>
        <v>Octubre</v>
      </c>
      <c r="U325" s="102" t="str">
        <f t="shared" ref="U325:U388" si="128">CHOOSE(WEEKDAY(S325,2),"Lunes","Martes","Miércoles","Jueves","Viernes","Sábado","Domingo")</f>
        <v>Jueves</v>
      </c>
      <c r="V325" s="102">
        <f t="shared" ref="V325:V388" si="129">VALUE(LEFT(D325,2))</f>
        <v>9</v>
      </c>
      <c r="W325" s="102" t="str">
        <f t="shared" ref="W325:W388" si="130">IF(OR(AND(DAY(S325)&gt;=14,DAY(S325)&lt;=16),DAY(S325)&gt;=DAY(EOMONTH(S325,0))-1,DAY(S325)=1),"Quincena",IF(OR(AND(DAY(S325)&gt;=2,DAY(S325)&lt;=5),AND(DAY(S325)&gt;=17,DAY(S325)&lt;=20)),"Días después del pago","Resto del mes"))</f>
        <v>Resto del mes</v>
      </c>
      <c r="X325" s="102">
        <f t="shared" ref="X325:X388" si="131">COUNTIF($S$5:$S$493,S325)</f>
        <v>27</v>
      </c>
      <c r="Y325" s="102" t="str">
        <f t="shared" ref="Y325:Y388" si="132">IF(X325&gt;=20,"Sí","No")</f>
        <v>Sí</v>
      </c>
      <c r="Z325" s="102" t="str">
        <f>CHOOSE(MATCH(B325,{"Customer Appreciation","Exclusive Offers","Flash Sale","Holiday Discounts","New Product Launch","Newsletter"},0),"Fidelizar","Vender","Vender","Vender","Lanzar","Educar")</f>
        <v>Vender</v>
      </c>
      <c r="AA325" s="102" t="str">
        <f t="shared" ref="AA325:AA388" si="133">IF(G325&lt;100000,"Menos de 100 mil",IF(G325&lt;200000,"100 a 200 mil",IF(G325&lt;300000,"200 a 300 mil",IF(G325&lt;400000,"300 a 400 mil","Más de 400 mil"))))</f>
        <v>300 a 400 mil</v>
      </c>
      <c r="AB325" s="102">
        <f>COUNTIFS($E$5:$E$493,E325,$S$5:$S$493,"&lt;"&amp;S325)+COUNTIFS($E$5:E325,E325,$S$5:S325,S325)</f>
        <v>17</v>
      </c>
      <c r="AC325" s="102">
        <f t="shared" ref="AC325:AC388" si="134">COUNTIF($E$5:$E$493,E325)</f>
        <v>21</v>
      </c>
      <c r="AD325" s="102" t="str">
        <f t="shared" ref="AD325:AD388" si="135">IF(AC325&lt;8,"",IF(AB325&lt;=AC325/3,"Primer tercio",IF(AB325&gt;AC325*2/3,"Último tercio","Medio")))</f>
        <v>Último tercio</v>
      </c>
      <c r="AE325" s="103">
        <f t="shared" ref="AE325:AE388" si="136">M325-Q325</f>
        <v>6.5763178421461532</v>
      </c>
      <c r="AF325" s="102" t="str">
        <f t="shared" ref="AF325:AF388" si="137">" "&amp;LOWER(SUBSTITUTE(SUBSTITUTE(SUBSTITUTE(SUBSTITUTE(SUBSTITUTE(SUBSTITUTE(SUBSTITUTE(E325,"¡"," "),"!"," "),"¿"," "),"?"," "),":"," "),","," "),"."," "))&amp;" "</f>
        <v xml:space="preserve">  ahorra ya  flash sale  hasta 50% en tus favoritos </v>
      </c>
      <c r="AG325" s="102" t="str">
        <f t="shared" ref="AG325:AG388" si="138">" "&amp;LOWER(SUBSTITUTE(SUBSTITUTE(SUBSTITUTE(SUBSTITUTE(SUBSTITUTE(SUBSTITUTE(SUBSTITUTE(F325,"¡"," "),"!"," "),"¿"," "),"?"," "),":"," "),","," "),"."," "))&amp;" "</f>
        <v xml:space="preserve"> edición limitada  maquillaje  cuidado de piel y más   corre  </v>
      </c>
      <c r="AH325" s="102" t="str">
        <f>IF(SUMPRODUCT(--(LEFT(IF(LEFT(LOWER(E325),1)="¡",MID(LOWER(E325),2,300),LOWER(E325)),LEN({"actualizaci","el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325" s="102" t="str">
        <f>IF(OR(SUMPRODUCT(--ISNUMBER(SEARCH({"descuento","oferta","ahorr","precio"," sale ","flash","deals"},AF325)))&gt;0,SUMPRODUCT(--ISNUMBER(SEARCH({"descuento","oferta","ahorr","precio"," sale ","flash","deals"},AG325)))&gt;0),"Sí","No")</f>
        <v>Sí</v>
      </c>
      <c r="AJ325" s="102" t="str">
        <f>IF(SUMPRODUCT(--ISNUMBER(SEARCH({" hoy ","horas","tiempo limitado","antes de que","se acab","se agot","finalic","última oportunidad","oportunidad única","relámpago","express","no esperes","no volver","no parpadees"},AF325)))&gt;0,"Sí","No")</f>
        <v>No</v>
      </c>
      <c r="AK325" s="102" t="str">
        <f>IF(SUMPRODUCT(--ISNUMBER(SEARCH({" hoy ","horas","tiempo limitado","antes de que","se acab","se agot","finalic","última oportunidad","oportunidad única","relámpago","express","no esperes","no volver","no parpadees"},AG325)))&gt;0,"Sí","No")</f>
        <v>No</v>
      </c>
      <c r="AL325" s="102" t="str">
        <f t="shared" ref="AL325:AL388" si="139">IF(AI325="No","Sin descuento",IF(AJ325="Sí","Descuento con tiempo límite en el asunto",IF(AK325="Sí","Descuento con tiempo límite solo en el preheader","Descuento sin tiempo límite")))</f>
        <v>Descuento sin tiempo límite</v>
      </c>
      <c r="AM325" s="102" t="str">
        <f>IF(SUMPRODUCT(--ISNUMBER(SEARCH({"0","1","2","3","4","5","6","7","8","9","favorit","maquillaje","piel","cabello","productos","belleza","regalo"},E325)))&gt;0,"Sí","No")</f>
        <v>Sí</v>
      </c>
      <c r="AN325" s="102" t="str">
        <f>IF(SUMPRODUCT(--ISNUMBER(SEARCH({"lo que tenemos","estas ofertas","algo especial","ofertas únicas","que preparamos","no te quedes","echa un vistazo"},F325)))&gt;0,"Sí","No")</f>
        <v>No</v>
      </c>
      <c r="AO325" s="102">
        <f t="shared" ref="AO325:AO388" si="140">LEN(E325)-(LEN(E325)-LEN(SUBSTITUTE(E325,"🔥","")))/LEN("🔥")*(LEN("🔥")-1)</f>
        <v>50</v>
      </c>
      <c r="AP325" s="102">
        <f t="shared" ref="AP325:AP388" si="141">LEN(TRIM(E325))-LEN(SUBSTITUTE(TRIM(E325)," ",""))+1</f>
        <v>9</v>
      </c>
      <c r="AQ325" s="102">
        <f>SUMPRODUCT(LEN(E325)-LEN(SUBSTITUTE(E325,{"!","¡","?","¿",":",",",".","%","·","-",";"},"")))</f>
        <v>4</v>
      </c>
      <c r="AR325" s="102" t="str">
        <f t="shared" ref="AR325:AR388" si="142">IF(AND(AO325&lt;=60,AP325&lt;=9,AQ325&lt;=3,(LEN(E325)-LEN(SUBSTITUTE(E325,"🔥","")))/LEN("🔥")&lt;=1),"Sí","No")</f>
        <v>No</v>
      </c>
      <c r="AS325" s="102" t="str">
        <f t="shared" ref="AS325:AS388" si="143">IF(ISNUMBER(SEARCH("hot sale",E325)),"Sí","No")</f>
        <v>No</v>
      </c>
      <c r="AT325" s="102" t="str">
        <f>IF(SUMPRODUCT(--ISNUMBER(FIND({"0","1","2","3","4","5","6","7","8","9"},E325)))&gt;0,"Con cifra concreta",IF(OR(ISNUMBER(FIND("?",E325)),ISNUMBER(FIND("¿",E325))),"Pregunta abierta",IF(SUMPRODUCT(--ISNUMBER(SEARCH({" hoy ","horas","tiempo limitado","antes de que","se acab","se agot","finalic","última oportunidad","oportunidad única","relámpago","express","no esperes","no volver","no parpadees"," ya ","últimas horas","últimas unidades"," ahora "},AF325)))&gt;0,"Solo urgencia, sin cifra",IF(SUMPRODUCT(--ISNUMBER(SEARCH({"recompensa","sorpresa","regalo","lealtad","detalle","gracias","pensamos en ti","para ti"},E325)))&gt;0,"Recompensa o sorpresa","Otro: beneficio o novedad"))))</f>
        <v>Con cifra concreta</v>
      </c>
    </row>
    <row r="326" spans="1:46" x14ac:dyDescent="0.2">
      <c r="A326" s="104" t="s">
        <v>1197</v>
      </c>
      <c r="B326" s="104" t="s">
        <v>277</v>
      </c>
      <c r="C326" s="104" t="s">
        <v>830</v>
      </c>
      <c r="D326" s="104" t="s">
        <v>950</v>
      </c>
      <c r="E326" s="104" t="s">
        <v>461</v>
      </c>
      <c r="F326" s="104" t="s">
        <v>462</v>
      </c>
      <c r="G326" s="105">
        <v>496788</v>
      </c>
      <c r="H326" s="105">
        <v>112273</v>
      </c>
      <c r="I326" s="105">
        <v>54256</v>
      </c>
      <c r="J326" s="106">
        <v>7.98</v>
      </c>
      <c r="K326" s="106">
        <v>3.73</v>
      </c>
      <c r="L326" s="107">
        <v>36988.5</v>
      </c>
      <c r="M326" s="108">
        <f t="shared" si="120"/>
        <v>22.599780993099671</v>
      </c>
      <c r="N326" s="108">
        <f t="shared" si="121"/>
        <v>10.921358808988945</v>
      </c>
      <c r="O326" s="108">
        <f t="shared" si="122"/>
        <v>48.325064797413447</v>
      </c>
      <c r="P326" s="108">
        <f t="shared" si="123"/>
        <v>74.455300852677595</v>
      </c>
      <c r="Q326" s="108">
        <f t="shared" si="124"/>
        <v>35.409886702202286</v>
      </c>
      <c r="R326" s="108">
        <f t="shared" si="125"/>
        <v>30.71114383300629</v>
      </c>
      <c r="S326" s="101">
        <f t="shared" si="126"/>
        <v>45901</v>
      </c>
      <c r="T326" s="102" t="str">
        <f t="shared" si="127"/>
        <v>Septiembre</v>
      </c>
      <c r="U326" s="102" t="str">
        <f t="shared" si="128"/>
        <v>Lunes</v>
      </c>
      <c r="V326" s="102">
        <f t="shared" si="129"/>
        <v>14</v>
      </c>
      <c r="W326" s="102" t="str">
        <f t="shared" si="130"/>
        <v>Quincena</v>
      </c>
      <c r="X326" s="102">
        <f t="shared" si="131"/>
        <v>29</v>
      </c>
      <c r="Y326" s="102" t="str">
        <f t="shared" si="132"/>
        <v>Sí</v>
      </c>
      <c r="Z326" s="102" t="str">
        <f>CHOOSE(MATCH(B326,{"Customer Appreciation","Exclusive Offers","Flash Sale","Holiday Discounts","New Product Launch","Newsletter"},0),"Fidelizar","Vender","Vender","Vender","Lanzar","Educar")</f>
        <v>Vender</v>
      </c>
      <c r="AA326" s="102" t="str">
        <f t="shared" si="133"/>
        <v>Más de 400 mil</v>
      </c>
      <c r="AB326" s="102">
        <f>COUNTIFS($E$5:$E$493,E326,$S$5:$S$493,"&lt;"&amp;S326)+COUNTIFS($E$5:E326,E326,$S$5:S326,S326)</f>
        <v>13</v>
      </c>
      <c r="AC326" s="102">
        <f t="shared" si="134"/>
        <v>30</v>
      </c>
      <c r="AD326" s="102" t="str">
        <f t="shared" si="135"/>
        <v>Medio</v>
      </c>
      <c r="AE326" s="103">
        <f t="shared" si="136"/>
        <v>-12.810105709102615</v>
      </c>
      <c r="AF326" s="102" t="str">
        <f t="shared" si="137"/>
        <v xml:space="preserve">  regalos perfectos te esperan  descuentos de lujo  l'oréal </v>
      </c>
      <c r="AG326" s="102" t="str">
        <f t="shared" si="138"/>
        <v xml:space="preserve"> encuentra ese detalle especial para ti o tus seres queridos   descubre  </v>
      </c>
      <c r="AH326" s="102" t="str">
        <f>IF(SUMPRODUCT(--(LEFT(IF(LEFT(LOWER(E326),1)="¡",MID(LOWER(E326),2,300),LOWER(E326)),LEN({"actualizaci","el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326" s="102" t="str">
        <f>IF(OR(SUMPRODUCT(--ISNUMBER(SEARCH({"descuento","oferta","ahorr","precio"," sale ","flash","deals"},AF326)))&gt;0,SUMPRODUCT(--ISNUMBER(SEARCH({"descuento","oferta","ahorr","precio"," sale ","flash","deals"},AG326)))&gt;0),"Sí","No")</f>
        <v>Sí</v>
      </c>
      <c r="AJ326" s="102" t="str">
        <f>IF(SUMPRODUCT(--ISNUMBER(SEARCH({" hoy ","horas","tiempo limitado","antes de que","se acab","se agot","finalic","última oportunidad","oportunidad única","relámpago","express","no esperes","no volver","no parpadees"},AF326)))&gt;0,"Sí","No")</f>
        <v>No</v>
      </c>
      <c r="AK326" s="102" t="str">
        <f>IF(SUMPRODUCT(--ISNUMBER(SEARCH({" hoy ","horas","tiempo limitado","antes de que","se acab","se agot","finalic","última oportunidad","oportunidad única","relámpago","express","no esperes","no volver","no parpadees"},AG326)))&gt;0,"Sí","No")</f>
        <v>No</v>
      </c>
      <c r="AL326" s="102" t="str">
        <f t="shared" si="139"/>
        <v>Descuento sin tiempo límite</v>
      </c>
      <c r="AM326" s="102" t="str">
        <f>IF(SUMPRODUCT(--ISNUMBER(SEARCH({"0","1","2","3","4","5","6","7","8","9","favorit","maquillaje","piel","cabello","productos","belleza","regalo"},E326)))&gt;0,"Sí","No")</f>
        <v>Sí</v>
      </c>
      <c r="AN326" s="102" t="str">
        <f>IF(SUMPRODUCT(--ISNUMBER(SEARCH({"lo que tenemos","estas ofertas","algo especial","ofertas únicas","que preparamos","no te quedes","echa un vistazo"},F326)))&gt;0,"Sí","No")</f>
        <v>No</v>
      </c>
      <c r="AO326" s="102">
        <f t="shared" si="140"/>
        <v>58</v>
      </c>
      <c r="AP326" s="102">
        <f t="shared" si="141"/>
        <v>8</v>
      </c>
      <c r="AQ326" s="102">
        <f>SUMPRODUCT(LEN(E326)-LEN(SUBSTITUTE(E326,{"!","¡","?","¿",":",",",".","%","·","-",";"},"")))</f>
        <v>3</v>
      </c>
      <c r="AR326" s="102" t="str">
        <f t="shared" si="142"/>
        <v>Sí</v>
      </c>
      <c r="AS326" s="102" t="str">
        <f t="shared" si="143"/>
        <v>No</v>
      </c>
      <c r="AT326" s="102" t="str">
        <f>IF(SUMPRODUCT(--ISNUMBER(FIND({"0","1","2","3","4","5","6","7","8","9"},E326)))&gt;0,"Con cifra concreta",IF(OR(ISNUMBER(FIND("?",E326)),ISNUMBER(FIND("¿",E326))),"Pregunta abierta",IF(SUMPRODUCT(--ISNUMBER(SEARCH({" hoy ","horas","tiempo limitado","antes de que","se acab","se agot","finalic","última oportunidad","oportunidad única","relámpago","express","no esperes","no volver","no parpadees"," ya ","últimas horas","últimas unidades"," ahora "},AF326)))&gt;0,"Solo urgencia, sin cifra",IF(SUMPRODUCT(--ISNUMBER(SEARCH({"recompensa","sorpresa","regalo","lealtad","detalle","gracias","pensamos en ti","para ti"},E326)))&gt;0,"Recompensa o sorpresa","Otro: beneficio o novedad"))))</f>
        <v>Recompensa o sorpresa</v>
      </c>
    </row>
    <row r="327" spans="1:46" x14ac:dyDescent="0.2">
      <c r="A327" s="96" t="s">
        <v>1198</v>
      </c>
      <c r="B327" s="96" t="s">
        <v>276</v>
      </c>
      <c r="C327" s="96" t="s">
        <v>976</v>
      </c>
      <c r="D327" s="96" t="s">
        <v>751</v>
      </c>
      <c r="E327" s="96" t="s">
        <v>474</v>
      </c>
      <c r="F327" s="96" t="s">
        <v>475</v>
      </c>
      <c r="G327" s="97">
        <v>370766</v>
      </c>
      <c r="H327" s="97">
        <v>81112</v>
      </c>
      <c r="I327" s="97">
        <v>38444</v>
      </c>
      <c r="J327" s="98">
        <v>1.58</v>
      </c>
      <c r="K327" s="98">
        <v>4.8899999999999997</v>
      </c>
      <c r="L327" s="99">
        <v>67143</v>
      </c>
      <c r="M327" s="100">
        <f t="shared" si="120"/>
        <v>21.876871126262927</v>
      </c>
      <c r="N327" s="100">
        <f t="shared" si="121"/>
        <v>10.368804043520711</v>
      </c>
      <c r="O327" s="100">
        <f t="shared" si="122"/>
        <v>47.396192918433769</v>
      </c>
      <c r="P327" s="100">
        <f t="shared" si="123"/>
        <v>181.09265682398063</v>
      </c>
      <c r="Q327" s="100">
        <f t="shared" si="124"/>
        <v>22.775066640377752</v>
      </c>
      <c r="R327" s="100">
        <f t="shared" si="125"/>
        <v>29.440902453236173</v>
      </c>
      <c r="S327" s="101">
        <f t="shared" si="126"/>
        <v>45892</v>
      </c>
      <c r="T327" s="102" t="str">
        <f t="shared" si="127"/>
        <v>Agosto</v>
      </c>
      <c r="U327" s="102" t="str">
        <f t="shared" si="128"/>
        <v>Sábado</v>
      </c>
      <c r="V327" s="102">
        <f t="shared" si="129"/>
        <v>11</v>
      </c>
      <c r="W327" s="102" t="str">
        <f t="shared" si="130"/>
        <v>Resto del mes</v>
      </c>
      <c r="X327" s="102">
        <f t="shared" si="131"/>
        <v>25</v>
      </c>
      <c r="Y327" s="102" t="str">
        <f t="shared" si="132"/>
        <v>Sí</v>
      </c>
      <c r="Z327" s="102" t="str">
        <f>CHOOSE(MATCH(B327,{"Customer Appreciation","Exclusive Offers","Flash Sale","Holiday Discounts","New Product Launch","Newsletter"},0),"Fidelizar","Vender","Vender","Vender","Lanzar","Educar")</f>
        <v>Vender</v>
      </c>
      <c r="AA327" s="102" t="str">
        <f t="shared" si="133"/>
        <v>300 a 400 mil</v>
      </c>
      <c r="AB327" s="102">
        <f>COUNTIFS($E$5:$E$493,E327,$S$5:$S$493,"&lt;"&amp;S327)+COUNTIFS($E$5:E327,E327,$S$5:S327,S327)</f>
        <v>8</v>
      </c>
      <c r="AC327" s="102">
        <f t="shared" si="134"/>
        <v>20</v>
      </c>
      <c r="AD327" s="102" t="str">
        <f t="shared" si="135"/>
        <v>Medio</v>
      </c>
      <c r="AE327" s="103">
        <f t="shared" si="136"/>
        <v>-0.89819551411482479</v>
      </c>
      <c r="AF327" s="102" t="str">
        <f t="shared" si="137"/>
        <v xml:space="preserve">  aprovecha antes de que se acabe  oferta flash  productos top </v>
      </c>
      <c r="AG327" s="102" t="str">
        <f t="shared" si="138"/>
        <v xml:space="preserve"> grandes descuentos por tiempo limitado   no te lo pierdas  </v>
      </c>
      <c r="AH327" s="102" t="str">
        <f>IF(SUMPRODUCT(--(LEFT(IF(LEFT(LOWER(E327),1)="¡",MID(LOWER(E327),2,300),LOWER(E327)),LEN({"actualizaci","el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327" s="102" t="str">
        <f>IF(OR(SUMPRODUCT(--ISNUMBER(SEARCH({"descuento","oferta","ahorr","precio"," sale ","flash","deals"},AF327)))&gt;0,SUMPRODUCT(--ISNUMBER(SEARCH({"descuento","oferta","ahorr","precio"," sale ","flash","deals"},AG327)))&gt;0),"Sí","No")</f>
        <v>Sí</v>
      </c>
      <c r="AJ327" s="102" t="str">
        <f>IF(SUMPRODUCT(--ISNUMBER(SEARCH({" hoy ","horas","tiempo limitado","antes de que","se acab","se agot","finalic","última oportunidad","oportunidad única","relámpago","express","no esperes","no volver","no parpadees"},AF327)))&gt;0,"Sí","No")</f>
        <v>Sí</v>
      </c>
      <c r="AK327" s="102" t="str">
        <f>IF(SUMPRODUCT(--ISNUMBER(SEARCH({" hoy ","horas","tiempo limitado","antes de que","se acab","se agot","finalic","última oportunidad","oportunidad única","relámpago","express","no esperes","no volver","no parpadees"},AG327)))&gt;0,"Sí","No")</f>
        <v>Sí</v>
      </c>
      <c r="AL327" s="102" t="str">
        <f t="shared" si="139"/>
        <v>Descuento con tiempo límite en el asunto</v>
      </c>
      <c r="AM327" s="102" t="str">
        <f>IF(SUMPRODUCT(--ISNUMBER(SEARCH({"0","1","2","3","4","5","6","7","8","9","favorit","maquillaje","piel","cabello","productos","belleza","regalo"},E327)))&gt;0,"Sí","No")</f>
        <v>Sí</v>
      </c>
      <c r="AN327" s="102" t="str">
        <f>IF(SUMPRODUCT(--ISNUMBER(SEARCH({"lo que tenemos","estas ofertas","algo especial","ofertas únicas","que preparamos","no te quedes","echa un vistazo"},F327)))&gt;0,"Sí","No")</f>
        <v>No</v>
      </c>
      <c r="AO327" s="102">
        <f t="shared" si="140"/>
        <v>61</v>
      </c>
      <c r="AP327" s="102">
        <f t="shared" si="141"/>
        <v>10</v>
      </c>
      <c r="AQ327" s="102">
        <f>SUMPRODUCT(LEN(E327)-LEN(SUBSTITUTE(E327,{"!","¡","?","¿",":",",",".","%","·","-",";"},"")))</f>
        <v>3</v>
      </c>
      <c r="AR327" s="102" t="str">
        <f t="shared" si="142"/>
        <v>No</v>
      </c>
      <c r="AS327" s="102" t="str">
        <f t="shared" si="143"/>
        <v>No</v>
      </c>
      <c r="AT327" s="102" t="str">
        <f>IF(SUMPRODUCT(--ISNUMBER(FIND({"0","1","2","3","4","5","6","7","8","9"},E327)))&gt;0,"Con cifra concreta",IF(OR(ISNUMBER(FIND("?",E327)),ISNUMBER(FIND("¿",E327))),"Pregunta abierta",IF(SUMPRODUCT(--ISNUMBER(SEARCH({" hoy ","horas","tiempo limitado","antes de que","se acab","se agot","finalic","última oportunidad","oportunidad única","relámpago","express","no esperes","no volver","no parpadees"," ya ","últimas horas","últimas unidades"," ahora "},AF327)))&gt;0,"Solo urgencia, sin cifra",IF(SUMPRODUCT(--ISNUMBER(SEARCH({"recompensa","sorpresa","regalo","lealtad","detalle","gracias","pensamos en ti","para ti"},E327)))&gt;0,"Recompensa o sorpresa","Otro: beneficio o novedad"))))</f>
        <v>Solo urgencia, sin cifra</v>
      </c>
    </row>
    <row r="328" spans="1:46" x14ac:dyDescent="0.2">
      <c r="A328" s="104" t="s">
        <v>1199</v>
      </c>
      <c r="B328" s="104" t="s">
        <v>275</v>
      </c>
      <c r="C328" s="104" t="s">
        <v>773</v>
      </c>
      <c r="D328" s="104" t="s">
        <v>707</v>
      </c>
      <c r="E328" s="104" t="s">
        <v>486</v>
      </c>
      <c r="F328" s="104" t="s">
        <v>487</v>
      </c>
      <c r="G328" s="105">
        <v>269760</v>
      </c>
      <c r="H328" s="105">
        <v>26359</v>
      </c>
      <c r="I328" s="105">
        <v>19504</v>
      </c>
      <c r="J328" s="106">
        <v>3.46</v>
      </c>
      <c r="K328" s="106">
        <v>2.04</v>
      </c>
      <c r="L328" s="107">
        <v>51885.13</v>
      </c>
      <c r="M328" s="108">
        <f t="shared" si="120"/>
        <v>9.7712781731909857</v>
      </c>
      <c r="N328" s="108">
        <f t="shared" si="121"/>
        <v>7.2301304863582434</v>
      </c>
      <c r="O328" s="108">
        <f t="shared" si="122"/>
        <v>73.993702340756471</v>
      </c>
      <c r="P328" s="108">
        <f t="shared" si="123"/>
        <v>192.33811536180306</v>
      </c>
      <c r="Q328" s="108">
        <f t="shared" si="124"/>
        <v>10.717211021745861</v>
      </c>
      <c r="R328" s="108">
        <f t="shared" si="125"/>
        <v>27.021447627328243</v>
      </c>
      <c r="S328" s="101">
        <f t="shared" si="126"/>
        <v>45909</v>
      </c>
      <c r="T328" s="102" t="str">
        <f t="shared" si="127"/>
        <v>Septiembre</v>
      </c>
      <c r="U328" s="102" t="str">
        <f t="shared" si="128"/>
        <v>Martes</v>
      </c>
      <c r="V328" s="102">
        <f t="shared" si="129"/>
        <v>13</v>
      </c>
      <c r="W328" s="102" t="str">
        <f t="shared" si="130"/>
        <v>Resto del mes</v>
      </c>
      <c r="X328" s="102">
        <f t="shared" si="131"/>
        <v>28</v>
      </c>
      <c r="Y328" s="102" t="str">
        <f t="shared" si="132"/>
        <v>Sí</v>
      </c>
      <c r="Z328" s="102" t="str">
        <f>CHOOSE(MATCH(B328,{"Customer Appreciation","Exclusive Offers","Flash Sale","Holiday Discounts","New Product Launch","Newsletter"},0),"Fidelizar","Vender","Vender","Vender","Lanzar","Educar")</f>
        <v>Vender</v>
      </c>
      <c r="AA328" s="102" t="str">
        <f t="shared" si="133"/>
        <v>200 a 300 mil</v>
      </c>
      <c r="AB328" s="102">
        <f>COUNTIFS($E$5:$E$493,E328,$S$5:$S$493,"&lt;"&amp;S328)+COUNTIFS($E$5:E328,E328,$S$5:S328,S328)</f>
        <v>3</v>
      </c>
      <c r="AC328" s="102">
        <f t="shared" si="134"/>
        <v>8</v>
      </c>
      <c r="AD328" s="102" t="str">
        <f t="shared" si="135"/>
        <v>Medio</v>
      </c>
      <c r="AE328" s="103">
        <f t="shared" si="136"/>
        <v>-0.94593284855487525</v>
      </c>
      <c r="AF328" s="102" t="str">
        <f t="shared" si="137"/>
        <v xml:space="preserve">  oportunidades de ahorro  descúbrelas  solo para ti </v>
      </c>
      <c r="AG328" s="102" t="str">
        <f t="shared" si="138"/>
        <v xml:space="preserve"> no te pierdas estas ofertas únicas que tenemos para ti   entra ya  </v>
      </c>
      <c r="AH328" s="102" t="str">
        <f>IF(SUMPRODUCT(--(LEFT(IF(LEFT(LOWER(E328),1)="¡",MID(LOWER(E328),2,300),LOWER(E328)),LEN({"actualizaci","el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Sí</v>
      </c>
      <c r="AI328" s="102" t="str">
        <f>IF(OR(SUMPRODUCT(--ISNUMBER(SEARCH({"descuento","oferta","ahorr","precio"," sale ","flash","deals"},AF328)))&gt;0,SUMPRODUCT(--ISNUMBER(SEARCH({"descuento","oferta","ahorr","precio"," sale ","flash","deals"},AG328)))&gt;0),"Sí","No")</f>
        <v>Sí</v>
      </c>
      <c r="AJ328" s="102" t="str">
        <f>IF(SUMPRODUCT(--ISNUMBER(SEARCH({" hoy ","horas","tiempo limitado","antes de que","se acab","se agot","finalic","última oportunidad","oportunidad única","relámpago","express","no esperes","no volver","no parpadees"},AF328)))&gt;0,"Sí","No")</f>
        <v>No</v>
      </c>
      <c r="AK328" s="102" t="str">
        <f>IF(SUMPRODUCT(--ISNUMBER(SEARCH({" hoy ","horas","tiempo limitado","antes de que","se acab","se agot","finalic","última oportunidad","oportunidad única","relámpago","express","no esperes","no volver","no parpadees"},AG328)))&gt;0,"Sí","No")</f>
        <v>No</v>
      </c>
      <c r="AL328" s="102" t="str">
        <f t="shared" si="139"/>
        <v>Descuento sin tiempo límite</v>
      </c>
      <c r="AM328" s="102" t="str">
        <f>IF(SUMPRODUCT(--ISNUMBER(SEARCH({"0","1","2","3","4","5","6","7","8","9","favorit","maquillaje","piel","cabello","productos","belleza","regalo"},E328)))&gt;0,"Sí","No")</f>
        <v>No</v>
      </c>
      <c r="AN328" s="102" t="str">
        <f>IF(SUMPRODUCT(--ISNUMBER(SEARCH({"lo que tenemos","estas ofertas","algo especial","ofertas únicas","que preparamos","no te quedes","echa un vistazo"},F328)))&gt;0,"Sí","No")</f>
        <v>Sí</v>
      </c>
      <c r="AO328" s="102">
        <f t="shared" si="140"/>
        <v>51</v>
      </c>
      <c r="AP328" s="102">
        <f t="shared" si="141"/>
        <v>7</v>
      </c>
      <c r="AQ328" s="102">
        <f>SUMPRODUCT(LEN(E328)-LEN(SUBSTITUTE(E328,{"!","¡","?","¿",":",",",".","%","·","-",";"},"")))</f>
        <v>3</v>
      </c>
      <c r="AR328" s="102" t="str">
        <f t="shared" si="142"/>
        <v>Sí</v>
      </c>
      <c r="AS328" s="102" t="str">
        <f t="shared" si="143"/>
        <v>No</v>
      </c>
      <c r="AT328" s="102" t="str">
        <f>IF(SUMPRODUCT(--ISNUMBER(FIND({"0","1","2","3","4","5","6","7","8","9"},E328)))&gt;0,"Con cifra concreta",IF(OR(ISNUMBER(FIND("?",E328)),ISNUMBER(FIND("¿",E328))),"Pregunta abierta",IF(SUMPRODUCT(--ISNUMBER(SEARCH({" hoy ","horas","tiempo limitado","antes de que","se acab","se agot","finalic","última oportunidad","oportunidad única","relámpago","express","no esperes","no volver","no parpadees"," ya ","últimas horas","últimas unidades"," ahora "},AF328)))&gt;0,"Solo urgencia, sin cifra",IF(SUMPRODUCT(--ISNUMBER(SEARCH({"recompensa","sorpresa","regalo","lealtad","detalle","gracias","pensamos en ti","para ti"},E328)))&gt;0,"Recompensa o sorpresa","Otro: beneficio o novedad"))))</f>
        <v>Recompensa o sorpresa</v>
      </c>
    </row>
    <row r="329" spans="1:46" x14ac:dyDescent="0.2">
      <c r="A329" s="96" t="s">
        <v>1200</v>
      </c>
      <c r="B329" s="96" t="s">
        <v>275</v>
      </c>
      <c r="C329" s="96" t="s">
        <v>980</v>
      </c>
      <c r="D329" s="96" t="s">
        <v>824</v>
      </c>
      <c r="E329" s="96" t="s">
        <v>882</v>
      </c>
      <c r="F329" s="96" t="s">
        <v>883</v>
      </c>
      <c r="G329" s="97">
        <v>183297</v>
      </c>
      <c r="H329" s="97">
        <v>25501</v>
      </c>
      <c r="I329" s="97">
        <v>25141</v>
      </c>
      <c r="J329" s="98">
        <v>9.48</v>
      </c>
      <c r="K329" s="98">
        <v>1.77</v>
      </c>
      <c r="L329" s="99">
        <v>5211.03</v>
      </c>
      <c r="M329" s="100">
        <f t="shared" si="120"/>
        <v>13.912393547084786</v>
      </c>
      <c r="N329" s="100">
        <f t="shared" si="121"/>
        <v>13.715990987304757</v>
      </c>
      <c r="O329" s="100">
        <f t="shared" si="122"/>
        <v>98.588290655268423</v>
      </c>
      <c r="P329" s="100">
        <f t="shared" si="123"/>
        <v>28.429434196959033</v>
      </c>
      <c r="Q329" s="100">
        <f t="shared" si="124"/>
        <v>19.375383213349011</v>
      </c>
      <c r="R329" s="100">
        <f t="shared" si="125"/>
        <v>27.021447627328243</v>
      </c>
      <c r="S329" s="101">
        <f t="shared" si="126"/>
        <v>45875</v>
      </c>
      <c r="T329" s="102" t="str">
        <f t="shared" si="127"/>
        <v>Agosto</v>
      </c>
      <c r="U329" s="102" t="str">
        <f t="shared" si="128"/>
        <v>Miércoles</v>
      </c>
      <c r="V329" s="102">
        <f t="shared" si="129"/>
        <v>10</v>
      </c>
      <c r="W329" s="102" t="str">
        <f t="shared" si="130"/>
        <v>Resto del mes</v>
      </c>
      <c r="X329" s="102">
        <f t="shared" si="131"/>
        <v>28</v>
      </c>
      <c r="Y329" s="102" t="str">
        <f t="shared" si="132"/>
        <v>Sí</v>
      </c>
      <c r="Z329" s="102" t="str">
        <f>CHOOSE(MATCH(B329,{"Customer Appreciation","Exclusive Offers","Flash Sale","Holiday Discounts","New Product Launch","Newsletter"},0),"Fidelizar","Vender","Vender","Vender","Lanzar","Educar")</f>
        <v>Vender</v>
      </c>
      <c r="AA329" s="102" t="str">
        <f t="shared" si="133"/>
        <v>100 a 200 mil</v>
      </c>
      <c r="AB329" s="102">
        <f>COUNTIFS($E$5:$E$493,E329,$S$5:$S$493,"&lt;"&amp;S329)+COUNTIFS($E$5:E329,E329,$S$5:S329,S329)</f>
        <v>2</v>
      </c>
      <c r="AC329" s="102">
        <f t="shared" si="134"/>
        <v>5</v>
      </c>
      <c r="AD329" s="102" t="str">
        <f t="shared" si="135"/>
        <v/>
      </c>
      <c r="AE329" s="103">
        <f t="shared" si="136"/>
        <v>-5.4629896662642246</v>
      </c>
      <c r="AF329" s="102" t="str">
        <f t="shared" si="137"/>
        <v xml:space="preserve">  descuentos que no querrás perderte  l'oréal para ti </v>
      </c>
      <c r="AG329" s="102" t="str">
        <f t="shared" si="138"/>
        <v xml:space="preserve"> solo para nuestra comunidad más fiel   acceso limitado  </v>
      </c>
      <c r="AH329" s="102" t="str">
        <f>IF(SUMPRODUCT(--(LEFT(IF(LEFT(LOWER(E329),1)="¡",MID(LOWER(E329),2,300),LOWER(E329)),LEN({"actualizaci","el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Sí</v>
      </c>
      <c r="AI329" s="102" t="str">
        <f>IF(OR(SUMPRODUCT(--ISNUMBER(SEARCH({"descuento","oferta","ahorr","precio"," sale ","flash","deals"},AF329)))&gt;0,SUMPRODUCT(--ISNUMBER(SEARCH({"descuento","oferta","ahorr","precio"," sale ","flash","deals"},AG329)))&gt;0),"Sí","No")</f>
        <v>Sí</v>
      </c>
      <c r="AJ329" s="102" t="str">
        <f>IF(SUMPRODUCT(--ISNUMBER(SEARCH({" hoy ","horas","tiempo limitado","antes de que","se acab","se agot","finalic","última oportunidad","oportunidad única","relámpago","express","no esperes","no volver","no parpadees"},AF329)))&gt;0,"Sí","No")</f>
        <v>No</v>
      </c>
      <c r="AK329" s="102" t="str">
        <f>IF(SUMPRODUCT(--ISNUMBER(SEARCH({" hoy ","horas","tiempo limitado","antes de que","se acab","se agot","finalic","última oportunidad","oportunidad única","relámpago","express","no esperes","no volver","no parpadees"},AG329)))&gt;0,"Sí","No")</f>
        <v>No</v>
      </c>
      <c r="AL329" s="102" t="str">
        <f t="shared" si="139"/>
        <v>Descuento sin tiempo límite</v>
      </c>
      <c r="AM329" s="102" t="str">
        <f>IF(SUMPRODUCT(--ISNUMBER(SEARCH({"0","1","2","3","4","5","6","7","8","9","favorit","maquillaje","piel","cabello","productos","belleza","regalo"},E329)))&gt;0,"Sí","No")</f>
        <v>No</v>
      </c>
      <c r="AN329" s="102" t="str">
        <f>IF(SUMPRODUCT(--ISNUMBER(SEARCH({"lo que tenemos","estas ofertas","algo especial","ofertas únicas","que preparamos","no te quedes","echa un vistazo"},F329)))&gt;0,"Sí","No")</f>
        <v>No</v>
      </c>
      <c r="AO329" s="102">
        <f t="shared" si="140"/>
        <v>52</v>
      </c>
      <c r="AP329" s="102">
        <f t="shared" si="141"/>
        <v>8</v>
      </c>
      <c r="AQ329" s="102">
        <f>SUMPRODUCT(LEN(E329)-LEN(SUBSTITUTE(E329,{"!","¡","?","¿",":",",",".","%","·","-",";"},"")))</f>
        <v>2</v>
      </c>
      <c r="AR329" s="102" t="str">
        <f t="shared" si="142"/>
        <v>Sí</v>
      </c>
      <c r="AS329" s="102" t="str">
        <f t="shared" si="143"/>
        <v>No</v>
      </c>
      <c r="AT329" s="102" t="str">
        <f>IF(SUMPRODUCT(--ISNUMBER(FIND({"0","1","2","3","4","5","6","7","8","9"},E329)))&gt;0,"Con cifra concreta",IF(OR(ISNUMBER(FIND("?",E329)),ISNUMBER(FIND("¿",E329))),"Pregunta abierta",IF(SUMPRODUCT(--ISNUMBER(SEARCH({" hoy ","horas","tiempo limitado","antes de que","se acab","se agot","finalic","última oportunidad","oportunidad única","relámpago","express","no esperes","no volver","no parpadees"," ya ","últimas horas","últimas unidades"," ahora "},AF329)))&gt;0,"Solo urgencia, sin cifra",IF(SUMPRODUCT(--ISNUMBER(SEARCH({"recompensa","sorpresa","regalo","lealtad","detalle","gracias","pensamos en ti","para ti"},E329)))&gt;0,"Recompensa o sorpresa","Otro: beneficio o novedad"))))</f>
        <v>Recompensa o sorpresa</v>
      </c>
    </row>
    <row r="330" spans="1:46" x14ac:dyDescent="0.2">
      <c r="A330" s="104" t="s">
        <v>1201</v>
      </c>
      <c r="B330" s="104" t="s">
        <v>279</v>
      </c>
      <c r="C330" s="104" t="s">
        <v>815</v>
      </c>
      <c r="D330" s="104" t="s">
        <v>764</v>
      </c>
      <c r="E330" s="104" t="s">
        <v>472</v>
      </c>
      <c r="F330" s="104" t="s">
        <v>473</v>
      </c>
      <c r="G330" s="105">
        <v>283619</v>
      </c>
      <c r="H330" s="105">
        <v>65232</v>
      </c>
      <c r="I330" s="105">
        <v>48074</v>
      </c>
      <c r="J330" s="106">
        <v>5.77</v>
      </c>
      <c r="K330" s="106">
        <v>2.5</v>
      </c>
      <c r="L330" s="107">
        <v>3767.88</v>
      </c>
      <c r="M330" s="108">
        <f t="shared" si="120"/>
        <v>22.999869543295759</v>
      </c>
      <c r="N330" s="108">
        <f t="shared" si="121"/>
        <v>16.950204323405696</v>
      </c>
      <c r="O330" s="108">
        <f t="shared" si="122"/>
        <v>73.696958547951937</v>
      </c>
      <c r="P330" s="108">
        <f t="shared" si="123"/>
        <v>13.285005588483141</v>
      </c>
      <c r="Q330" s="108">
        <f t="shared" si="124"/>
        <v>22.891293825435607</v>
      </c>
      <c r="R330" s="108">
        <f t="shared" si="125"/>
        <v>27.75136451093497</v>
      </c>
      <c r="S330" s="101">
        <f t="shared" si="126"/>
        <v>45959</v>
      </c>
      <c r="T330" s="102" t="str">
        <f t="shared" si="127"/>
        <v>Octubre</v>
      </c>
      <c r="U330" s="102" t="str">
        <f t="shared" si="128"/>
        <v>Miércoles</v>
      </c>
      <c r="V330" s="102">
        <f t="shared" si="129"/>
        <v>15</v>
      </c>
      <c r="W330" s="102" t="str">
        <f t="shared" si="130"/>
        <v>Resto del mes</v>
      </c>
      <c r="X330" s="102">
        <f t="shared" si="131"/>
        <v>27</v>
      </c>
      <c r="Y330" s="102" t="str">
        <f t="shared" si="132"/>
        <v>Sí</v>
      </c>
      <c r="Z330" s="102" t="str">
        <f>CHOOSE(MATCH(B330,{"Customer Appreciation","Exclusive Offers","Flash Sale","Holiday Discounts","New Product Launch","Newsletter"},0),"Fidelizar","Vender","Vender","Vender","Lanzar","Educar")</f>
        <v>Educar</v>
      </c>
      <c r="AA330" s="102" t="str">
        <f t="shared" si="133"/>
        <v>200 a 300 mil</v>
      </c>
      <c r="AB330" s="102">
        <f>COUNTIFS($E$5:$E$493,E330,$S$5:$S$493,"&lt;"&amp;S330)+COUNTIFS($E$5:E330,E330,$S$5:S330,S330)</f>
        <v>22</v>
      </c>
      <c r="AC330" s="102">
        <f t="shared" si="134"/>
        <v>22</v>
      </c>
      <c r="AD330" s="102" t="str">
        <f t="shared" si="135"/>
        <v>Último tercio</v>
      </c>
      <c r="AE330" s="103">
        <f t="shared" si="136"/>
        <v>0.10857571786015185</v>
      </c>
      <c r="AF330" s="102" t="str">
        <f t="shared" si="137"/>
        <v xml:space="preserve"> tu dosis semanal de belleza  novedades y tips </v>
      </c>
      <c r="AG330" s="102" t="str">
        <f t="shared" si="138"/>
        <v xml:space="preserve"> novedades  tips y más para tu rutina diaria   entra ya  </v>
      </c>
      <c r="AH330" s="102" t="str">
        <f>IF(SUMPRODUCT(--(LEFT(IF(LEFT(LOWER(E330),1)="¡",MID(LOWER(E330),2,300),LOWER(E330)),LEN({"actualizaci","el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330" s="102" t="str">
        <f>IF(OR(SUMPRODUCT(--ISNUMBER(SEARCH({"descuento","oferta","ahorr","precio"," sale ","flash","deals"},AF330)))&gt;0,SUMPRODUCT(--ISNUMBER(SEARCH({"descuento","oferta","ahorr","precio"," sale ","flash","deals"},AG330)))&gt;0),"Sí","No")</f>
        <v>No</v>
      </c>
      <c r="AJ330" s="102" t="str">
        <f>IF(SUMPRODUCT(--ISNUMBER(SEARCH({" hoy ","horas","tiempo limitado","antes de que","se acab","se agot","finalic","última oportunidad","oportunidad única","relámpago","express","no esperes","no volver","no parpadees"},AF330)))&gt;0,"Sí","No")</f>
        <v>No</v>
      </c>
      <c r="AK330" s="102" t="str">
        <f>IF(SUMPRODUCT(--ISNUMBER(SEARCH({" hoy ","horas","tiempo limitado","antes de que","se acab","se agot","finalic","última oportunidad","oportunidad única","relámpago","express","no esperes","no volver","no parpadees"},AG330)))&gt;0,"Sí","No")</f>
        <v>No</v>
      </c>
      <c r="AL330" s="102" t="str">
        <f t="shared" si="139"/>
        <v>Sin descuento</v>
      </c>
      <c r="AM330" s="102" t="str">
        <f>IF(SUMPRODUCT(--ISNUMBER(SEARCH({"0","1","2","3","4","5","6","7","8","9","favorit","maquillaje","piel","cabello","productos","belleza","regalo"},E330)))&gt;0,"Sí","No")</f>
        <v>Sí</v>
      </c>
      <c r="AN330" s="102" t="str">
        <f>IF(SUMPRODUCT(--ISNUMBER(SEARCH({"lo que tenemos","estas ofertas","algo especial","ofertas únicas","que preparamos","no te quedes","echa un vistazo"},F330)))&gt;0,"Sí","No")</f>
        <v>No</v>
      </c>
      <c r="AO330" s="102">
        <f t="shared" si="140"/>
        <v>45</v>
      </c>
      <c r="AP330" s="102">
        <f t="shared" si="141"/>
        <v>8</v>
      </c>
      <c r="AQ330" s="102">
        <f>SUMPRODUCT(LEN(E330)-LEN(SUBSTITUTE(E330,{"!","¡","?","¿",":",",",".","%","·","-",";"},"")))</f>
        <v>1</v>
      </c>
      <c r="AR330" s="102" t="str">
        <f t="shared" si="142"/>
        <v>Sí</v>
      </c>
      <c r="AS330" s="102" t="str">
        <f t="shared" si="143"/>
        <v>No</v>
      </c>
      <c r="AT330" s="102" t="str">
        <f>IF(SUMPRODUCT(--ISNUMBER(FIND({"0","1","2","3","4","5","6","7","8","9"},E330)))&gt;0,"Con cifra concreta",IF(OR(ISNUMBER(FIND("?",E330)),ISNUMBER(FIND("¿",E330))),"Pregunta abierta",IF(SUMPRODUCT(--ISNUMBER(SEARCH({" hoy ","horas","tiempo limitado","antes de que","se acab","se agot","finalic","última oportunidad","oportunidad única","relámpago","express","no esperes","no volver","no parpadees"," ya ","últimas horas","últimas unidades"," ahora "},AF330)))&gt;0,"Solo urgencia, sin cifra",IF(SUMPRODUCT(--ISNUMBER(SEARCH({"recompensa","sorpresa","regalo","lealtad","detalle","gracias","pensamos en ti","para ti"},E330)))&gt;0,"Recompensa o sorpresa","Otro: beneficio o novedad"))))</f>
        <v>Otro: beneficio o novedad</v>
      </c>
    </row>
    <row r="331" spans="1:46" x14ac:dyDescent="0.2">
      <c r="A331" s="96" t="s">
        <v>1202</v>
      </c>
      <c r="B331" s="96" t="s">
        <v>278</v>
      </c>
      <c r="C331" s="96" t="s">
        <v>869</v>
      </c>
      <c r="D331" s="96" t="s">
        <v>821</v>
      </c>
      <c r="E331" s="96" t="s">
        <v>367</v>
      </c>
      <c r="F331" s="96" t="s">
        <v>458</v>
      </c>
      <c r="G331" s="97">
        <v>432369</v>
      </c>
      <c r="H331" s="97">
        <v>80509</v>
      </c>
      <c r="I331" s="97">
        <v>60573</v>
      </c>
      <c r="J331" s="98">
        <v>5.91</v>
      </c>
      <c r="K331" s="98">
        <v>0.94</v>
      </c>
      <c r="L331" s="99">
        <v>73951.06</v>
      </c>
      <c r="M331" s="100">
        <f t="shared" si="120"/>
        <v>18.620437635445651</v>
      </c>
      <c r="N331" s="100">
        <f t="shared" si="121"/>
        <v>14.009561277519897</v>
      </c>
      <c r="O331" s="100">
        <f t="shared" si="122"/>
        <v>75.237551081245584</v>
      </c>
      <c r="P331" s="100">
        <f t="shared" si="123"/>
        <v>171.03691522750242</v>
      </c>
      <c r="Q331" s="100">
        <f t="shared" si="124"/>
        <v>36.132518317209367</v>
      </c>
      <c r="R331" s="100">
        <f t="shared" si="125"/>
        <v>29.458247936272421</v>
      </c>
      <c r="S331" s="101">
        <f t="shared" si="126"/>
        <v>45917</v>
      </c>
      <c r="T331" s="102" t="str">
        <f t="shared" si="127"/>
        <v>Septiembre</v>
      </c>
      <c r="U331" s="102" t="str">
        <f t="shared" si="128"/>
        <v>Miércoles</v>
      </c>
      <c r="V331" s="102">
        <f t="shared" si="129"/>
        <v>8</v>
      </c>
      <c r="W331" s="102" t="str">
        <f t="shared" si="130"/>
        <v>Días después del pago</v>
      </c>
      <c r="X331" s="102">
        <f t="shared" si="131"/>
        <v>26</v>
      </c>
      <c r="Y331" s="102" t="str">
        <f t="shared" si="132"/>
        <v>Sí</v>
      </c>
      <c r="Z331" s="102" t="str">
        <f>CHOOSE(MATCH(B331,{"Customer Appreciation","Exclusive Offers","Flash Sale","Holiday Discounts","New Product Launch","Newsletter"},0),"Fidelizar","Vender","Vender","Vender","Lanzar","Educar")</f>
        <v>Lanzar</v>
      </c>
      <c r="AA331" s="102" t="str">
        <f t="shared" si="133"/>
        <v>Más de 400 mil</v>
      </c>
      <c r="AB331" s="102">
        <f>COUNTIFS($E$5:$E$493,E331,$S$5:$S$493,"&lt;"&amp;S331)+COUNTIFS($E$5:E331,E331,$S$5:S331,S331)</f>
        <v>10</v>
      </c>
      <c r="AC331" s="102">
        <f t="shared" si="134"/>
        <v>25</v>
      </c>
      <c r="AD331" s="102" t="str">
        <f t="shared" si="135"/>
        <v>Medio</v>
      </c>
      <c r="AE331" s="103">
        <f t="shared" si="136"/>
        <v>-17.512080681763717</v>
      </c>
      <c r="AF331" s="102" t="str">
        <f t="shared" si="137"/>
        <v xml:space="preserve">  el futuro de tu piel ha llegado  nuevo producto revolucionario </v>
      </c>
      <c r="AG331" s="102" t="str">
        <f t="shared" si="138"/>
        <v xml:space="preserve"> una fórmula revolucionaria para resultados visibles   compruébalo  </v>
      </c>
      <c r="AH331" s="102" t="str">
        <f>IF(SUMPRODUCT(--(LEFT(IF(LEFT(LOWER(E331),1)="¡",MID(LOWER(E331),2,300),LOWER(E331)),LEN({"actualizaci","el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331" s="102" t="str">
        <f>IF(OR(SUMPRODUCT(--ISNUMBER(SEARCH({"descuento","oferta","ahorr","precio"," sale ","flash","deals"},AF331)))&gt;0,SUMPRODUCT(--ISNUMBER(SEARCH({"descuento","oferta","ahorr","precio"," sale ","flash","deals"},AG331)))&gt;0),"Sí","No")</f>
        <v>No</v>
      </c>
      <c r="AJ331" s="102" t="str">
        <f>IF(SUMPRODUCT(--ISNUMBER(SEARCH({" hoy ","horas","tiempo limitado","antes de que","se acab","se agot","finalic","última oportunidad","oportunidad única","relámpago","express","no esperes","no volver","no parpadees"},AF331)))&gt;0,"Sí","No")</f>
        <v>No</v>
      </c>
      <c r="AK331" s="102" t="str">
        <f>IF(SUMPRODUCT(--ISNUMBER(SEARCH({" hoy ","horas","tiempo limitado","antes de que","se acab","se agot","finalic","última oportunidad","oportunidad única","relámpago","express","no esperes","no volver","no parpadees"},AG331)))&gt;0,"Sí","No")</f>
        <v>No</v>
      </c>
      <c r="AL331" s="102" t="str">
        <f t="shared" si="139"/>
        <v>Sin descuento</v>
      </c>
      <c r="AM331" s="102" t="str">
        <f>IF(SUMPRODUCT(--ISNUMBER(SEARCH({"0","1","2","3","4","5","6","7","8","9","favorit","maquillaje","piel","cabello","productos","belleza","regalo"},E331)))&gt;0,"Sí","No")</f>
        <v>Sí</v>
      </c>
      <c r="AN331" s="102" t="str">
        <f>IF(SUMPRODUCT(--ISNUMBER(SEARCH({"lo que tenemos","estas ofertas","algo especial","ofertas únicas","que preparamos","no te quedes","echa un vistazo"},F331)))&gt;0,"Sí","No")</f>
        <v>No</v>
      </c>
      <c r="AO331" s="102">
        <f t="shared" si="140"/>
        <v>63</v>
      </c>
      <c r="AP331" s="102">
        <f t="shared" si="141"/>
        <v>10</v>
      </c>
      <c r="AQ331" s="102">
        <f>SUMPRODUCT(LEN(E331)-LEN(SUBSTITUTE(E331,{"!","¡","?","¿",":",",",".","%","·","-",";"},"")))</f>
        <v>2</v>
      </c>
      <c r="AR331" s="102" t="str">
        <f t="shared" si="142"/>
        <v>No</v>
      </c>
      <c r="AS331" s="102" t="str">
        <f t="shared" si="143"/>
        <v>No</v>
      </c>
      <c r="AT331" s="102" t="str">
        <f>IF(SUMPRODUCT(--ISNUMBER(FIND({"0","1","2","3","4","5","6","7","8","9"},E331)))&gt;0,"Con cifra concreta",IF(OR(ISNUMBER(FIND("?",E331)),ISNUMBER(FIND("¿",E331))),"Pregunta abierta",IF(SUMPRODUCT(--ISNUMBER(SEARCH({" hoy ","horas","tiempo limitado","antes de que","se acab","se agot","finalic","última oportunidad","oportunidad única","relámpago","express","no esperes","no volver","no parpadees"," ya ","últimas horas","últimas unidades"," ahora "},AF331)))&gt;0,"Solo urgencia, sin cifra",IF(SUMPRODUCT(--ISNUMBER(SEARCH({"recompensa","sorpresa","regalo","lealtad","detalle","gracias","pensamos en ti","para ti"},E331)))&gt;0,"Recompensa o sorpresa","Otro: beneficio o novedad"))))</f>
        <v>Otro: beneficio o novedad</v>
      </c>
    </row>
    <row r="332" spans="1:46" x14ac:dyDescent="0.2">
      <c r="A332" s="104" t="s">
        <v>1203</v>
      </c>
      <c r="B332" s="104" t="s">
        <v>274</v>
      </c>
      <c r="C332" s="104" t="s">
        <v>928</v>
      </c>
      <c r="D332" s="104" t="s">
        <v>715</v>
      </c>
      <c r="E332" s="104" t="s">
        <v>372</v>
      </c>
      <c r="F332" s="104" t="s">
        <v>480</v>
      </c>
      <c r="G332" s="105">
        <v>328082</v>
      </c>
      <c r="H332" s="105">
        <v>35467</v>
      </c>
      <c r="I332" s="105">
        <v>5840</v>
      </c>
      <c r="J332" s="106">
        <v>7.47</v>
      </c>
      <c r="K332" s="106">
        <v>0.71</v>
      </c>
      <c r="L332" s="107">
        <v>39319.42</v>
      </c>
      <c r="M332" s="108">
        <f t="shared" si="120"/>
        <v>10.810407154308983</v>
      </c>
      <c r="N332" s="108">
        <f t="shared" si="121"/>
        <v>1.7800427941795038</v>
      </c>
      <c r="O332" s="108">
        <f t="shared" si="122"/>
        <v>16.46601065779457</v>
      </c>
      <c r="P332" s="108">
        <f t="shared" si="123"/>
        <v>119.84631890807786</v>
      </c>
      <c r="Q332" s="108">
        <f t="shared" si="124"/>
        <v>20.724631699294946</v>
      </c>
      <c r="R332" s="108">
        <f t="shared" si="125"/>
        <v>31.113650744455075</v>
      </c>
      <c r="S332" s="101">
        <f t="shared" si="126"/>
        <v>45883</v>
      </c>
      <c r="T332" s="102" t="str">
        <f t="shared" si="127"/>
        <v>Agosto</v>
      </c>
      <c r="U332" s="102" t="str">
        <f t="shared" si="128"/>
        <v>Jueves</v>
      </c>
      <c r="V332" s="102">
        <f t="shared" si="129"/>
        <v>11</v>
      </c>
      <c r="W332" s="102" t="str">
        <f t="shared" si="130"/>
        <v>Quincena</v>
      </c>
      <c r="X332" s="102">
        <f t="shared" si="131"/>
        <v>23</v>
      </c>
      <c r="Y332" s="102" t="str">
        <f t="shared" si="132"/>
        <v>Sí</v>
      </c>
      <c r="Z332" s="102" t="str">
        <f>CHOOSE(MATCH(B332,{"Customer Appreciation","Exclusive Offers","Flash Sale","Holiday Discounts","New Product Launch","Newsletter"},0),"Fidelizar","Vender","Vender","Vender","Lanzar","Educar")</f>
        <v>Fidelizar</v>
      </c>
      <c r="AA332" s="102" t="str">
        <f t="shared" si="133"/>
        <v>300 a 400 mil</v>
      </c>
      <c r="AB332" s="102">
        <f>COUNTIFS($E$5:$E$493,E332,$S$5:$S$493,"&lt;"&amp;S332)+COUNTIFS($E$5:E332,E332,$S$5:S332,S332)</f>
        <v>4</v>
      </c>
      <c r="AC332" s="102">
        <f t="shared" si="134"/>
        <v>14</v>
      </c>
      <c r="AD332" s="102" t="str">
        <f t="shared" si="135"/>
        <v>Primer tercio</v>
      </c>
      <c r="AE332" s="103">
        <f t="shared" si="136"/>
        <v>-9.914224544985963</v>
      </c>
      <c r="AF332" s="102" t="str">
        <f t="shared" si="137"/>
        <v xml:space="preserve">  un pequeño detalle para agradecerte tu lealtad  l'oréal </v>
      </c>
      <c r="AG332" s="102" t="str">
        <f t="shared" si="138"/>
        <v xml:space="preserve"> echa un vistazo a lo que tenemos para ti   te va a encantar  </v>
      </c>
      <c r="AH332" s="102" t="str">
        <f>IF(SUMPRODUCT(--(LEFT(IF(LEFT(LOWER(E332),1)="¡",MID(LOWER(E332),2,300),LOWER(E332)),LEN({"actualizaci","el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Sí</v>
      </c>
      <c r="AI332" s="102" t="str">
        <f>IF(OR(SUMPRODUCT(--ISNUMBER(SEARCH({"descuento","oferta","ahorr","precio"," sale ","flash","deals"},AF332)))&gt;0,SUMPRODUCT(--ISNUMBER(SEARCH({"descuento","oferta","ahorr","precio"," sale ","flash","deals"},AG332)))&gt;0),"Sí","No")</f>
        <v>No</v>
      </c>
      <c r="AJ332" s="102" t="str">
        <f>IF(SUMPRODUCT(--ISNUMBER(SEARCH({" hoy ","horas","tiempo limitado","antes de que","se acab","se agot","finalic","última oportunidad","oportunidad única","relámpago","express","no esperes","no volver","no parpadees"},AF332)))&gt;0,"Sí","No")</f>
        <v>No</v>
      </c>
      <c r="AK332" s="102" t="str">
        <f>IF(SUMPRODUCT(--ISNUMBER(SEARCH({" hoy ","horas","tiempo limitado","antes de que","se acab","se agot","finalic","última oportunidad","oportunidad única","relámpago","express","no esperes","no volver","no parpadees"},AG332)))&gt;0,"Sí","No")</f>
        <v>No</v>
      </c>
      <c r="AL332" s="102" t="str">
        <f t="shared" si="139"/>
        <v>Sin descuento</v>
      </c>
      <c r="AM332" s="102" t="str">
        <f>IF(SUMPRODUCT(--ISNUMBER(SEARCH({"0","1","2","3","4","5","6","7","8","9","favorit","maquillaje","piel","cabello","productos","belleza","regalo"},E332)))&gt;0,"Sí","No")</f>
        <v>No</v>
      </c>
      <c r="AN332" s="102" t="str">
        <f>IF(SUMPRODUCT(--ISNUMBER(SEARCH({"lo que tenemos","estas ofertas","algo especial","ofertas únicas","que preparamos","no te quedes","echa un vistazo"},F332)))&gt;0,"Sí","No")</f>
        <v>Sí</v>
      </c>
      <c r="AO332" s="102">
        <f t="shared" si="140"/>
        <v>56</v>
      </c>
      <c r="AP332" s="102">
        <f t="shared" si="141"/>
        <v>8</v>
      </c>
      <c r="AQ332" s="102">
        <f>SUMPRODUCT(LEN(E332)-LEN(SUBSTITUTE(E332,{"!","¡","?","¿",":",",",".","%","·","-",";"},"")))</f>
        <v>2</v>
      </c>
      <c r="AR332" s="102" t="str">
        <f t="shared" si="142"/>
        <v>Sí</v>
      </c>
      <c r="AS332" s="102" t="str">
        <f t="shared" si="143"/>
        <v>No</v>
      </c>
      <c r="AT332" s="102" t="str">
        <f>IF(SUMPRODUCT(--ISNUMBER(FIND({"0","1","2","3","4","5","6","7","8","9"},E332)))&gt;0,"Con cifra concreta",IF(OR(ISNUMBER(FIND("?",E332)),ISNUMBER(FIND("¿",E332))),"Pregunta abierta",IF(SUMPRODUCT(--ISNUMBER(SEARCH({" hoy ","horas","tiempo limitado","antes de que","se acab","se agot","finalic","última oportunidad","oportunidad única","relámpago","express","no esperes","no volver","no parpadees"," ya ","últimas horas","últimas unidades"," ahora "},AF332)))&gt;0,"Solo urgencia, sin cifra",IF(SUMPRODUCT(--ISNUMBER(SEARCH({"recompensa","sorpresa","regalo","lealtad","detalle","gracias","pensamos en ti","para ti"},E332)))&gt;0,"Recompensa o sorpresa","Otro: beneficio o novedad"))))</f>
        <v>Recompensa o sorpresa</v>
      </c>
    </row>
    <row r="333" spans="1:46" x14ac:dyDescent="0.2">
      <c r="A333" s="96" t="s">
        <v>1204</v>
      </c>
      <c r="B333" s="96" t="s">
        <v>278</v>
      </c>
      <c r="C333" s="96" t="s">
        <v>944</v>
      </c>
      <c r="D333" s="96" t="s">
        <v>794</v>
      </c>
      <c r="E333" s="96" t="s">
        <v>368</v>
      </c>
      <c r="F333" s="96" t="s">
        <v>471</v>
      </c>
      <c r="G333" s="97">
        <v>145329</v>
      </c>
      <c r="H333" s="97">
        <v>33967</v>
      </c>
      <c r="I333" s="97">
        <v>2180</v>
      </c>
      <c r="J333" s="98">
        <v>9.4700000000000006</v>
      </c>
      <c r="K333" s="98">
        <v>3.76</v>
      </c>
      <c r="L333" s="99">
        <v>65503.1</v>
      </c>
      <c r="M333" s="100">
        <f t="shared" si="120"/>
        <v>23.372485876872474</v>
      </c>
      <c r="N333" s="100">
        <f t="shared" si="121"/>
        <v>1.5000447261042187</v>
      </c>
      <c r="O333" s="100">
        <f t="shared" si="122"/>
        <v>6.4179939352901352</v>
      </c>
      <c r="P333" s="100">
        <f t="shared" si="123"/>
        <v>450.72284265356535</v>
      </c>
      <c r="Q333" s="100">
        <f t="shared" si="124"/>
        <v>23.315840784070005</v>
      </c>
      <c r="R333" s="100">
        <f t="shared" si="125"/>
        <v>29.458247936272421</v>
      </c>
      <c r="S333" s="101">
        <f t="shared" si="126"/>
        <v>45943</v>
      </c>
      <c r="T333" s="102" t="str">
        <f t="shared" si="127"/>
        <v>Octubre</v>
      </c>
      <c r="U333" s="102" t="str">
        <f t="shared" si="128"/>
        <v>Lunes</v>
      </c>
      <c r="V333" s="102">
        <f t="shared" si="129"/>
        <v>12</v>
      </c>
      <c r="W333" s="102" t="str">
        <f t="shared" si="130"/>
        <v>Resto del mes</v>
      </c>
      <c r="X333" s="102">
        <f t="shared" si="131"/>
        <v>23</v>
      </c>
      <c r="Y333" s="102" t="str">
        <f t="shared" si="132"/>
        <v>Sí</v>
      </c>
      <c r="Z333" s="102" t="str">
        <f>CHOOSE(MATCH(B333,{"Customer Appreciation","Exclusive Offers","Flash Sale","Holiday Discounts","New Product Launch","Newsletter"},0),"Fidelizar","Vender","Vender","Vender","Lanzar","Educar")</f>
        <v>Lanzar</v>
      </c>
      <c r="AA333" s="102" t="str">
        <f t="shared" si="133"/>
        <v>100 a 200 mil</v>
      </c>
      <c r="AB333" s="102">
        <f>COUNTIFS($E$5:$E$493,E333,$S$5:$S$493,"&lt;"&amp;S333)+COUNTIFS($E$5:E333,E333,$S$5:S333,S333)</f>
        <v>24</v>
      </c>
      <c r="AC333" s="102">
        <f t="shared" si="134"/>
        <v>33</v>
      </c>
      <c r="AD333" s="102" t="str">
        <f t="shared" si="135"/>
        <v>Último tercio</v>
      </c>
      <c r="AE333" s="103">
        <f t="shared" si="136"/>
        <v>5.6645092802469321E-2</v>
      </c>
      <c r="AF333" s="102" t="str">
        <f t="shared" si="137"/>
        <v xml:space="preserve"> presentamos  nuestro último lanzamiento de belleza  imperdible  </v>
      </c>
      <c r="AG333" s="102" t="str">
        <f t="shared" si="138"/>
        <v xml:space="preserve"> una innovación que cambiará tu rutina   sé de los primeros  </v>
      </c>
      <c r="AH333" s="102" t="str">
        <f>IF(SUMPRODUCT(--(LEFT(IF(LEFT(LOWER(E333),1)="¡",MID(LOWER(E333),2,300),LOWER(E333)),LEN({"actualizaci","el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Sí</v>
      </c>
      <c r="AI333" s="102" t="str">
        <f>IF(OR(SUMPRODUCT(--ISNUMBER(SEARCH({"descuento","oferta","ahorr","precio"," sale ","flash","deals"},AF333)))&gt;0,SUMPRODUCT(--ISNUMBER(SEARCH({"descuento","oferta","ahorr","precio"," sale ","flash","deals"},AG333)))&gt;0),"Sí","No")</f>
        <v>No</v>
      </c>
      <c r="AJ333" s="102" t="str">
        <f>IF(SUMPRODUCT(--ISNUMBER(SEARCH({" hoy ","horas","tiempo limitado","antes de que","se acab","se agot","finalic","última oportunidad","oportunidad única","relámpago","express","no esperes","no volver","no parpadees"},AF333)))&gt;0,"Sí","No")</f>
        <v>No</v>
      </c>
      <c r="AK333" s="102" t="str">
        <f>IF(SUMPRODUCT(--ISNUMBER(SEARCH({" hoy ","horas","tiempo limitado","antes de que","se acab","se agot","finalic","última oportunidad","oportunidad única","relámpago","express","no esperes","no volver","no parpadees"},AG333)))&gt;0,"Sí","No")</f>
        <v>No</v>
      </c>
      <c r="AL333" s="102" t="str">
        <f t="shared" si="139"/>
        <v>Sin descuento</v>
      </c>
      <c r="AM333" s="102" t="str">
        <f>IF(SUMPRODUCT(--ISNUMBER(SEARCH({"0","1","2","3","4","5","6","7","8","9","favorit","maquillaje","piel","cabello","productos","belleza","regalo"},E333)))&gt;0,"Sí","No")</f>
        <v>Sí</v>
      </c>
      <c r="AN333" s="102" t="str">
        <f>IF(SUMPRODUCT(--ISNUMBER(SEARCH({"lo que tenemos","estas ofertas","algo especial","ofertas únicas","que preparamos","no te quedes","echa un vistazo"},F333)))&gt;0,"Sí","No")</f>
        <v>No</v>
      </c>
      <c r="AO333" s="102">
        <f t="shared" si="140"/>
        <v>63</v>
      </c>
      <c r="AP333" s="102">
        <f t="shared" si="141"/>
        <v>7</v>
      </c>
      <c r="AQ333" s="102">
        <f>SUMPRODUCT(LEN(E333)-LEN(SUBSTITUTE(E333,{"!","¡","?","¿",":",",",".","%","·","-",";"},"")))</f>
        <v>3</v>
      </c>
      <c r="AR333" s="102" t="str">
        <f t="shared" si="142"/>
        <v>No</v>
      </c>
      <c r="AS333" s="102" t="str">
        <f t="shared" si="143"/>
        <v>No</v>
      </c>
      <c r="AT333" s="102" t="str">
        <f>IF(SUMPRODUCT(--ISNUMBER(FIND({"0","1","2","3","4","5","6","7","8","9"},E333)))&gt;0,"Con cifra concreta",IF(OR(ISNUMBER(FIND("?",E333)),ISNUMBER(FIND("¿",E333))),"Pregunta abierta",IF(SUMPRODUCT(--ISNUMBER(SEARCH({" hoy ","horas","tiempo limitado","antes de que","se acab","se agot","finalic","última oportunidad","oportunidad única","relámpago","express","no esperes","no volver","no parpadees"," ya ","últimas horas","últimas unidades"," ahora "},AF333)))&gt;0,"Solo urgencia, sin cifra",IF(SUMPRODUCT(--ISNUMBER(SEARCH({"recompensa","sorpresa","regalo","lealtad","detalle","gracias","pensamos en ti","para ti"},E333)))&gt;0,"Recompensa o sorpresa","Otro: beneficio o novedad"))))</f>
        <v>Otro: beneficio o novedad</v>
      </c>
    </row>
    <row r="334" spans="1:46" x14ac:dyDescent="0.2">
      <c r="A334" s="104" t="s">
        <v>1205</v>
      </c>
      <c r="B334" s="104" t="s">
        <v>279</v>
      </c>
      <c r="C334" s="104" t="s">
        <v>889</v>
      </c>
      <c r="D334" s="104" t="s">
        <v>761</v>
      </c>
      <c r="E334" s="104" t="s">
        <v>463</v>
      </c>
      <c r="F334" s="104" t="s">
        <v>464</v>
      </c>
      <c r="G334" s="105">
        <v>180848</v>
      </c>
      <c r="H334" s="105">
        <v>65611</v>
      </c>
      <c r="I334" s="105">
        <v>28646</v>
      </c>
      <c r="J334" s="106">
        <v>9.89</v>
      </c>
      <c r="K334" s="106">
        <v>1.01</v>
      </c>
      <c r="L334" s="107">
        <v>88528.95</v>
      </c>
      <c r="M334" s="108">
        <f t="shared" si="120"/>
        <v>36.279638149163937</v>
      </c>
      <c r="N334" s="108">
        <f t="shared" si="121"/>
        <v>15.839821286384145</v>
      </c>
      <c r="O334" s="108">
        <f t="shared" si="122"/>
        <v>43.660361829571258</v>
      </c>
      <c r="P334" s="108">
        <f t="shared" si="123"/>
        <v>489.52131071396968</v>
      </c>
      <c r="Q334" s="108">
        <f t="shared" si="124"/>
        <v>33.412775116147934</v>
      </c>
      <c r="R334" s="108">
        <f t="shared" si="125"/>
        <v>27.75136451093497</v>
      </c>
      <c r="S334" s="101">
        <f t="shared" si="126"/>
        <v>45908</v>
      </c>
      <c r="T334" s="102" t="str">
        <f t="shared" si="127"/>
        <v>Septiembre</v>
      </c>
      <c r="U334" s="102" t="str">
        <f t="shared" si="128"/>
        <v>Lunes</v>
      </c>
      <c r="V334" s="102">
        <f t="shared" si="129"/>
        <v>10</v>
      </c>
      <c r="W334" s="102" t="str">
        <f t="shared" si="130"/>
        <v>Resto del mes</v>
      </c>
      <c r="X334" s="102">
        <f t="shared" si="131"/>
        <v>28</v>
      </c>
      <c r="Y334" s="102" t="str">
        <f t="shared" si="132"/>
        <v>Sí</v>
      </c>
      <c r="Z334" s="102" t="str">
        <f>CHOOSE(MATCH(B334,{"Customer Appreciation","Exclusive Offers","Flash Sale","Holiday Discounts","New Product Launch","Newsletter"},0),"Fidelizar","Vender","Vender","Vender","Lanzar","Educar")</f>
        <v>Educar</v>
      </c>
      <c r="AA334" s="102" t="str">
        <f t="shared" si="133"/>
        <v>100 a 200 mil</v>
      </c>
      <c r="AB334" s="102">
        <f>COUNTIFS($E$5:$E$493,E334,$S$5:$S$493,"&lt;"&amp;S334)+COUNTIFS($E$5:E334,E334,$S$5:S334,S334)</f>
        <v>14</v>
      </c>
      <c r="AC334" s="102">
        <f t="shared" si="134"/>
        <v>25</v>
      </c>
      <c r="AD334" s="102" t="str">
        <f t="shared" si="135"/>
        <v>Medio</v>
      </c>
      <c r="AE334" s="103">
        <f t="shared" si="136"/>
        <v>2.8668630330160028</v>
      </c>
      <c r="AF334" s="102" t="str">
        <f t="shared" si="137"/>
        <v xml:space="preserve"> tu dosis de belleza   no te lo pierdas  tips y trucos </v>
      </c>
      <c r="AG334" s="102" t="str">
        <f t="shared" si="138"/>
        <v xml:space="preserve"> consejos expertos  tendencias y más en tu bandeja de entrada   descúbrelo  </v>
      </c>
      <c r="AH334" s="102" t="str">
        <f>IF(SUMPRODUCT(--(LEFT(IF(LEFT(LOWER(E334),1)="¡",MID(LOWER(E334),2,300),LOWER(E334)),LEN({"actualizaci","el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334" s="102" t="str">
        <f>IF(OR(SUMPRODUCT(--ISNUMBER(SEARCH({"descuento","oferta","ahorr","precio"," sale ","flash","deals"},AF334)))&gt;0,SUMPRODUCT(--ISNUMBER(SEARCH({"descuento","oferta","ahorr","precio"," sale ","flash","deals"},AG334)))&gt;0),"Sí","No")</f>
        <v>No</v>
      </c>
      <c r="AJ334" s="102" t="str">
        <f>IF(SUMPRODUCT(--ISNUMBER(SEARCH({" hoy ","horas","tiempo limitado","antes de que","se acab","se agot","finalic","última oportunidad","oportunidad única","relámpago","express","no esperes","no volver","no parpadees"},AF334)))&gt;0,"Sí","No")</f>
        <v>No</v>
      </c>
      <c r="AK334" s="102" t="str">
        <f>IF(SUMPRODUCT(--ISNUMBER(SEARCH({" hoy ","horas","tiempo limitado","antes de que","se acab","se agot","finalic","última oportunidad","oportunidad única","relámpago","express","no esperes","no volver","no parpadees"},AG334)))&gt;0,"Sí","No")</f>
        <v>No</v>
      </c>
      <c r="AL334" s="102" t="str">
        <f t="shared" si="139"/>
        <v>Sin descuento</v>
      </c>
      <c r="AM334" s="102" t="str">
        <f>IF(SUMPRODUCT(--ISNUMBER(SEARCH({"0","1","2","3","4","5","6","7","8","9","favorit","maquillaje","piel","cabello","productos","belleza","regalo"},E334)))&gt;0,"Sí","No")</f>
        <v>Sí</v>
      </c>
      <c r="AN334" s="102" t="str">
        <f>IF(SUMPRODUCT(--ISNUMBER(SEARCH({"lo que tenemos","estas ofertas","algo especial","ofertas únicas","que preparamos","no te quedes","echa un vistazo"},F334)))&gt;0,"Sí","No")</f>
        <v>No</v>
      </c>
      <c r="AO334" s="102">
        <f t="shared" si="140"/>
        <v>53</v>
      </c>
      <c r="AP334" s="102">
        <f t="shared" si="141"/>
        <v>11</v>
      </c>
      <c r="AQ334" s="102">
        <f>SUMPRODUCT(LEN(E334)-LEN(SUBSTITUTE(E334,{"!","¡","?","¿",":",",",".","%","·","-",";"},"")))</f>
        <v>3</v>
      </c>
      <c r="AR334" s="102" t="str">
        <f t="shared" si="142"/>
        <v>No</v>
      </c>
      <c r="AS334" s="102" t="str">
        <f t="shared" si="143"/>
        <v>No</v>
      </c>
      <c r="AT334" s="102" t="str">
        <f>IF(SUMPRODUCT(--ISNUMBER(FIND({"0","1","2","3","4","5","6","7","8","9"},E334)))&gt;0,"Con cifra concreta",IF(OR(ISNUMBER(FIND("?",E334)),ISNUMBER(FIND("¿",E334))),"Pregunta abierta",IF(SUMPRODUCT(--ISNUMBER(SEARCH({" hoy ","horas","tiempo limitado","antes de que","se acab","se agot","finalic","última oportunidad","oportunidad única","relámpago","express","no esperes","no volver","no parpadees"," ya ","últimas horas","últimas unidades"," ahora "},AF334)))&gt;0,"Solo urgencia, sin cifra",IF(SUMPRODUCT(--ISNUMBER(SEARCH({"recompensa","sorpresa","regalo","lealtad","detalle","gracias","pensamos en ti","para ti"},E334)))&gt;0,"Recompensa o sorpresa","Otro: beneficio o novedad"))))</f>
        <v>Otro: beneficio o novedad</v>
      </c>
    </row>
    <row r="335" spans="1:46" x14ac:dyDescent="0.2">
      <c r="A335" s="96" t="s">
        <v>1206</v>
      </c>
      <c r="B335" s="96" t="s">
        <v>276</v>
      </c>
      <c r="C335" s="96" t="s">
        <v>891</v>
      </c>
      <c r="D335" s="96" t="s">
        <v>786</v>
      </c>
      <c r="E335" s="96" t="s">
        <v>450</v>
      </c>
      <c r="F335" s="96" t="s">
        <v>451</v>
      </c>
      <c r="G335" s="97">
        <v>80009</v>
      </c>
      <c r="H335" s="97">
        <v>35652</v>
      </c>
      <c r="I335" s="97">
        <v>9401</v>
      </c>
      <c r="J335" s="98">
        <v>9.7100000000000009</v>
      </c>
      <c r="K335" s="98">
        <v>1.26</v>
      </c>
      <c r="L335" s="99">
        <v>15173.38</v>
      </c>
      <c r="M335" s="100">
        <f t="shared" si="120"/>
        <v>44.559987001462339</v>
      </c>
      <c r="N335" s="100">
        <f t="shared" si="121"/>
        <v>11.749928133085028</v>
      </c>
      <c r="O335" s="100">
        <f t="shared" si="122"/>
        <v>26.368787164815437</v>
      </c>
      <c r="P335" s="100">
        <f t="shared" si="123"/>
        <v>189.64591483458111</v>
      </c>
      <c r="Q335" s="100">
        <f t="shared" si="124"/>
        <v>41.593592985418489</v>
      </c>
      <c r="R335" s="100">
        <f t="shared" si="125"/>
        <v>29.440902453236173</v>
      </c>
      <c r="S335" s="101">
        <f t="shared" si="126"/>
        <v>45888</v>
      </c>
      <c r="T335" s="102" t="str">
        <f t="shared" si="127"/>
        <v>Agosto</v>
      </c>
      <c r="U335" s="102" t="str">
        <f t="shared" si="128"/>
        <v>Martes</v>
      </c>
      <c r="V335" s="102">
        <f t="shared" si="129"/>
        <v>15</v>
      </c>
      <c r="W335" s="102" t="str">
        <f t="shared" si="130"/>
        <v>Días después del pago</v>
      </c>
      <c r="X335" s="102">
        <f t="shared" si="131"/>
        <v>29</v>
      </c>
      <c r="Y335" s="102" t="str">
        <f t="shared" si="132"/>
        <v>Sí</v>
      </c>
      <c r="Z335" s="102" t="str">
        <f>CHOOSE(MATCH(B335,{"Customer Appreciation","Exclusive Offers","Flash Sale","Holiday Discounts","New Product Launch","Newsletter"},0),"Fidelizar","Vender","Vender","Vender","Lanzar","Educar")</f>
        <v>Vender</v>
      </c>
      <c r="AA335" s="102" t="str">
        <f t="shared" si="133"/>
        <v>Menos de 100 mil</v>
      </c>
      <c r="AB335" s="102">
        <f>COUNTIFS($E$5:$E$493,E335,$S$5:$S$493,"&lt;"&amp;S335)+COUNTIFS($E$5:E335,E335,$S$5:S335,S335)</f>
        <v>4</v>
      </c>
      <c r="AC335" s="102">
        <f t="shared" si="134"/>
        <v>21</v>
      </c>
      <c r="AD335" s="102" t="str">
        <f t="shared" si="135"/>
        <v>Primer tercio</v>
      </c>
      <c r="AE335" s="103">
        <f t="shared" si="136"/>
        <v>2.96639401604385</v>
      </c>
      <c r="AF335" s="102" t="str">
        <f t="shared" si="137"/>
        <v xml:space="preserve">  ahorra ya  flash sale  hasta 50% en tus favoritos </v>
      </c>
      <c r="AG335" s="102" t="str">
        <f t="shared" si="138"/>
        <v xml:space="preserve"> edición limitada  maquillaje  cuidado de piel y más   corre  </v>
      </c>
      <c r="AH335" s="102" t="str">
        <f>IF(SUMPRODUCT(--(LEFT(IF(LEFT(LOWER(E335),1)="¡",MID(LOWER(E335),2,300),LOWER(E335)),LEN({"actualizaci","el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335" s="102" t="str">
        <f>IF(OR(SUMPRODUCT(--ISNUMBER(SEARCH({"descuento","oferta","ahorr","precio"," sale ","flash","deals"},AF335)))&gt;0,SUMPRODUCT(--ISNUMBER(SEARCH({"descuento","oferta","ahorr","precio"," sale ","flash","deals"},AG335)))&gt;0),"Sí","No")</f>
        <v>Sí</v>
      </c>
      <c r="AJ335" s="102" t="str">
        <f>IF(SUMPRODUCT(--ISNUMBER(SEARCH({" hoy ","horas","tiempo limitado","antes de que","se acab","se agot","finalic","última oportunidad","oportunidad única","relámpago","express","no esperes","no volver","no parpadees"},AF335)))&gt;0,"Sí","No")</f>
        <v>No</v>
      </c>
      <c r="AK335" s="102" t="str">
        <f>IF(SUMPRODUCT(--ISNUMBER(SEARCH({" hoy ","horas","tiempo limitado","antes de que","se acab","se agot","finalic","última oportunidad","oportunidad única","relámpago","express","no esperes","no volver","no parpadees"},AG335)))&gt;0,"Sí","No")</f>
        <v>No</v>
      </c>
      <c r="AL335" s="102" t="str">
        <f t="shared" si="139"/>
        <v>Descuento sin tiempo límite</v>
      </c>
      <c r="AM335" s="102" t="str">
        <f>IF(SUMPRODUCT(--ISNUMBER(SEARCH({"0","1","2","3","4","5","6","7","8","9","favorit","maquillaje","piel","cabello","productos","belleza","regalo"},E335)))&gt;0,"Sí","No")</f>
        <v>Sí</v>
      </c>
      <c r="AN335" s="102" t="str">
        <f>IF(SUMPRODUCT(--ISNUMBER(SEARCH({"lo que tenemos","estas ofertas","algo especial","ofertas únicas","que preparamos","no te quedes","echa un vistazo"},F335)))&gt;0,"Sí","No")</f>
        <v>No</v>
      </c>
      <c r="AO335" s="102">
        <f t="shared" si="140"/>
        <v>50</v>
      </c>
      <c r="AP335" s="102">
        <f t="shared" si="141"/>
        <v>9</v>
      </c>
      <c r="AQ335" s="102">
        <f>SUMPRODUCT(LEN(E335)-LEN(SUBSTITUTE(E335,{"!","¡","?","¿",":",",",".","%","·","-",";"},"")))</f>
        <v>4</v>
      </c>
      <c r="AR335" s="102" t="str">
        <f t="shared" si="142"/>
        <v>No</v>
      </c>
      <c r="AS335" s="102" t="str">
        <f t="shared" si="143"/>
        <v>No</v>
      </c>
      <c r="AT335" s="102" t="str">
        <f>IF(SUMPRODUCT(--ISNUMBER(FIND({"0","1","2","3","4","5","6","7","8","9"},E335)))&gt;0,"Con cifra concreta",IF(OR(ISNUMBER(FIND("?",E335)),ISNUMBER(FIND("¿",E335))),"Pregunta abierta",IF(SUMPRODUCT(--ISNUMBER(SEARCH({" hoy ","horas","tiempo limitado","antes de que","se acab","se agot","finalic","última oportunidad","oportunidad única","relámpago","express","no esperes","no volver","no parpadees"," ya ","últimas horas","últimas unidades"," ahora "},AF335)))&gt;0,"Solo urgencia, sin cifra",IF(SUMPRODUCT(--ISNUMBER(SEARCH({"recompensa","sorpresa","regalo","lealtad","detalle","gracias","pensamos en ti","para ti"},E335)))&gt;0,"Recompensa o sorpresa","Otro: beneficio o novedad"))))</f>
        <v>Con cifra concreta</v>
      </c>
    </row>
    <row r="336" spans="1:46" x14ac:dyDescent="0.2">
      <c r="A336" s="104" t="s">
        <v>1207</v>
      </c>
      <c r="B336" s="104" t="s">
        <v>277</v>
      </c>
      <c r="C336" s="104" t="s">
        <v>917</v>
      </c>
      <c r="D336" s="104" t="s">
        <v>774</v>
      </c>
      <c r="E336" s="104" t="s">
        <v>469</v>
      </c>
      <c r="F336" s="104" t="s">
        <v>470</v>
      </c>
      <c r="G336" s="105">
        <v>363036</v>
      </c>
      <c r="H336" s="105">
        <v>41344</v>
      </c>
      <c r="I336" s="105">
        <v>16200</v>
      </c>
      <c r="J336" s="106">
        <v>6.63</v>
      </c>
      <c r="K336" s="106">
        <v>3.68</v>
      </c>
      <c r="L336" s="107">
        <v>56413.84</v>
      </c>
      <c r="M336" s="108">
        <f t="shared" si="120"/>
        <v>11.388402252118247</v>
      </c>
      <c r="N336" s="108">
        <f t="shared" si="121"/>
        <v>4.4623673685254355</v>
      </c>
      <c r="O336" s="108">
        <f t="shared" si="122"/>
        <v>39.183436532507734</v>
      </c>
      <c r="P336" s="108">
        <f t="shared" si="123"/>
        <v>155.39461651186107</v>
      </c>
      <c r="Q336" s="108">
        <f t="shared" si="124"/>
        <v>29.233022524783024</v>
      </c>
      <c r="R336" s="108">
        <f t="shared" si="125"/>
        <v>30.71114383300629</v>
      </c>
      <c r="S336" s="101">
        <f t="shared" si="126"/>
        <v>45916</v>
      </c>
      <c r="T336" s="102" t="str">
        <f t="shared" si="127"/>
        <v>Septiembre</v>
      </c>
      <c r="U336" s="102" t="str">
        <f t="shared" si="128"/>
        <v>Martes</v>
      </c>
      <c r="V336" s="102">
        <f t="shared" si="129"/>
        <v>11</v>
      </c>
      <c r="W336" s="102" t="str">
        <f t="shared" si="130"/>
        <v>Quincena</v>
      </c>
      <c r="X336" s="102">
        <f t="shared" si="131"/>
        <v>27</v>
      </c>
      <c r="Y336" s="102" t="str">
        <f t="shared" si="132"/>
        <v>Sí</v>
      </c>
      <c r="Z336" s="102" t="str">
        <f>CHOOSE(MATCH(B336,{"Customer Appreciation","Exclusive Offers","Flash Sale","Holiday Discounts","New Product Launch","Newsletter"},0),"Fidelizar","Vender","Vender","Vender","Lanzar","Educar")</f>
        <v>Vender</v>
      </c>
      <c r="AA336" s="102" t="str">
        <f t="shared" si="133"/>
        <v>300 a 400 mil</v>
      </c>
      <c r="AB336" s="102">
        <f>COUNTIFS($E$5:$E$493,E336,$S$5:$S$493,"&lt;"&amp;S336)+COUNTIFS($E$5:E336,E336,$S$5:S336,S336)</f>
        <v>10</v>
      </c>
      <c r="AC336" s="102">
        <f t="shared" si="134"/>
        <v>20</v>
      </c>
      <c r="AD336" s="102" t="str">
        <f t="shared" si="135"/>
        <v>Medio</v>
      </c>
      <c r="AE336" s="103">
        <f t="shared" si="136"/>
        <v>-17.844620272664777</v>
      </c>
      <c r="AF336" s="102" t="str">
        <f t="shared" si="137"/>
        <v xml:space="preserve">  celebra con nosotros  descuentos festivos para regalar </v>
      </c>
      <c r="AG336" s="102" t="str">
        <f t="shared" si="138"/>
        <v xml:space="preserve"> regalos perfectos y ofertas que te encantarán   descubre más  </v>
      </c>
      <c r="AH336" s="102" t="str">
        <f>IF(SUMPRODUCT(--(LEFT(IF(LEFT(LOWER(E336),1)="¡",MID(LOWER(E336),2,300),LOWER(E336)),LEN({"actualizaci","el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336" s="102" t="str">
        <f>IF(OR(SUMPRODUCT(--ISNUMBER(SEARCH({"descuento","oferta","ahorr","precio"," sale ","flash","deals"},AF336)))&gt;0,SUMPRODUCT(--ISNUMBER(SEARCH({"descuento","oferta","ahorr","precio"," sale ","flash","deals"},AG336)))&gt;0),"Sí","No")</f>
        <v>Sí</v>
      </c>
      <c r="AJ336" s="102" t="str">
        <f>IF(SUMPRODUCT(--ISNUMBER(SEARCH({" hoy ","horas","tiempo limitado","antes de que","se acab","se agot","finalic","última oportunidad","oportunidad única","relámpago","express","no esperes","no volver","no parpadees"},AF336)))&gt;0,"Sí","No")</f>
        <v>No</v>
      </c>
      <c r="AK336" s="102" t="str">
        <f>IF(SUMPRODUCT(--ISNUMBER(SEARCH({" hoy ","horas","tiempo limitado","antes de que","se acab","se agot","finalic","última oportunidad","oportunidad única","relámpago","express","no esperes","no volver","no parpadees"},AG336)))&gt;0,"Sí","No")</f>
        <v>No</v>
      </c>
      <c r="AL336" s="102" t="str">
        <f t="shared" si="139"/>
        <v>Descuento sin tiempo límite</v>
      </c>
      <c r="AM336" s="102" t="str">
        <f>IF(SUMPRODUCT(--ISNUMBER(SEARCH({"0","1","2","3","4","5","6","7","8","9","favorit","maquillaje","piel","cabello","productos","belleza","regalo"},E336)))&gt;0,"Sí","No")</f>
        <v>No</v>
      </c>
      <c r="AN336" s="102" t="str">
        <f>IF(SUMPRODUCT(--ISNUMBER(SEARCH({"lo que tenemos","estas ofertas","algo especial","ofertas únicas","que preparamos","no te quedes","echa un vistazo"},F336)))&gt;0,"Sí","No")</f>
        <v>No</v>
      </c>
      <c r="AO336" s="102">
        <f t="shared" si="140"/>
        <v>55</v>
      </c>
      <c r="AP336" s="102">
        <f t="shared" si="141"/>
        <v>7</v>
      </c>
      <c r="AQ336" s="102">
        <f>SUMPRODUCT(LEN(E336)-LEN(SUBSTITUTE(E336,{"!","¡","?","¿",":",",",".","%","·","-",";"},"")))</f>
        <v>2</v>
      </c>
      <c r="AR336" s="102" t="str">
        <f t="shared" si="142"/>
        <v>Sí</v>
      </c>
      <c r="AS336" s="102" t="str">
        <f t="shared" si="143"/>
        <v>No</v>
      </c>
      <c r="AT336" s="102" t="str">
        <f>IF(SUMPRODUCT(--ISNUMBER(FIND({"0","1","2","3","4","5","6","7","8","9"},E336)))&gt;0,"Con cifra concreta",IF(OR(ISNUMBER(FIND("?",E336)),ISNUMBER(FIND("¿",E336))),"Pregunta abierta",IF(SUMPRODUCT(--ISNUMBER(SEARCH({" hoy ","horas","tiempo limitado","antes de que","se acab","se agot","finalic","última oportunidad","oportunidad única","relámpago","express","no esperes","no volver","no parpadees"," ya ","últimas horas","últimas unidades"," ahora "},AF336)))&gt;0,"Solo urgencia, sin cifra",IF(SUMPRODUCT(--ISNUMBER(SEARCH({"recompensa","sorpresa","regalo","lealtad","detalle","gracias","pensamos en ti","para ti"},E336)))&gt;0,"Recompensa o sorpresa","Otro: beneficio o novedad"))))</f>
        <v>Otro: beneficio o novedad</v>
      </c>
    </row>
    <row r="337" spans="1:46" x14ac:dyDescent="0.2">
      <c r="A337" s="96" t="s">
        <v>1208</v>
      </c>
      <c r="B337" s="96" t="s">
        <v>279</v>
      </c>
      <c r="C337" s="96" t="s">
        <v>923</v>
      </c>
      <c r="D337" s="96" t="s">
        <v>729</v>
      </c>
      <c r="E337" s="96" t="s">
        <v>369</v>
      </c>
      <c r="F337" s="96" t="s">
        <v>457</v>
      </c>
      <c r="G337" s="97">
        <v>379590</v>
      </c>
      <c r="H337" s="97">
        <v>130673</v>
      </c>
      <c r="I337" s="97">
        <v>74676</v>
      </c>
      <c r="J337" s="98">
        <v>7.97</v>
      </c>
      <c r="K337" s="98">
        <v>1.06</v>
      </c>
      <c r="L337" s="99">
        <v>91962.03</v>
      </c>
      <c r="M337" s="100">
        <f t="shared" si="120"/>
        <v>34.424774098369291</v>
      </c>
      <c r="N337" s="100">
        <f t="shared" si="121"/>
        <v>19.672804868410655</v>
      </c>
      <c r="O337" s="100">
        <f t="shared" si="122"/>
        <v>57.147230108744729</v>
      </c>
      <c r="P337" s="100">
        <f t="shared" si="123"/>
        <v>242.26673516162177</v>
      </c>
      <c r="Q337" s="100">
        <f t="shared" si="124"/>
        <v>36.827379346292652</v>
      </c>
      <c r="R337" s="100">
        <f t="shared" si="125"/>
        <v>27.75136451093497</v>
      </c>
      <c r="S337" s="101">
        <f t="shared" si="126"/>
        <v>45873</v>
      </c>
      <c r="T337" s="102" t="str">
        <f t="shared" si="127"/>
        <v>Agosto</v>
      </c>
      <c r="U337" s="102" t="str">
        <f t="shared" si="128"/>
        <v>Lunes</v>
      </c>
      <c r="V337" s="102">
        <f t="shared" si="129"/>
        <v>10</v>
      </c>
      <c r="W337" s="102" t="str">
        <f t="shared" si="130"/>
        <v>Días después del pago</v>
      </c>
      <c r="X337" s="102">
        <f t="shared" si="131"/>
        <v>24</v>
      </c>
      <c r="Y337" s="102" t="str">
        <f t="shared" si="132"/>
        <v>Sí</v>
      </c>
      <c r="Z337" s="102" t="str">
        <f>CHOOSE(MATCH(B337,{"Customer Appreciation","Exclusive Offers","Flash Sale","Holiday Discounts","New Product Launch","Newsletter"},0),"Fidelizar","Vender","Vender","Vender","Lanzar","Educar")</f>
        <v>Educar</v>
      </c>
      <c r="AA337" s="102" t="str">
        <f t="shared" si="133"/>
        <v>300 a 400 mil</v>
      </c>
      <c r="AB337" s="102">
        <f>COUNTIFS($E$5:$E$493,E337,$S$5:$S$493,"&lt;"&amp;S337)+COUNTIFS($E$5:E337,E337,$S$5:S337,S337)</f>
        <v>2</v>
      </c>
      <c r="AC337" s="102">
        <f t="shared" si="134"/>
        <v>19</v>
      </c>
      <c r="AD337" s="102" t="str">
        <f t="shared" si="135"/>
        <v>Primer tercio</v>
      </c>
      <c r="AE337" s="103">
        <f t="shared" si="136"/>
        <v>-2.4026052479233613</v>
      </c>
      <c r="AF337" s="102" t="str">
        <f t="shared" si="137"/>
        <v xml:space="preserve"> lo último en l'oréal  mantente informad@ de las novedades </v>
      </c>
      <c r="AG337" s="102" t="str">
        <f t="shared" si="138"/>
        <v xml:space="preserve"> descubre las novedades y tips de la semana   entra ya  </v>
      </c>
      <c r="AH337" s="102" t="str">
        <f>IF(SUMPRODUCT(--(LEFT(IF(LEFT(LOWER(E337),1)="¡",MID(LOWER(E337),2,300),LOWER(E337)),LEN({"actualizaci","el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337" s="102" t="str">
        <f>IF(OR(SUMPRODUCT(--ISNUMBER(SEARCH({"descuento","oferta","ahorr","precio"," sale ","flash","deals"},AF337)))&gt;0,SUMPRODUCT(--ISNUMBER(SEARCH({"descuento","oferta","ahorr","precio"," sale ","flash","deals"},AG337)))&gt;0),"Sí","No")</f>
        <v>No</v>
      </c>
      <c r="AJ337" s="102" t="str">
        <f>IF(SUMPRODUCT(--ISNUMBER(SEARCH({" hoy ","horas","tiempo limitado","antes de que","se acab","se agot","finalic","última oportunidad","oportunidad única","relámpago","express","no esperes","no volver","no parpadees"},AF337)))&gt;0,"Sí","No")</f>
        <v>No</v>
      </c>
      <c r="AK337" s="102" t="str">
        <f>IF(SUMPRODUCT(--ISNUMBER(SEARCH({" hoy ","horas","tiempo limitado","antes de que","se acab","se agot","finalic","última oportunidad","oportunidad única","relámpago","express","no esperes","no volver","no parpadees"},AG337)))&gt;0,"Sí","No")</f>
        <v>No</v>
      </c>
      <c r="AL337" s="102" t="str">
        <f t="shared" si="139"/>
        <v>Sin descuento</v>
      </c>
      <c r="AM337" s="102" t="str">
        <f>IF(SUMPRODUCT(--ISNUMBER(SEARCH({"0","1","2","3","4","5","6","7","8","9","favorit","maquillaje","piel","cabello","productos","belleza","regalo"},E337)))&gt;0,"Sí","No")</f>
        <v>No</v>
      </c>
      <c r="AN337" s="102" t="str">
        <f>IF(SUMPRODUCT(--ISNUMBER(SEARCH({"lo que tenemos","estas ofertas","algo especial","ofertas únicas","que preparamos","no te quedes","echa un vistazo"},F337)))&gt;0,"Sí","No")</f>
        <v>No</v>
      </c>
      <c r="AO337" s="102">
        <f t="shared" si="140"/>
        <v>57</v>
      </c>
      <c r="AP337" s="102">
        <f t="shared" si="141"/>
        <v>9</v>
      </c>
      <c r="AQ337" s="102">
        <f>SUMPRODUCT(LEN(E337)-LEN(SUBSTITUTE(E337,{"!","¡","?","¿",":",",",".","%","·","-",";"},"")))</f>
        <v>1</v>
      </c>
      <c r="AR337" s="102" t="str">
        <f t="shared" si="142"/>
        <v>Sí</v>
      </c>
      <c r="AS337" s="102" t="str">
        <f t="shared" si="143"/>
        <v>No</v>
      </c>
      <c r="AT337" s="102" t="str">
        <f>IF(SUMPRODUCT(--ISNUMBER(FIND({"0","1","2","3","4","5","6","7","8","9"},E337)))&gt;0,"Con cifra concreta",IF(OR(ISNUMBER(FIND("?",E337)),ISNUMBER(FIND("¿",E337))),"Pregunta abierta",IF(SUMPRODUCT(--ISNUMBER(SEARCH({" hoy ","horas","tiempo limitado","antes de que","se acab","se agot","finalic","última oportunidad","oportunidad única","relámpago","express","no esperes","no volver","no parpadees"," ya ","últimas horas","últimas unidades"," ahora "},AF337)))&gt;0,"Solo urgencia, sin cifra",IF(SUMPRODUCT(--ISNUMBER(SEARCH({"recompensa","sorpresa","regalo","lealtad","detalle","gracias","pensamos en ti","para ti"},E337)))&gt;0,"Recompensa o sorpresa","Otro: beneficio o novedad"))))</f>
        <v>Otro: beneficio o novedad</v>
      </c>
    </row>
    <row r="338" spans="1:46" x14ac:dyDescent="0.2">
      <c r="A338" s="104" t="s">
        <v>1209</v>
      </c>
      <c r="B338" s="104" t="s">
        <v>277</v>
      </c>
      <c r="C338" s="104" t="s">
        <v>793</v>
      </c>
      <c r="D338" s="104" t="s">
        <v>947</v>
      </c>
      <c r="E338" s="104" t="s">
        <v>461</v>
      </c>
      <c r="F338" s="104" t="s">
        <v>462</v>
      </c>
      <c r="G338" s="105">
        <v>210547</v>
      </c>
      <c r="H338" s="105">
        <v>93393</v>
      </c>
      <c r="I338" s="105">
        <v>7306</v>
      </c>
      <c r="J338" s="106">
        <v>4.22</v>
      </c>
      <c r="K338" s="106">
        <v>1.67</v>
      </c>
      <c r="L338" s="107">
        <v>99844.46</v>
      </c>
      <c r="M338" s="108">
        <f t="shared" si="120"/>
        <v>44.357316893615199</v>
      </c>
      <c r="N338" s="108">
        <f t="shared" si="121"/>
        <v>3.4700090716087142</v>
      </c>
      <c r="O338" s="108">
        <f t="shared" si="122"/>
        <v>7.8228561027057708</v>
      </c>
      <c r="P338" s="108">
        <f t="shared" si="123"/>
        <v>474.21459341619686</v>
      </c>
      <c r="Q338" s="108">
        <f t="shared" si="124"/>
        <v>35.409886702202286</v>
      </c>
      <c r="R338" s="108">
        <f t="shared" si="125"/>
        <v>30.71114383300629</v>
      </c>
      <c r="S338" s="101">
        <f t="shared" si="126"/>
        <v>45939</v>
      </c>
      <c r="T338" s="102" t="str">
        <f t="shared" si="127"/>
        <v>Octubre</v>
      </c>
      <c r="U338" s="102" t="str">
        <f t="shared" si="128"/>
        <v>Jueves</v>
      </c>
      <c r="V338" s="102">
        <f t="shared" si="129"/>
        <v>9</v>
      </c>
      <c r="W338" s="102" t="str">
        <f t="shared" si="130"/>
        <v>Resto del mes</v>
      </c>
      <c r="X338" s="102">
        <f t="shared" si="131"/>
        <v>27</v>
      </c>
      <c r="Y338" s="102" t="str">
        <f t="shared" si="132"/>
        <v>Sí</v>
      </c>
      <c r="Z338" s="102" t="str">
        <f>CHOOSE(MATCH(B338,{"Customer Appreciation","Exclusive Offers","Flash Sale","Holiday Discounts","New Product Launch","Newsletter"},0),"Fidelizar","Vender","Vender","Vender","Lanzar","Educar")</f>
        <v>Vender</v>
      </c>
      <c r="AA338" s="102" t="str">
        <f t="shared" si="133"/>
        <v>200 a 300 mil</v>
      </c>
      <c r="AB338" s="102">
        <f>COUNTIFS($E$5:$E$493,E338,$S$5:$S$493,"&lt;"&amp;S338)+COUNTIFS($E$5:E338,E338,$S$5:S338,S338)</f>
        <v>24</v>
      </c>
      <c r="AC338" s="102">
        <f t="shared" si="134"/>
        <v>30</v>
      </c>
      <c r="AD338" s="102" t="str">
        <f t="shared" si="135"/>
        <v>Último tercio</v>
      </c>
      <c r="AE338" s="103">
        <f t="shared" si="136"/>
        <v>8.9474301914129128</v>
      </c>
      <c r="AF338" s="102" t="str">
        <f t="shared" si="137"/>
        <v xml:space="preserve">  regalos perfectos te esperan  descuentos de lujo  l'oréal </v>
      </c>
      <c r="AG338" s="102" t="str">
        <f t="shared" si="138"/>
        <v xml:space="preserve"> encuentra ese detalle especial para ti o tus seres queridos   descubre  </v>
      </c>
      <c r="AH338" s="102" t="str">
        <f>IF(SUMPRODUCT(--(LEFT(IF(LEFT(LOWER(E338),1)="¡",MID(LOWER(E338),2,300),LOWER(E338)),LEN({"actualizaci","el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338" s="102" t="str">
        <f>IF(OR(SUMPRODUCT(--ISNUMBER(SEARCH({"descuento","oferta","ahorr","precio"," sale ","flash","deals"},AF338)))&gt;0,SUMPRODUCT(--ISNUMBER(SEARCH({"descuento","oferta","ahorr","precio"," sale ","flash","deals"},AG338)))&gt;0),"Sí","No")</f>
        <v>Sí</v>
      </c>
      <c r="AJ338" s="102" t="str">
        <f>IF(SUMPRODUCT(--ISNUMBER(SEARCH({" hoy ","horas","tiempo limitado","antes de que","se acab","se agot","finalic","última oportunidad","oportunidad única","relámpago","express","no esperes","no volver","no parpadees"},AF338)))&gt;0,"Sí","No")</f>
        <v>No</v>
      </c>
      <c r="AK338" s="102" t="str">
        <f>IF(SUMPRODUCT(--ISNUMBER(SEARCH({" hoy ","horas","tiempo limitado","antes de que","se acab","se agot","finalic","última oportunidad","oportunidad única","relámpago","express","no esperes","no volver","no parpadees"},AG338)))&gt;0,"Sí","No")</f>
        <v>No</v>
      </c>
      <c r="AL338" s="102" t="str">
        <f t="shared" si="139"/>
        <v>Descuento sin tiempo límite</v>
      </c>
      <c r="AM338" s="102" t="str">
        <f>IF(SUMPRODUCT(--ISNUMBER(SEARCH({"0","1","2","3","4","5","6","7","8","9","favorit","maquillaje","piel","cabello","productos","belleza","regalo"},E338)))&gt;0,"Sí","No")</f>
        <v>Sí</v>
      </c>
      <c r="AN338" s="102" t="str">
        <f>IF(SUMPRODUCT(--ISNUMBER(SEARCH({"lo que tenemos","estas ofertas","algo especial","ofertas únicas","que preparamos","no te quedes","echa un vistazo"},F338)))&gt;0,"Sí","No")</f>
        <v>No</v>
      </c>
      <c r="AO338" s="102">
        <f t="shared" si="140"/>
        <v>58</v>
      </c>
      <c r="AP338" s="102">
        <f t="shared" si="141"/>
        <v>8</v>
      </c>
      <c r="AQ338" s="102">
        <f>SUMPRODUCT(LEN(E338)-LEN(SUBSTITUTE(E338,{"!","¡","?","¿",":",",",".","%","·","-",";"},"")))</f>
        <v>3</v>
      </c>
      <c r="AR338" s="102" t="str">
        <f t="shared" si="142"/>
        <v>Sí</v>
      </c>
      <c r="AS338" s="102" t="str">
        <f t="shared" si="143"/>
        <v>No</v>
      </c>
      <c r="AT338" s="102" t="str">
        <f>IF(SUMPRODUCT(--ISNUMBER(FIND({"0","1","2","3","4","5","6","7","8","9"},E338)))&gt;0,"Con cifra concreta",IF(OR(ISNUMBER(FIND("?",E338)),ISNUMBER(FIND("¿",E338))),"Pregunta abierta",IF(SUMPRODUCT(--ISNUMBER(SEARCH({" hoy ","horas","tiempo limitado","antes de que","se acab","se agot","finalic","última oportunidad","oportunidad única","relámpago","express","no esperes","no volver","no parpadees"," ya ","últimas horas","últimas unidades"," ahora "},AF338)))&gt;0,"Solo urgencia, sin cifra",IF(SUMPRODUCT(--ISNUMBER(SEARCH({"recompensa","sorpresa","regalo","lealtad","detalle","gracias","pensamos en ti","para ti"},E338)))&gt;0,"Recompensa o sorpresa","Otro: beneficio o novedad"))))</f>
        <v>Recompensa o sorpresa</v>
      </c>
    </row>
    <row r="339" spans="1:46" x14ac:dyDescent="0.2">
      <c r="A339" s="96" t="s">
        <v>1210</v>
      </c>
      <c r="B339" s="96" t="s">
        <v>274</v>
      </c>
      <c r="C339" s="96" t="s">
        <v>830</v>
      </c>
      <c r="D339" s="96" t="s">
        <v>950</v>
      </c>
      <c r="E339" s="96" t="s">
        <v>453</v>
      </c>
      <c r="F339" s="96" t="s">
        <v>454</v>
      </c>
      <c r="G339" s="97">
        <v>84517</v>
      </c>
      <c r="H339" s="97">
        <v>39527</v>
      </c>
      <c r="I339" s="97">
        <v>10590</v>
      </c>
      <c r="J339" s="98">
        <v>1.89</v>
      </c>
      <c r="K339" s="98">
        <v>4.99</v>
      </c>
      <c r="L339" s="99">
        <v>27991.119999999999</v>
      </c>
      <c r="M339" s="100">
        <f t="shared" si="120"/>
        <v>46.768105824863639</v>
      </c>
      <c r="N339" s="100">
        <f t="shared" si="121"/>
        <v>12.530023545558883</v>
      </c>
      <c r="O339" s="100">
        <f t="shared" si="122"/>
        <v>26.791813190983376</v>
      </c>
      <c r="P339" s="100">
        <f t="shared" si="123"/>
        <v>331.18922820261008</v>
      </c>
      <c r="Q339" s="100">
        <f t="shared" si="124"/>
        <v>39.210446566150395</v>
      </c>
      <c r="R339" s="100">
        <f t="shared" si="125"/>
        <v>31.113650744455075</v>
      </c>
      <c r="S339" s="101">
        <f t="shared" si="126"/>
        <v>45901</v>
      </c>
      <c r="T339" s="102" t="str">
        <f t="shared" si="127"/>
        <v>Septiembre</v>
      </c>
      <c r="U339" s="102" t="str">
        <f t="shared" si="128"/>
        <v>Lunes</v>
      </c>
      <c r="V339" s="102">
        <f t="shared" si="129"/>
        <v>14</v>
      </c>
      <c r="W339" s="102" t="str">
        <f t="shared" si="130"/>
        <v>Quincena</v>
      </c>
      <c r="X339" s="102">
        <f t="shared" si="131"/>
        <v>29</v>
      </c>
      <c r="Y339" s="102" t="str">
        <f t="shared" si="132"/>
        <v>Sí</v>
      </c>
      <c r="Z339" s="102" t="str">
        <f>CHOOSE(MATCH(B339,{"Customer Appreciation","Exclusive Offers","Flash Sale","Holiday Discounts","New Product Launch","Newsletter"},0),"Fidelizar","Vender","Vender","Vender","Lanzar","Educar")</f>
        <v>Fidelizar</v>
      </c>
      <c r="AA339" s="102" t="str">
        <f t="shared" si="133"/>
        <v>Menos de 100 mil</v>
      </c>
      <c r="AB339" s="102">
        <f>COUNTIFS($E$5:$E$493,E339,$S$5:$S$493,"&lt;"&amp;S339)+COUNTIFS($E$5:E339,E339,$S$5:S339,S339)</f>
        <v>10</v>
      </c>
      <c r="AC339" s="102">
        <f t="shared" si="134"/>
        <v>20</v>
      </c>
      <c r="AD339" s="102" t="str">
        <f t="shared" si="135"/>
        <v>Medio</v>
      </c>
      <c r="AE339" s="103">
        <f t="shared" si="136"/>
        <v>7.5576592587132438</v>
      </c>
      <c r="AF339" s="102" t="str">
        <f t="shared" si="137"/>
        <v xml:space="preserve">  pensamos en ti  descubre estas sorpresas exclusivas </v>
      </c>
      <c r="AG339" s="102" t="str">
        <f t="shared" si="138"/>
        <v xml:space="preserve"> ofertas exclusivas por tu lealtad a l'oréal   aprovecha  </v>
      </c>
      <c r="AH339" s="102" t="str">
        <f>IF(SUMPRODUCT(--(LEFT(IF(LEFT(LOWER(E339),1)="¡",MID(LOWER(E339),2,300),LOWER(E339)),LEN({"actualizaci","el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339" s="102" t="str">
        <f>IF(OR(SUMPRODUCT(--ISNUMBER(SEARCH({"descuento","oferta","ahorr","precio"," sale ","flash","deals"},AF339)))&gt;0,SUMPRODUCT(--ISNUMBER(SEARCH({"descuento","oferta","ahorr","precio"," sale ","flash","deals"},AG339)))&gt;0),"Sí","No")</f>
        <v>Sí</v>
      </c>
      <c r="AJ339" s="102" t="str">
        <f>IF(SUMPRODUCT(--ISNUMBER(SEARCH({" hoy ","horas","tiempo limitado","antes de que","se acab","se agot","finalic","última oportunidad","oportunidad única","relámpago","express","no esperes","no volver","no parpadees"},AF339)))&gt;0,"Sí","No")</f>
        <v>No</v>
      </c>
      <c r="AK339" s="102" t="str">
        <f>IF(SUMPRODUCT(--ISNUMBER(SEARCH({" hoy ","horas","tiempo limitado","antes de que","se acab","se agot","finalic","última oportunidad","oportunidad única","relámpago","express","no esperes","no volver","no parpadees"},AG339)))&gt;0,"Sí","No")</f>
        <v>No</v>
      </c>
      <c r="AL339" s="102" t="str">
        <f t="shared" si="139"/>
        <v>Descuento sin tiempo límite</v>
      </c>
      <c r="AM339" s="102" t="str">
        <f>IF(SUMPRODUCT(--ISNUMBER(SEARCH({"0","1","2","3","4","5","6","7","8","9","favorit","maquillaje","piel","cabello","productos","belleza","regalo"},E339)))&gt;0,"Sí","No")</f>
        <v>No</v>
      </c>
      <c r="AN339" s="102" t="str">
        <f>IF(SUMPRODUCT(--ISNUMBER(SEARCH({"lo que tenemos","estas ofertas","algo especial","ofertas únicas","que preparamos","no te quedes","echa un vistazo"},F339)))&gt;0,"Sí","No")</f>
        <v>No</v>
      </c>
      <c r="AO339" s="102">
        <f t="shared" si="140"/>
        <v>52</v>
      </c>
      <c r="AP339" s="102">
        <f t="shared" si="141"/>
        <v>7</v>
      </c>
      <c r="AQ339" s="102">
        <f>SUMPRODUCT(LEN(E339)-LEN(SUBSTITUTE(E339,{"!","¡","?","¿",":",",",".","%","·","-",";"},"")))</f>
        <v>2</v>
      </c>
      <c r="AR339" s="102" t="str">
        <f t="shared" si="142"/>
        <v>Sí</v>
      </c>
      <c r="AS339" s="102" t="str">
        <f t="shared" si="143"/>
        <v>No</v>
      </c>
      <c r="AT339" s="102" t="str">
        <f>IF(SUMPRODUCT(--ISNUMBER(FIND({"0","1","2","3","4","5","6","7","8","9"},E339)))&gt;0,"Con cifra concreta",IF(OR(ISNUMBER(FIND("?",E339)),ISNUMBER(FIND("¿",E339))),"Pregunta abierta",IF(SUMPRODUCT(--ISNUMBER(SEARCH({" hoy ","horas","tiempo limitado","antes de que","se acab","se agot","finalic","última oportunidad","oportunidad única","relámpago","express","no esperes","no volver","no parpadees"," ya ","últimas horas","últimas unidades"," ahora "},AF339)))&gt;0,"Solo urgencia, sin cifra",IF(SUMPRODUCT(--ISNUMBER(SEARCH({"recompensa","sorpresa","regalo","lealtad","detalle","gracias","pensamos en ti","para ti"},E339)))&gt;0,"Recompensa o sorpresa","Otro: beneficio o novedad"))))</f>
        <v>Recompensa o sorpresa</v>
      </c>
    </row>
    <row r="340" spans="1:46" x14ac:dyDescent="0.2">
      <c r="A340" s="104" t="s">
        <v>1211</v>
      </c>
      <c r="B340" s="104" t="s">
        <v>275</v>
      </c>
      <c r="C340" s="104" t="s">
        <v>976</v>
      </c>
      <c r="D340" s="104" t="s">
        <v>751</v>
      </c>
      <c r="E340" s="104" t="s">
        <v>478</v>
      </c>
      <c r="F340" s="104" t="s">
        <v>479</v>
      </c>
      <c r="G340" s="105">
        <v>23508</v>
      </c>
      <c r="H340" s="105">
        <v>5612</v>
      </c>
      <c r="I340" s="105">
        <v>1333</v>
      </c>
      <c r="J340" s="106">
        <v>8.8800000000000008</v>
      </c>
      <c r="K340" s="106">
        <v>2.1800000000000002</v>
      </c>
      <c r="L340" s="107">
        <v>38554.46</v>
      </c>
      <c r="M340" s="108">
        <f t="shared" si="120"/>
        <v>23.872724179002894</v>
      </c>
      <c r="N340" s="108">
        <f t="shared" si="121"/>
        <v>5.6704100731665816</v>
      </c>
      <c r="O340" s="108">
        <f t="shared" si="122"/>
        <v>23.752672843905916</v>
      </c>
      <c r="P340" s="108">
        <f t="shared" si="123"/>
        <v>1640.0570018717031</v>
      </c>
      <c r="Q340" s="108">
        <f t="shared" si="124"/>
        <v>21.363100647493706</v>
      </c>
      <c r="R340" s="108">
        <f t="shared" si="125"/>
        <v>27.021447627328243</v>
      </c>
      <c r="S340" s="101">
        <f t="shared" si="126"/>
        <v>45892</v>
      </c>
      <c r="T340" s="102" t="str">
        <f t="shared" si="127"/>
        <v>Agosto</v>
      </c>
      <c r="U340" s="102" t="str">
        <f t="shared" si="128"/>
        <v>Sábado</v>
      </c>
      <c r="V340" s="102">
        <f t="shared" si="129"/>
        <v>11</v>
      </c>
      <c r="W340" s="102" t="str">
        <f t="shared" si="130"/>
        <v>Resto del mes</v>
      </c>
      <c r="X340" s="102">
        <f t="shared" si="131"/>
        <v>25</v>
      </c>
      <c r="Y340" s="102" t="str">
        <f t="shared" si="132"/>
        <v>Sí</v>
      </c>
      <c r="Z340" s="102" t="str">
        <f>CHOOSE(MATCH(B340,{"Customer Appreciation","Exclusive Offers","Flash Sale","Holiday Discounts","New Product Launch","Newsletter"},0),"Fidelizar","Vender","Vender","Vender","Lanzar","Educar")</f>
        <v>Vender</v>
      </c>
      <c r="AA340" s="102" t="str">
        <f t="shared" si="133"/>
        <v>Menos de 100 mil</v>
      </c>
      <c r="AB340" s="102">
        <f>COUNTIFS($E$5:$E$493,E340,$S$5:$S$493,"&lt;"&amp;S340)+COUNTIFS($E$5:E340,E340,$S$5:S340,S340)</f>
        <v>4</v>
      </c>
      <c r="AC340" s="102">
        <f t="shared" si="134"/>
        <v>8</v>
      </c>
      <c r="AD340" s="102" t="str">
        <f t="shared" si="135"/>
        <v>Medio</v>
      </c>
      <c r="AE340" s="103">
        <f t="shared" si="136"/>
        <v>2.5096235315091882</v>
      </c>
      <c r="AF340" s="102" t="str">
        <f t="shared" si="137"/>
        <v xml:space="preserve">  exclusivo para nuestros clientes vip  acceso limitado </v>
      </c>
      <c r="AG340" s="102" t="str">
        <f t="shared" si="138"/>
        <v xml:space="preserve"> no te pierdas estas ofertas que preparamos para ti   descubre más  </v>
      </c>
      <c r="AH340" s="102" t="str">
        <f>IF(SUMPRODUCT(--(LEFT(IF(LEFT(LOWER(E340),1)="¡",MID(LOWER(E340),2,300),LOWER(E340)),LEN({"actualizaci","el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340" s="102" t="str">
        <f>IF(OR(SUMPRODUCT(--ISNUMBER(SEARCH({"descuento","oferta","ahorr","precio"," sale ","flash","deals"},AF340)))&gt;0,SUMPRODUCT(--ISNUMBER(SEARCH({"descuento","oferta","ahorr","precio"," sale ","flash","deals"},AG340)))&gt;0),"Sí","No")</f>
        <v>Sí</v>
      </c>
      <c r="AJ340" s="102" t="str">
        <f>IF(SUMPRODUCT(--ISNUMBER(SEARCH({" hoy ","horas","tiempo limitado","antes de que","se acab","se agot","finalic","última oportunidad","oportunidad única","relámpago","express","no esperes","no volver","no parpadees"},AF340)))&gt;0,"Sí","No")</f>
        <v>No</v>
      </c>
      <c r="AK340" s="102" t="str">
        <f>IF(SUMPRODUCT(--ISNUMBER(SEARCH({" hoy ","horas","tiempo limitado","antes de que","se acab","se agot","finalic","última oportunidad","oportunidad única","relámpago","express","no esperes","no volver","no parpadees"},AG340)))&gt;0,"Sí","No")</f>
        <v>No</v>
      </c>
      <c r="AL340" s="102" t="str">
        <f t="shared" si="139"/>
        <v>Descuento sin tiempo límite</v>
      </c>
      <c r="AM340" s="102" t="str">
        <f>IF(SUMPRODUCT(--ISNUMBER(SEARCH({"0","1","2","3","4","5","6","7","8","9","favorit","maquillaje","piel","cabello","productos","belleza","regalo"},E340)))&gt;0,"Sí","No")</f>
        <v>No</v>
      </c>
      <c r="AN340" s="102" t="str">
        <f>IF(SUMPRODUCT(--ISNUMBER(SEARCH({"lo que tenemos","estas ofertas","algo especial","ofertas únicas","que preparamos","no te quedes","echa un vistazo"},F340)))&gt;0,"Sí","No")</f>
        <v>Sí</v>
      </c>
      <c r="AO340" s="102">
        <f t="shared" si="140"/>
        <v>54</v>
      </c>
      <c r="AP340" s="102">
        <f t="shared" si="141"/>
        <v>7</v>
      </c>
      <c r="AQ340" s="102">
        <f>SUMPRODUCT(LEN(E340)-LEN(SUBSTITUTE(E340,{"!","¡","?","¿",":",",",".","%","·","-",";"},"")))</f>
        <v>2</v>
      </c>
      <c r="AR340" s="102" t="str">
        <f t="shared" si="142"/>
        <v>Sí</v>
      </c>
      <c r="AS340" s="102" t="str">
        <f t="shared" si="143"/>
        <v>No</v>
      </c>
      <c r="AT340" s="102" t="str">
        <f>IF(SUMPRODUCT(--ISNUMBER(FIND({"0","1","2","3","4","5","6","7","8","9"},E340)))&gt;0,"Con cifra concreta",IF(OR(ISNUMBER(FIND("?",E340)),ISNUMBER(FIND("¿",E340))),"Pregunta abierta",IF(SUMPRODUCT(--ISNUMBER(SEARCH({" hoy ","horas","tiempo limitado","antes de que","se acab","se agot","finalic","última oportunidad","oportunidad única","relámpago","express","no esperes","no volver","no parpadees"," ya ","últimas horas","últimas unidades"," ahora "},AF340)))&gt;0,"Solo urgencia, sin cifra",IF(SUMPRODUCT(--ISNUMBER(SEARCH({"recompensa","sorpresa","regalo","lealtad","detalle","gracias","pensamos en ti","para ti"},E340)))&gt;0,"Recompensa o sorpresa","Otro: beneficio o novedad"))))</f>
        <v>Otro: beneficio o novedad</v>
      </c>
    </row>
    <row r="341" spans="1:46" x14ac:dyDescent="0.2">
      <c r="A341" s="96" t="s">
        <v>1212</v>
      </c>
      <c r="B341" s="96" t="s">
        <v>279</v>
      </c>
      <c r="C341" s="96" t="s">
        <v>742</v>
      </c>
      <c r="D341" s="96" t="s">
        <v>702</v>
      </c>
      <c r="E341" s="96" t="s">
        <v>463</v>
      </c>
      <c r="F341" s="96" t="s">
        <v>464</v>
      </c>
      <c r="G341" s="97">
        <v>75182</v>
      </c>
      <c r="H341" s="97">
        <v>31301</v>
      </c>
      <c r="I341" s="97">
        <v>8087</v>
      </c>
      <c r="J341" s="98">
        <v>0.9</v>
      </c>
      <c r="K341" s="98">
        <v>3.57</v>
      </c>
      <c r="L341" s="99">
        <v>39571.269999999997</v>
      </c>
      <c r="M341" s="100">
        <f t="shared" si="120"/>
        <v>41.633635710675428</v>
      </c>
      <c r="N341" s="100">
        <f t="shared" si="121"/>
        <v>10.756564071187253</v>
      </c>
      <c r="O341" s="100">
        <f t="shared" si="122"/>
        <v>25.836235264049073</v>
      </c>
      <c r="P341" s="100">
        <f t="shared" si="123"/>
        <v>526.33968237078022</v>
      </c>
      <c r="Q341" s="100">
        <f t="shared" si="124"/>
        <v>33.412775116147934</v>
      </c>
      <c r="R341" s="100">
        <f t="shared" si="125"/>
        <v>27.75136451093497</v>
      </c>
      <c r="S341" s="101">
        <f t="shared" si="126"/>
        <v>45948</v>
      </c>
      <c r="T341" s="102" t="str">
        <f t="shared" si="127"/>
        <v>Octubre</v>
      </c>
      <c r="U341" s="102" t="str">
        <f t="shared" si="128"/>
        <v>Sábado</v>
      </c>
      <c r="V341" s="102">
        <f t="shared" si="129"/>
        <v>16</v>
      </c>
      <c r="W341" s="102" t="str">
        <f t="shared" si="130"/>
        <v>Días después del pago</v>
      </c>
      <c r="X341" s="102">
        <f t="shared" si="131"/>
        <v>27</v>
      </c>
      <c r="Y341" s="102" t="str">
        <f t="shared" si="132"/>
        <v>Sí</v>
      </c>
      <c r="Z341" s="102" t="str">
        <f>CHOOSE(MATCH(B341,{"Customer Appreciation","Exclusive Offers","Flash Sale","Holiday Discounts","New Product Launch","Newsletter"},0),"Fidelizar","Vender","Vender","Vender","Lanzar","Educar")</f>
        <v>Educar</v>
      </c>
      <c r="AA341" s="102" t="str">
        <f t="shared" si="133"/>
        <v>Menos de 100 mil</v>
      </c>
      <c r="AB341" s="102">
        <f>COUNTIFS($E$5:$E$493,E341,$S$5:$S$493,"&lt;"&amp;S341)+COUNTIFS($E$5:E341,E341,$S$5:S341,S341)</f>
        <v>21</v>
      </c>
      <c r="AC341" s="102">
        <f t="shared" si="134"/>
        <v>25</v>
      </c>
      <c r="AD341" s="102" t="str">
        <f t="shared" si="135"/>
        <v>Último tercio</v>
      </c>
      <c r="AE341" s="103">
        <f t="shared" si="136"/>
        <v>8.220860594527494</v>
      </c>
      <c r="AF341" s="102" t="str">
        <f t="shared" si="137"/>
        <v xml:space="preserve"> tu dosis de belleza   no te lo pierdas  tips y trucos </v>
      </c>
      <c r="AG341" s="102" t="str">
        <f t="shared" si="138"/>
        <v xml:space="preserve"> consejos expertos  tendencias y más en tu bandeja de entrada   descúbrelo  </v>
      </c>
      <c r="AH341" s="102" t="str">
        <f>IF(SUMPRODUCT(--(LEFT(IF(LEFT(LOWER(E341),1)="¡",MID(LOWER(E341),2,300),LOWER(E341)),LEN({"actualizaci","el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341" s="102" t="str">
        <f>IF(OR(SUMPRODUCT(--ISNUMBER(SEARCH({"descuento","oferta","ahorr","precio"," sale ","flash","deals"},AF341)))&gt;0,SUMPRODUCT(--ISNUMBER(SEARCH({"descuento","oferta","ahorr","precio"," sale ","flash","deals"},AG341)))&gt;0),"Sí","No")</f>
        <v>No</v>
      </c>
      <c r="AJ341" s="102" t="str">
        <f>IF(SUMPRODUCT(--ISNUMBER(SEARCH({" hoy ","horas","tiempo limitado","antes de que","se acab","se agot","finalic","última oportunidad","oportunidad única","relámpago","express","no esperes","no volver","no parpadees"},AF341)))&gt;0,"Sí","No")</f>
        <v>No</v>
      </c>
      <c r="AK341" s="102" t="str">
        <f>IF(SUMPRODUCT(--ISNUMBER(SEARCH({" hoy ","horas","tiempo limitado","antes de que","se acab","se agot","finalic","última oportunidad","oportunidad única","relámpago","express","no esperes","no volver","no parpadees"},AG341)))&gt;0,"Sí","No")</f>
        <v>No</v>
      </c>
      <c r="AL341" s="102" t="str">
        <f t="shared" si="139"/>
        <v>Sin descuento</v>
      </c>
      <c r="AM341" s="102" t="str">
        <f>IF(SUMPRODUCT(--ISNUMBER(SEARCH({"0","1","2","3","4","5","6","7","8","9","favorit","maquillaje","piel","cabello","productos","belleza","regalo"},E341)))&gt;0,"Sí","No")</f>
        <v>Sí</v>
      </c>
      <c r="AN341" s="102" t="str">
        <f>IF(SUMPRODUCT(--ISNUMBER(SEARCH({"lo que tenemos","estas ofertas","algo especial","ofertas únicas","que preparamos","no te quedes","echa un vistazo"},F341)))&gt;0,"Sí","No")</f>
        <v>No</v>
      </c>
      <c r="AO341" s="102">
        <f t="shared" si="140"/>
        <v>53</v>
      </c>
      <c r="AP341" s="102">
        <f t="shared" si="141"/>
        <v>11</v>
      </c>
      <c r="AQ341" s="102">
        <f>SUMPRODUCT(LEN(E341)-LEN(SUBSTITUTE(E341,{"!","¡","?","¿",":",",",".","%","·","-",";"},"")))</f>
        <v>3</v>
      </c>
      <c r="AR341" s="102" t="str">
        <f t="shared" si="142"/>
        <v>No</v>
      </c>
      <c r="AS341" s="102" t="str">
        <f t="shared" si="143"/>
        <v>No</v>
      </c>
      <c r="AT341" s="102" t="str">
        <f>IF(SUMPRODUCT(--ISNUMBER(FIND({"0","1","2","3","4","5","6","7","8","9"},E341)))&gt;0,"Con cifra concreta",IF(OR(ISNUMBER(FIND("?",E341)),ISNUMBER(FIND("¿",E341))),"Pregunta abierta",IF(SUMPRODUCT(--ISNUMBER(SEARCH({" hoy ","horas","tiempo limitado","antes de que","se acab","se agot","finalic","última oportunidad","oportunidad única","relámpago","express","no esperes","no volver","no parpadees"," ya ","últimas horas","últimas unidades"," ahora "},AF341)))&gt;0,"Solo urgencia, sin cifra",IF(SUMPRODUCT(--ISNUMBER(SEARCH({"recompensa","sorpresa","regalo","lealtad","detalle","gracias","pensamos en ti","para ti"},E341)))&gt;0,"Recompensa o sorpresa","Otro: beneficio o novedad"))))</f>
        <v>Otro: beneficio o novedad</v>
      </c>
    </row>
    <row r="342" spans="1:46" x14ac:dyDescent="0.2">
      <c r="A342" s="104" t="s">
        <v>1213</v>
      </c>
      <c r="B342" s="104" t="s">
        <v>279</v>
      </c>
      <c r="C342" s="104" t="s">
        <v>773</v>
      </c>
      <c r="D342" s="104" t="s">
        <v>707</v>
      </c>
      <c r="E342" s="104" t="s">
        <v>370</v>
      </c>
      <c r="F342" s="104" t="s">
        <v>485</v>
      </c>
      <c r="G342" s="105">
        <v>355379</v>
      </c>
      <c r="H342" s="105">
        <v>50463</v>
      </c>
      <c r="I342" s="105">
        <v>7640</v>
      </c>
      <c r="J342" s="106">
        <v>9.01</v>
      </c>
      <c r="K342" s="106">
        <v>4.05</v>
      </c>
      <c r="L342" s="107">
        <v>88555.89</v>
      </c>
      <c r="M342" s="108">
        <f t="shared" si="120"/>
        <v>14.199769823202836</v>
      </c>
      <c r="N342" s="108">
        <f t="shared" si="121"/>
        <v>2.1498175187616599</v>
      </c>
      <c r="O342" s="108">
        <f t="shared" si="122"/>
        <v>15.139805401977688</v>
      </c>
      <c r="P342" s="108">
        <f t="shared" si="123"/>
        <v>249.18717763289334</v>
      </c>
      <c r="Q342" s="108">
        <f t="shared" si="124"/>
        <v>15.908213539730554</v>
      </c>
      <c r="R342" s="108">
        <f t="shared" si="125"/>
        <v>27.75136451093497</v>
      </c>
      <c r="S342" s="101">
        <f t="shared" si="126"/>
        <v>45909</v>
      </c>
      <c r="T342" s="102" t="str">
        <f t="shared" si="127"/>
        <v>Septiembre</v>
      </c>
      <c r="U342" s="102" t="str">
        <f t="shared" si="128"/>
        <v>Martes</v>
      </c>
      <c r="V342" s="102">
        <f t="shared" si="129"/>
        <v>13</v>
      </c>
      <c r="W342" s="102" t="str">
        <f t="shared" si="130"/>
        <v>Resto del mes</v>
      </c>
      <c r="X342" s="102">
        <f t="shared" si="131"/>
        <v>28</v>
      </c>
      <c r="Y342" s="102" t="str">
        <f t="shared" si="132"/>
        <v>Sí</v>
      </c>
      <c r="Z342" s="102" t="str">
        <f>CHOOSE(MATCH(B342,{"Customer Appreciation","Exclusive Offers","Flash Sale","Holiday Discounts","New Product Launch","Newsletter"},0),"Fidelizar","Vender","Vender","Vender","Lanzar","Educar")</f>
        <v>Educar</v>
      </c>
      <c r="AA342" s="102" t="str">
        <f t="shared" si="133"/>
        <v>300 a 400 mil</v>
      </c>
      <c r="AB342" s="102">
        <f>COUNTIFS($E$5:$E$493,E342,$S$5:$S$493,"&lt;"&amp;S342)+COUNTIFS($E$5:E342,E342,$S$5:S342,S342)</f>
        <v>6</v>
      </c>
      <c r="AC342" s="102">
        <f t="shared" si="134"/>
        <v>10</v>
      </c>
      <c r="AD342" s="102" t="str">
        <f t="shared" si="135"/>
        <v>Medio</v>
      </c>
      <c r="AE342" s="103">
        <f t="shared" si="136"/>
        <v>-1.708443716527718</v>
      </c>
      <c r="AF342" s="102" t="str">
        <f t="shared" si="137"/>
        <v xml:space="preserve"> actualización de l'oréal   qué hay de nuevo en el mundo beauty  </v>
      </c>
      <c r="AG342" s="102" t="str">
        <f t="shared" si="138"/>
        <v xml:space="preserve"> no te quedes atrás con las últimas tendencias   descubre más  </v>
      </c>
      <c r="AH342" s="102" t="str">
        <f>IF(SUMPRODUCT(--(LEFT(IF(LEFT(LOWER(E342),1)="¡",MID(LOWER(E342),2,300),LOWER(E342)),LEN({"actualizaci","el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Sí</v>
      </c>
      <c r="AI342" s="102" t="str">
        <f>IF(OR(SUMPRODUCT(--ISNUMBER(SEARCH({"descuento","oferta","ahorr","precio"," sale ","flash","deals"},AF342)))&gt;0,SUMPRODUCT(--ISNUMBER(SEARCH({"descuento","oferta","ahorr","precio"," sale ","flash","deals"},AG342)))&gt;0),"Sí","No")</f>
        <v>No</v>
      </c>
      <c r="AJ342" s="102" t="str">
        <f>IF(SUMPRODUCT(--ISNUMBER(SEARCH({" hoy ","horas","tiempo limitado","antes de que","se acab","se agot","finalic","última oportunidad","oportunidad única","relámpago","express","no esperes","no volver","no parpadees"},AF342)))&gt;0,"Sí","No")</f>
        <v>No</v>
      </c>
      <c r="AK342" s="102" t="str">
        <f>IF(SUMPRODUCT(--ISNUMBER(SEARCH({" hoy ","horas","tiempo limitado","antes de que","se acab","se agot","finalic","última oportunidad","oportunidad única","relámpago","express","no esperes","no volver","no parpadees"},AG342)))&gt;0,"Sí","No")</f>
        <v>No</v>
      </c>
      <c r="AL342" s="102" t="str">
        <f t="shared" si="139"/>
        <v>Sin descuento</v>
      </c>
      <c r="AM342" s="102" t="str">
        <f>IF(SUMPRODUCT(--ISNUMBER(SEARCH({"0","1","2","3","4","5","6","7","8","9","favorit","maquillaje","piel","cabello","productos","belleza","regalo"},E342)))&gt;0,"Sí","No")</f>
        <v>No</v>
      </c>
      <c r="AN342" s="102" t="str">
        <f>IF(SUMPRODUCT(--ISNUMBER(SEARCH({"lo que tenemos","estas ofertas","algo especial","ofertas únicas","que preparamos","no te quedes","echa un vistazo"},F342)))&gt;0,"Sí","No")</f>
        <v>Sí</v>
      </c>
      <c r="AO342" s="102">
        <f t="shared" si="140"/>
        <v>63</v>
      </c>
      <c r="AP342" s="102">
        <f t="shared" si="141"/>
        <v>11</v>
      </c>
      <c r="AQ342" s="102">
        <f>SUMPRODUCT(LEN(E342)-LEN(SUBSTITUTE(E342,{"!","¡","?","¿",":",",",".","%","·","-",";"},"")))</f>
        <v>3</v>
      </c>
      <c r="AR342" s="102" t="str">
        <f t="shared" si="142"/>
        <v>No</v>
      </c>
      <c r="AS342" s="102" t="str">
        <f t="shared" si="143"/>
        <v>No</v>
      </c>
      <c r="AT342" s="102" t="str">
        <f>IF(SUMPRODUCT(--ISNUMBER(FIND({"0","1","2","3","4","5","6","7","8","9"},E342)))&gt;0,"Con cifra concreta",IF(OR(ISNUMBER(FIND("?",E342)),ISNUMBER(FIND("¿",E342))),"Pregunta abierta",IF(SUMPRODUCT(--ISNUMBER(SEARCH({" hoy ","horas","tiempo limitado","antes de que","se acab","se agot","finalic","última oportunidad","oportunidad única","relámpago","express","no esperes","no volver","no parpadees"," ya ","últimas horas","últimas unidades"," ahora "},AF342)))&gt;0,"Solo urgencia, sin cifra",IF(SUMPRODUCT(--ISNUMBER(SEARCH({"recompensa","sorpresa","regalo","lealtad","detalle","gracias","pensamos en ti","para ti"},E342)))&gt;0,"Recompensa o sorpresa","Otro: beneficio o novedad"))))</f>
        <v>Pregunta abierta</v>
      </c>
    </row>
    <row r="343" spans="1:46" x14ac:dyDescent="0.2">
      <c r="A343" s="96" t="s">
        <v>1214</v>
      </c>
      <c r="B343" s="96" t="s">
        <v>279</v>
      </c>
      <c r="C343" s="96" t="s">
        <v>980</v>
      </c>
      <c r="D343" s="96" t="s">
        <v>824</v>
      </c>
      <c r="E343" s="96" t="s">
        <v>369</v>
      </c>
      <c r="F343" s="96" t="s">
        <v>457</v>
      </c>
      <c r="G343" s="97">
        <v>89747</v>
      </c>
      <c r="H343" s="97">
        <v>36474</v>
      </c>
      <c r="I343" s="97">
        <v>11014</v>
      </c>
      <c r="J343" s="98">
        <v>1.5</v>
      </c>
      <c r="K343" s="98">
        <v>2.35</v>
      </c>
      <c r="L343" s="99">
        <v>84008.85</v>
      </c>
      <c r="M343" s="100">
        <f t="shared" si="120"/>
        <v>40.640912788171192</v>
      </c>
      <c r="N343" s="100">
        <f t="shared" si="121"/>
        <v>12.272276510635454</v>
      </c>
      <c r="O343" s="100">
        <f t="shared" si="122"/>
        <v>30.196852552503152</v>
      </c>
      <c r="P343" s="100">
        <f t="shared" si="123"/>
        <v>936.06304389004663</v>
      </c>
      <c r="Q343" s="100">
        <f t="shared" si="124"/>
        <v>36.827379346292652</v>
      </c>
      <c r="R343" s="100">
        <f t="shared" si="125"/>
        <v>27.75136451093497</v>
      </c>
      <c r="S343" s="101">
        <f t="shared" si="126"/>
        <v>45875</v>
      </c>
      <c r="T343" s="102" t="str">
        <f t="shared" si="127"/>
        <v>Agosto</v>
      </c>
      <c r="U343" s="102" t="str">
        <f t="shared" si="128"/>
        <v>Miércoles</v>
      </c>
      <c r="V343" s="102">
        <f t="shared" si="129"/>
        <v>10</v>
      </c>
      <c r="W343" s="102" t="str">
        <f t="shared" si="130"/>
        <v>Resto del mes</v>
      </c>
      <c r="X343" s="102">
        <f t="shared" si="131"/>
        <v>28</v>
      </c>
      <c r="Y343" s="102" t="str">
        <f t="shared" si="132"/>
        <v>Sí</v>
      </c>
      <c r="Z343" s="102" t="str">
        <f>CHOOSE(MATCH(B343,{"Customer Appreciation","Exclusive Offers","Flash Sale","Holiday Discounts","New Product Launch","Newsletter"},0),"Fidelizar","Vender","Vender","Vender","Lanzar","Educar")</f>
        <v>Educar</v>
      </c>
      <c r="AA343" s="102" t="str">
        <f t="shared" si="133"/>
        <v>Menos de 100 mil</v>
      </c>
      <c r="AB343" s="102">
        <f>COUNTIFS($E$5:$E$493,E343,$S$5:$S$493,"&lt;"&amp;S343)+COUNTIFS($E$5:E343,E343,$S$5:S343,S343)</f>
        <v>3</v>
      </c>
      <c r="AC343" s="102">
        <f t="shared" si="134"/>
        <v>19</v>
      </c>
      <c r="AD343" s="102" t="str">
        <f t="shared" si="135"/>
        <v>Primer tercio</v>
      </c>
      <c r="AE343" s="103">
        <f t="shared" si="136"/>
        <v>3.8135334418785405</v>
      </c>
      <c r="AF343" s="102" t="str">
        <f t="shared" si="137"/>
        <v xml:space="preserve"> lo último en l'oréal  mantente informad@ de las novedades </v>
      </c>
      <c r="AG343" s="102" t="str">
        <f t="shared" si="138"/>
        <v xml:space="preserve"> descubre las novedades y tips de la semana   entra ya  </v>
      </c>
      <c r="AH343" s="102" t="str">
        <f>IF(SUMPRODUCT(--(LEFT(IF(LEFT(LOWER(E343),1)="¡",MID(LOWER(E343),2,300),LOWER(E343)),LEN({"actualizaci","el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343" s="102" t="str">
        <f>IF(OR(SUMPRODUCT(--ISNUMBER(SEARCH({"descuento","oferta","ahorr","precio"," sale ","flash","deals"},AF343)))&gt;0,SUMPRODUCT(--ISNUMBER(SEARCH({"descuento","oferta","ahorr","precio"," sale ","flash","deals"},AG343)))&gt;0),"Sí","No")</f>
        <v>No</v>
      </c>
      <c r="AJ343" s="102" t="str">
        <f>IF(SUMPRODUCT(--ISNUMBER(SEARCH({" hoy ","horas","tiempo limitado","antes de que","se acab","se agot","finalic","última oportunidad","oportunidad única","relámpago","express","no esperes","no volver","no parpadees"},AF343)))&gt;0,"Sí","No")</f>
        <v>No</v>
      </c>
      <c r="AK343" s="102" t="str">
        <f>IF(SUMPRODUCT(--ISNUMBER(SEARCH({" hoy ","horas","tiempo limitado","antes de que","se acab","se agot","finalic","última oportunidad","oportunidad única","relámpago","express","no esperes","no volver","no parpadees"},AG343)))&gt;0,"Sí","No")</f>
        <v>No</v>
      </c>
      <c r="AL343" s="102" t="str">
        <f t="shared" si="139"/>
        <v>Sin descuento</v>
      </c>
      <c r="AM343" s="102" t="str">
        <f>IF(SUMPRODUCT(--ISNUMBER(SEARCH({"0","1","2","3","4","5","6","7","8","9","favorit","maquillaje","piel","cabello","productos","belleza","regalo"},E343)))&gt;0,"Sí","No")</f>
        <v>No</v>
      </c>
      <c r="AN343" s="102" t="str">
        <f>IF(SUMPRODUCT(--ISNUMBER(SEARCH({"lo que tenemos","estas ofertas","algo especial","ofertas únicas","que preparamos","no te quedes","echa un vistazo"},F343)))&gt;0,"Sí","No")</f>
        <v>No</v>
      </c>
      <c r="AO343" s="102">
        <f t="shared" si="140"/>
        <v>57</v>
      </c>
      <c r="AP343" s="102">
        <f t="shared" si="141"/>
        <v>9</v>
      </c>
      <c r="AQ343" s="102">
        <f>SUMPRODUCT(LEN(E343)-LEN(SUBSTITUTE(E343,{"!","¡","?","¿",":",",",".","%","·","-",";"},"")))</f>
        <v>1</v>
      </c>
      <c r="AR343" s="102" t="str">
        <f t="shared" si="142"/>
        <v>Sí</v>
      </c>
      <c r="AS343" s="102" t="str">
        <f t="shared" si="143"/>
        <v>No</v>
      </c>
      <c r="AT343" s="102" t="str">
        <f>IF(SUMPRODUCT(--ISNUMBER(FIND({"0","1","2","3","4","5","6","7","8","9"},E343)))&gt;0,"Con cifra concreta",IF(OR(ISNUMBER(FIND("?",E343)),ISNUMBER(FIND("¿",E343))),"Pregunta abierta",IF(SUMPRODUCT(--ISNUMBER(SEARCH({" hoy ","horas","tiempo limitado","antes de que","se acab","se agot","finalic","última oportunidad","oportunidad única","relámpago","express","no esperes","no volver","no parpadees"," ya ","últimas horas","últimas unidades"," ahora "},AF343)))&gt;0,"Solo urgencia, sin cifra",IF(SUMPRODUCT(--ISNUMBER(SEARCH({"recompensa","sorpresa","regalo","lealtad","detalle","gracias","pensamos en ti","para ti"},E343)))&gt;0,"Recompensa o sorpresa","Otro: beneficio o novedad"))))</f>
        <v>Otro: beneficio o novedad</v>
      </c>
    </row>
    <row r="344" spans="1:46" x14ac:dyDescent="0.2">
      <c r="A344" s="104" t="s">
        <v>1215</v>
      </c>
      <c r="B344" s="104" t="s">
        <v>275</v>
      </c>
      <c r="C344" s="104" t="s">
        <v>815</v>
      </c>
      <c r="D344" s="104" t="s">
        <v>764</v>
      </c>
      <c r="E344" s="104" t="s">
        <v>481</v>
      </c>
      <c r="F344" s="104" t="s">
        <v>482</v>
      </c>
      <c r="G344" s="105">
        <v>83916</v>
      </c>
      <c r="H344" s="105">
        <v>8182</v>
      </c>
      <c r="I344" s="105">
        <v>1552</v>
      </c>
      <c r="J344" s="106">
        <v>3.03</v>
      </c>
      <c r="K344" s="106">
        <v>3.73</v>
      </c>
      <c r="L344" s="107">
        <v>73141.56</v>
      </c>
      <c r="M344" s="108">
        <f t="shared" si="120"/>
        <v>9.7502264168930832</v>
      </c>
      <c r="N344" s="108">
        <f t="shared" si="121"/>
        <v>1.8494685161351827</v>
      </c>
      <c r="O344" s="108">
        <f t="shared" si="122"/>
        <v>18.968467367391835</v>
      </c>
      <c r="P344" s="108">
        <f t="shared" si="123"/>
        <v>871.60446160446156</v>
      </c>
      <c r="Q344" s="108">
        <f t="shared" si="124"/>
        <v>18.428686186240089</v>
      </c>
      <c r="R344" s="108">
        <f t="shared" si="125"/>
        <v>27.021447627328243</v>
      </c>
      <c r="S344" s="101">
        <f t="shared" si="126"/>
        <v>45959</v>
      </c>
      <c r="T344" s="102" t="str">
        <f t="shared" si="127"/>
        <v>Octubre</v>
      </c>
      <c r="U344" s="102" t="str">
        <f t="shared" si="128"/>
        <v>Miércoles</v>
      </c>
      <c r="V344" s="102">
        <f t="shared" si="129"/>
        <v>15</v>
      </c>
      <c r="W344" s="102" t="str">
        <f t="shared" si="130"/>
        <v>Resto del mes</v>
      </c>
      <c r="X344" s="102">
        <f t="shared" si="131"/>
        <v>27</v>
      </c>
      <c r="Y344" s="102" t="str">
        <f t="shared" si="132"/>
        <v>Sí</v>
      </c>
      <c r="Z344" s="102" t="str">
        <f>CHOOSE(MATCH(B344,{"Customer Appreciation","Exclusive Offers","Flash Sale","Holiday Discounts","New Product Launch","Newsletter"},0),"Fidelizar","Vender","Vender","Vender","Lanzar","Educar")</f>
        <v>Vender</v>
      </c>
      <c r="AA344" s="102" t="str">
        <f t="shared" si="133"/>
        <v>Menos de 100 mil</v>
      </c>
      <c r="AB344" s="102">
        <f>COUNTIFS($E$5:$E$493,E344,$S$5:$S$493,"&lt;"&amp;S344)+COUNTIFS($E$5:E344,E344,$S$5:S344,S344)</f>
        <v>11</v>
      </c>
      <c r="AC344" s="102">
        <f t="shared" si="134"/>
        <v>11</v>
      </c>
      <c r="AD344" s="102" t="str">
        <f t="shared" si="135"/>
        <v>Último tercio</v>
      </c>
      <c r="AE344" s="103">
        <f t="shared" si="136"/>
        <v>-8.6784597693470058</v>
      </c>
      <c r="AF344" s="102" t="str">
        <f t="shared" si="137"/>
        <v xml:space="preserve">  oportunidad única  solo por hoy  tus favoritos a un clic </v>
      </c>
      <c r="AG344" s="102" t="str">
        <f t="shared" si="138"/>
        <v xml:space="preserve"> tus productos favoritos con un precio que no volverás a ver   aprovecha  </v>
      </c>
      <c r="AH344" s="102" t="str">
        <f>IF(SUMPRODUCT(--(LEFT(IF(LEFT(LOWER(E344),1)="¡",MID(LOWER(E344),2,300),LOWER(E344)),LEN({"actualizaci","el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Sí</v>
      </c>
      <c r="AI344" s="102" t="str">
        <f>IF(OR(SUMPRODUCT(--ISNUMBER(SEARCH({"descuento","oferta","ahorr","precio"," sale ","flash","deals"},AF344)))&gt;0,SUMPRODUCT(--ISNUMBER(SEARCH({"descuento","oferta","ahorr","precio"," sale ","flash","deals"},AG344)))&gt;0),"Sí","No")</f>
        <v>Sí</v>
      </c>
      <c r="AJ344" s="102" t="str">
        <f>IF(SUMPRODUCT(--ISNUMBER(SEARCH({" hoy ","horas","tiempo limitado","antes de que","se acab","se agot","finalic","última oportunidad","oportunidad única","relámpago","express","no esperes","no volver","no parpadees"},AF344)))&gt;0,"Sí","No")</f>
        <v>Sí</v>
      </c>
      <c r="AK344" s="102" t="str">
        <f>IF(SUMPRODUCT(--ISNUMBER(SEARCH({" hoy ","horas","tiempo limitado","antes de que","se acab","se agot","finalic","última oportunidad","oportunidad única","relámpago","express","no esperes","no volver","no parpadees"},AG344)))&gt;0,"Sí","No")</f>
        <v>Sí</v>
      </c>
      <c r="AL344" s="102" t="str">
        <f t="shared" si="139"/>
        <v>Descuento con tiempo límite en el asunto</v>
      </c>
      <c r="AM344" s="102" t="str">
        <f>IF(SUMPRODUCT(--ISNUMBER(SEARCH({"0","1","2","3","4","5","6","7","8","9","favorit","maquillaje","piel","cabello","productos","belleza","regalo"},E344)))&gt;0,"Sí","No")</f>
        <v>Sí</v>
      </c>
      <c r="AN344" s="102" t="str">
        <f>IF(SUMPRODUCT(--ISNUMBER(SEARCH({"lo que tenemos","estas ofertas","algo especial","ofertas únicas","que preparamos","no te quedes","echa un vistazo"},F344)))&gt;0,"Sí","No")</f>
        <v>No</v>
      </c>
      <c r="AO344" s="102">
        <f t="shared" si="140"/>
        <v>57</v>
      </c>
      <c r="AP344" s="102">
        <f t="shared" si="141"/>
        <v>10</v>
      </c>
      <c r="AQ344" s="102">
        <f>SUMPRODUCT(LEN(E344)-LEN(SUBSTITUTE(E344,{"!","¡","?","¿",":",",",".","%","·","-",";"},"")))</f>
        <v>3</v>
      </c>
      <c r="AR344" s="102" t="str">
        <f t="shared" si="142"/>
        <v>No</v>
      </c>
      <c r="AS344" s="102" t="str">
        <f t="shared" si="143"/>
        <v>No</v>
      </c>
      <c r="AT344" s="102" t="str">
        <f>IF(SUMPRODUCT(--ISNUMBER(FIND({"0","1","2","3","4","5","6","7","8","9"},E344)))&gt;0,"Con cifra concreta",IF(OR(ISNUMBER(FIND("?",E344)),ISNUMBER(FIND("¿",E344))),"Pregunta abierta",IF(SUMPRODUCT(--ISNUMBER(SEARCH({" hoy ","horas","tiempo limitado","antes de que","se acab","se agot","finalic","última oportunidad","oportunidad única","relámpago","express","no esperes","no volver","no parpadees"," ya ","últimas horas","últimas unidades"," ahora "},AF344)))&gt;0,"Solo urgencia, sin cifra",IF(SUMPRODUCT(--ISNUMBER(SEARCH({"recompensa","sorpresa","regalo","lealtad","detalle","gracias","pensamos en ti","para ti"},E344)))&gt;0,"Recompensa o sorpresa","Otro: beneficio o novedad"))))</f>
        <v>Solo urgencia, sin cifra</v>
      </c>
    </row>
    <row r="345" spans="1:46" x14ac:dyDescent="0.2">
      <c r="A345" s="96" t="s">
        <v>1216</v>
      </c>
      <c r="B345" s="96" t="s">
        <v>278</v>
      </c>
      <c r="C345" s="96" t="s">
        <v>869</v>
      </c>
      <c r="D345" s="96" t="s">
        <v>821</v>
      </c>
      <c r="E345" s="96" t="s">
        <v>367</v>
      </c>
      <c r="F345" s="96" t="s">
        <v>458</v>
      </c>
      <c r="G345" s="97">
        <v>405223</v>
      </c>
      <c r="H345" s="97">
        <v>166524</v>
      </c>
      <c r="I345" s="97">
        <v>61320</v>
      </c>
      <c r="J345" s="98">
        <v>2.93</v>
      </c>
      <c r="K345" s="98">
        <v>2.2799999999999998</v>
      </c>
      <c r="L345" s="99">
        <v>85075.29</v>
      </c>
      <c r="M345" s="100">
        <f t="shared" si="120"/>
        <v>41.094409744757826</v>
      </c>
      <c r="N345" s="100">
        <f t="shared" si="121"/>
        <v>15.132408575031524</v>
      </c>
      <c r="O345" s="100">
        <f t="shared" si="122"/>
        <v>36.823520933919433</v>
      </c>
      <c r="P345" s="100">
        <f t="shared" si="123"/>
        <v>209.94684408338125</v>
      </c>
      <c r="Q345" s="100">
        <f t="shared" si="124"/>
        <v>36.132518317209367</v>
      </c>
      <c r="R345" s="100">
        <f t="shared" si="125"/>
        <v>29.458247936272421</v>
      </c>
      <c r="S345" s="101">
        <f t="shared" si="126"/>
        <v>45917</v>
      </c>
      <c r="T345" s="102" t="str">
        <f t="shared" si="127"/>
        <v>Septiembre</v>
      </c>
      <c r="U345" s="102" t="str">
        <f t="shared" si="128"/>
        <v>Miércoles</v>
      </c>
      <c r="V345" s="102">
        <f t="shared" si="129"/>
        <v>8</v>
      </c>
      <c r="W345" s="102" t="str">
        <f t="shared" si="130"/>
        <v>Días después del pago</v>
      </c>
      <c r="X345" s="102">
        <f t="shared" si="131"/>
        <v>26</v>
      </c>
      <c r="Y345" s="102" t="str">
        <f t="shared" si="132"/>
        <v>Sí</v>
      </c>
      <c r="Z345" s="102" t="str">
        <f>CHOOSE(MATCH(B345,{"Customer Appreciation","Exclusive Offers","Flash Sale","Holiday Discounts","New Product Launch","Newsletter"},0),"Fidelizar","Vender","Vender","Vender","Lanzar","Educar")</f>
        <v>Lanzar</v>
      </c>
      <c r="AA345" s="102" t="str">
        <f t="shared" si="133"/>
        <v>Más de 400 mil</v>
      </c>
      <c r="AB345" s="102">
        <f>COUNTIFS($E$5:$E$493,E345,$S$5:$S$493,"&lt;"&amp;S345)+COUNTIFS($E$5:E345,E345,$S$5:S345,S345)</f>
        <v>11</v>
      </c>
      <c r="AC345" s="102">
        <f t="shared" si="134"/>
        <v>25</v>
      </c>
      <c r="AD345" s="102" t="str">
        <f t="shared" si="135"/>
        <v>Medio</v>
      </c>
      <c r="AE345" s="103">
        <f t="shared" si="136"/>
        <v>4.9618914275484585</v>
      </c>
      <c r="AF345" s="102" t="str">
        <f t="shared" si="137"/>
        <v xml:space="preserve">  el futuro de tu piel ha llegado  nuevo producto revolucionario </v>
      </c>
      <c r="AG345" s="102" t="str">
        <f t="shared" si="138"/>
        <v xml:space="preserve"> una fórmula revolucionaria para resultados visibles   compruébalo  </v>
      </c>
      <c r="AH345" s="102" t="str">
        <f>IF(SUMPRODUCT(--(LEFT(IF(LEFT(LOWER(E345),1)="¡",MID(LOWER(E345),2,300),LOWER(E345)),LEN({"actualizaci","el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345" s="102" t="str">
        <f>IF(OR(SUMPRODUCT(--ISNUMBER(SEARCH({"descuento","oferta","ahorr","precio"," sale ","flash","deals"},AF345)))&gt;0,SUMPRODUCT(--ISNUMBER(SEARCH({"descuento","oferta","ahorr","precio"," sale ","flash","deals"},AG345)))&gt;0),"Sí","No")</f>
        <v>No</v>
      </c>
      <c r="AJ345" s="102" t="str">
        <f>IF(SUMPRODUCT(--ISNUMBER(SEARCH({" hoy ","horas","tiempo limitado","antes de que","se acab","se agot","finalic","última oportunidad","oportunidad única","relámpago","express","no esperes","no volver","no parpadees"},AF345)))&gt;0,"Sí","No")</f>
        <v>No</v>
      </c>
      <c r="AK345" s="102" t="str">
        <f>IF(SUMPRODUCT(--ISNUMBER(SEARCH({" hoy ","horas","tiempo limitado","antes de que","se acab","se agot","finalic","última oportunidad","oportunidad única","relámpago","express","no esperes","no volver","no parpadees"},AG345)))&gt;0,"Sí","No")</f>
        <v>No</v>
      </c>
      <c r="AL345" s="102" t="str">
        <f t="shared" si="139"/>
        <v>Sin descuento</v>
      </c>
      <c r="AM345" s="102" t="str">
        <f>IF(SUMPRODUCT(--ISNUMBER(SEARCH({"0","1","2","3","4","5","6","7","8","9","favorit","maquillaje","piel","cabello","productos","belleza","regalo"},E345)))&gt;0,"Sí","No")</f>
        <v>Sí</v>
      </c>
      <c r="AN345" s="102" t="str">
        <f>IF(SUMPRODUCT(--ISNUMBER(SEARCH({"lo que tenemos","estas ofertas","algo especial","ofertas únicas","que preparamos","no te quedes","echa un vistazo"},F345)))&gt;0,"Sí","No")</f>
        <v>No</v>
      </c>
      <c r="AO345" s="102">
        <f t="shared" si="140"/>
        <v>63</v>
      </c>
      <c r="AP345" s="102">
        <f t="shared" si="141"/>
        <v>10</v>
      </c>
      <c r="AQ345" s="102">
        <f>SUMPRODUCT(LEN(E345)-LEN(SUBSTITUTE(E345,{"!","¡","?","¿",":",",",".","%","·","-",";"},"")))</f>
        <v>2</v>
      </c>
      <c r="AR345" s="102" t="str">
        <f t="shared" si="142"/>
        <v>No</v>
      </c>
      <c r="AS345" s="102" t="str">
        <f t="shared" si="143"/>
        <v>No</v>
      </c>
      <c r="AT345" s="102" t="str">
        <f>IF(SUMPRODUCT(--ISNUMBER(FIND({"0","1","2","3","4","5","6","7","8","9"},E345)))&gt;0,"Con cifra concreta",IF(OR(ISNUMBER(FIND("?",E345)),ISNUMBER(FIND("¿",E345))),"Pregunta abierta",IF(SUMPRODUCT(--ISNUMBER(SEARCH({" hoy ","horas","tiempo limitado","antes de que","se acab","se agot","finalic","última oportunidad","oportunidad única","relámpago","express","no esperes","no volver","no parpadees"," ya ","últimas horas","últimas unidades"," ahora "},AF345)))&gt;0,"Solo urgencia, sin cifra",IF(SUMPRODUCT(--ISNUMBER(SEARCH({"recompensa","sorpresa","regalo","lealtad","detalle","gracias","pensamos en ti","para ti"},E345)))&gt;0,"Recompensa o sorpresa","Otro: beneficio o novedad"))))</f>
        <v>Otro: beneficio o novedad</v>
      </c>
    </row>
    <row r="346" spans="1:46" x14ac:dyDescent="0.2">
      <c r="A346" s="104" t="s">
        <v>1217</v>
      </c>
      <c r="B346" s="104" t="s">
        <v>279</v>
      </c>
      <c r="C346" s="104" t="s">
        <v>944</v>
      </c>
      <c r="D346" s="104" t="s">
        <v>794</v>
      </c>
      <c r="E346" s="104" t="s">
        <v>472</v>
      </c>
      <c r="F346" s="104" t="s">
        <v>473</v>
      </c>
      <c r="G346" s="105">
        <v>252936</v>
      </c>
      <c r="H346" s="105">
        <v>43306</v>
      </c>
      <c r="I346" s="105">
        <v>17807</v>
      </c>
      <c r="J346" s="106">
        <v>5.36</v>
      </c>
      <c r="K346" s="106">
        <v>0.97</v>
      </c>
      <c r="L346" s="107">
        <v>82539.64</v>
      </c>
      <c r="M346" s="108">
        <f t="shared" si="120"/>
        <v>17.121327134136699</v>
      </c>
      <c r="N346" s="108">
        <f t="shared" si="121"/>
        <v>7.0401208210772683</v>
      </c>
      <c r="O346" s="108">
        <f t="shared" si="122"/>
        <v>41.119013531612246</v>
      </c>
      <c r="P346" s="108">
        <f t="shared" si="123"/>
        <v>326.32618528007083</v>
      </c>
      <c r="Q346" s="108">
        <f t="shared" si="124"/>
        <v>22.891293825435607</v>
      </c>
      <c r="R346" s="108">
        <f t="shared" si="125"/>
        <v>27.75136451093497</v>
      </c>
      <c r="S346" s="101">
        <f t="shared" si="126"/>
        <v>45943</v>
      </c>
      <c r="T346" s="102" t="str">
        <f t="shared" si="127"/>
        <v>Octubre</v>
      </c>
      <c r="U346" s="102" t="str">
        <f t="shared" si="128"/>
        <v>Lunes</v>
      </c>
      <c r="V346" s="102">
        <f t="shared" si="129"/>
        <v>12</v>
      </c>
      <c r="W346" s="102" t="str">
        <f t="shared" si="130"/>
        <v>Resto del mes</v>
      </c>
      <c r="X346" s="102">
        <f t="shared" si="131"/>
        <v>23</v>
      </c>
      <c r="Y346" s="102" t="str">
        <f t="shared" si="132"/>
        <v>Sí</v>
      </c>
      <c r="Z346" s="102" t="str">
        <f>CHOOSE(MATCH(B346,{"Customer Appreciation","Exclusive Offers","Flash Sale","Holiday Discounts","New Product Launch","Newsletter"},0),"Fidelizar","Vender","Vender","Vender","Lanzar","Educar")</f>
        <v>Educar</v>
      </c>
      <c r="AA346" s="102" t="str">
        <f t="shared" si="133"/>
        <v>200 a 300 mil</v>
      </c>
      <c r="AB346" s="102">
        <f>COUNTIFS($E$5:$E$493,E346,$S$5:$S$493,"&lt;"&amp;S346)+COUNTIFS($E$5:E346,E346,$S$5:S346,S346)</f>
        <v>17</v>
      </c>
      <c r="AC346" s="102">
        <f t="shared" si="134"/>
        <v>22</v>
      </c>
      <c r="AD346" s="102" t="str">
        <f t="shared" si="135"/>
        <v>Último tercio</v>
      </c>
      <c r="AE346" s="103">
        <f t="shared" si="136"/>
        <v>-5.769966691298908</v>
      </c>
      <c r="AF346" s="102" t="str">
        <f t="shared" si="137"/>
        <v xml:space="preserve"> tu dosis semanal de belleza  novedades y tips </v>
      </c>
      <c r="AG346" s="102" t="str">
        <f t="shared" si="138"/>
        <v xml:space="preserve"> novedades  tips y más para tu rutina diaria   entra ya  </v>
      </c>
      <c r="AH346" s="102" t="str">
        <f>IF(SUMPRODUCT(--(LEFT(IF(LEFT(LOWER(E346),1)="¡",MID(LOWER(E346),2,300),LOWER(E346)),LEN({"actualizaci","el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346" s="102" t="str">
        <f>IF(OR(SUMPRODUCT(--ISNUMBER(SEARCH({"descuento","oferta","ahorr","precio"," sale ","flash","deals"},AF346)))&gt;0,SUMPRODUCT(--ISNUMBER(SEARCH({"descuento","oferta","ahorr","precio"," sale ","flash","deals"},AG346)))&gt;0),"Sí","No")</f>
        <v>No</v>
      </c>
      <c r="AJ346" s="102" t="str">
        <f>IF(SUMPRODUCT(--ISNUMBER(SEARCH({" hoy ","horas","tiempo limitado","antes de que","se acab","se agot","finalic","última oportunidad","oportunidad única","relámpago","express","no esperes","no volver","no parpadees"},AF346)))&gt;0,"Sí","No")</f>
        <v>No</v>
      </c>
      <c r="AK346" s="102" t="str">
        <f>IF(SUMPRODUCT(--ISNUMBER(SEARCH({" hoy ","horas","tiempo limitado","antes de que","se acab","se agot","finalic","última oportunidad","oportunidad única","relámpago","express","no esperes","no volver","no parpadees"},AG346)))&gt;0,"Sí","No")</f>
        <v>No</v>
      </c>
      <c r="AL346" s="102" t="str">
        <f t="shared" si="139"/>
        <v>Sin descuento</v>
      </c>
      <c r="AM346" s="102" t="str">
        <f>IF(SUMPRODUCT(--ISNUMBER(SEARCH({"0","1","2","3","4","5","6","7","8","9","favorit","maquillaje","piel","cabello","productos","belleza","regalo"},E346)))&gt;0,"Sí","No")</f>
        <v>Sí</v>
      </c>
      <c r="AN346" s="102" t="str">
        <f>IF(SUMPRODUCT(--ISNUMBER(SEARCH({"lo que tenemos","estas ofertas","algo especial","ofertas únicas","que preparamos","no te quedes","echa un vistazo"},F346)))&gt;0,"Sí","No")</f>
        <v>No</v>
      </c>
      <c r="AO346" s="102">
        <f t="shared" si="140"/>
        <v>45</v>
      </c>
      <c r="AP346" s="102">
        <f t="shared" si="141"/>
        <v>8</v>
      </c>
      <c r="AQ346" s="102">
        <f>SUMPRODUCT(LEN(E346)-LEN(SUBSTITUTE(E346,{"!","¡","?","¿",":",",",".","%","·","-",";"},"")))</f>
        <v>1</v>
      </c>
      <c r="AR346" s="102" t="str">
        <f t="shared" si="142"/>
        <v>Sí</v>
      </c>
      <c r="AS346" s="102" t="str">
        <f t="shared" si="143"/>
        <v>No</v>
      </c>
      <c r="AT346" s="102" t="str">
        <f>IF(SUMPRODUCT(--ISNUMBER(FIND({"0","1","2","3","4","5","6","7","8","9"},E346)))&gt;0,"Con cifra concreta",IF(OR(ISNUMBER(FIND("?",E346)),ISNUMBER(FIND("¿",E346))),"Pregunta abierta",IF(SUMPRODUCT(--ISNUMBER(SEARCH({" hoy ","horas","tiempo limitado","antes de que","se acab","se agot","finalic","última oportunidad","oportunidad única","relámpago","express","no esperes","no volver","no parpadees"," ya ","últimas horas","últimas unidades"," ahora "},AF346)))&gt;0,"Solo urgencia, sin cifra",IF(SUMPRODUCT(--ISNUMBER(SEARCH({"recompensa","sorpresa","regalo","lealtad","detalle","gracias","pensamos en ti","para ti"},E346)))&gt;0,"Recompensa o sorpresa","Otro: beneficio o novedad"))))</f>
        <v>Otro: beneficio o novedad</v>
      </c>
    </row>
    <row r="347" spans="1:46" x14ac:dyDescent="0.2">
      <c r="A347" s="96" t="s">
        <v>1218</v>
      </c>
      <c r="B347" s="96" t="s">
        <v>278</v>
      </c>
      <c r="C347" s="96" t="s">
        <v>889</v>
      </c>
      <c r="D347" s="96" t="s">
        <v>761</v>
      </c>
      <c r="E347" s="96" t="s">
        <v>467</v>
      </c>
      <c r="F347" s="96" t="s">
        <v>468</v>
      </c>
      <c r="G347" s="97">
        <v>319088</v>
      </c>
      <c r="H347" s="97">
        <v>62952</v>
      </c>
      <c r="I347" s="97">
        <v>3287</v>
      </c>
      <c r="J347" s="98">
        <v>5.52</v>
      </c>
      <c r="K347" s="98">
        <v>1.28</v>
      </c>
      <c r="L347" s="99">
        <v>71144.490000000005</v>
      </c>
      <c r="M347" s="100">
        <f t="shared" si="120"/>
        <v>19.728726871584016</v>
      </c>
      <c r="N347" s="100">
        <f t="shared" si="121"/>
        <v>1.030123351551923</v>
      </c>
      <c r="O347" s="100">
        <f t="shared" si="122"/>
        <v>5.2214385563604013</v>
      </c>
      <c r="P347" s="100">
        <f t="shared" si="123"/>
        <v>222.96197287268717</v>
      </c>
      <c r="Q347" s="100">
        <f t="shared" si="124"/>
        <v>30.93688234168668</v>
      </c>
      <c r="R347" s="100">
        <f t="shared" si="125"/>
        <v>29.458247936272421</v>
      </c>
      <c r="S347" s="101">
        <f t="shared" si="126"/>
        <v>45908</v>
      </c>
      <c r="T347" s="102" t="str">
        <f t="shared" si="127"/>
        <v>Septiembre</v>
      </c>
      <c r="U347" s="102" t="str">
        <f t="shared" si="128"/>
        <v>Lunes</v>
      </c>
      <c r="V347" s="102">
        <f t="shared" si="129"/>
        <v>10</v>
      </c>
      <c r="W347" s="102" t="str">
        <f t="shared" si="130"/>
        <v>Resto del mes</v>
      </c>
      <c r="X347" s="102">
        <f t="shared" si="131"/>
        <v>28</v>
      </c>
      <c r="Y347" s="102" t="str">
        <f t="shared" si="132"/>
        <v>Sí</v>
      </c>
      <c r="Z347" s="102" t="str">
        <f>CHOOSE(MATCH(B347,{"Customer Appreciation","Exclusive Offers","Flash Sale","Holiday Discounts","New Product Launch","Newsletter"},0),"Fidelizar","Vender","Vender","Vender","Lanzar","Educar")</f>
        <v>Lanzar</v>
      </c>
      <c r="AA347" s="102" t="str">
        <f t="shared" si="133"/>
        <v>300 a 400 mil</v>
      </c>
      <c r="AB347" s="102">
        <f>COUNTIFS($E$5:$E$493,E347,$S$5:$S$493,"&lt;"&amp;S347)+COUNTIFS($E$5:E347,E347,$S$5:S347,S347)</f>
        <v>10</v>
      </c>
      <c r="AC347" s="102">
        <f t="shared" si="134"/>
        <v>22</v>
      </c>
      <c r="AD347" s="102" t="str">
        <f t="shared" si="135"/>
        <v>Medio</v>
      </c>
      <c r="AE347" s="103">
        <f t="shared" si="136"/>
        <v>-11.208155470102664</v>
      </c>
      <c r="AF347" s="102" t="str">
        <f t="shared" si="137"/>
        <v xml:space="preserve">  lo nuevo de l'oréal  te va a encantar  innovación en belleza </v>
      </c>
      <c r="AG347" s="102" t="str">
        <f t="shared" si="138"/>
        <v xml:space="preserve"> prepárate para experimentar la innovación en tu belleza   descúbrela  </v>
      </c>
      <c r="AH347" s="102" t="str">
        <f>IF(SUMPRODUCT(--(LEFT(IF(LEFT(LOWER(E347),1)="¡",MID(LOWER(E347),2,300),LOWER(E347)),LEN({"actualizaci","el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347" s="102" t="str">
        <f>IF(OR(SUMPRODUCT(--ISNUMBER(SEARCH({"descuento","oferta","ahorr","precio"," sale ","flash","deals"},AF347)))&gt;0,SUMPRODUCT(--ISNUMBER(SEARCH({"descuento","oferta","ahorr","precio"," sale ","flash","deals"},AG347)))&gt;0),"Sí","No")</f>
        <v>No</v>
      </c>
      <c r="AJ347" s="102" t="str">
        <f>IF(SUMPRODUCT(--ISNUMBER(SEARCH({" hoy ","horas","tiempo limitado","antes de que","se acab","se agot","finalic","última oportunidad","oportunidad única","relámpago","express","no esperes","no volver","no parpadees"},AF347)))&gt;0,"Sí","No")</f>
        <v>No</v>
      </c>
      <c r="AK347" s="102" t="str">
        <f>IF(SUMPRODUCT(--ISNUMBER(SEARCH({" hoy ","horas","tiempo limitado","antes de que","se acab","se agot","finalic","última oportunidad","oportunidad única","relámpago","express","no esperes","no volver","no parpadees"},AG347)))&gt;0,"Sí","No")</f>
        <v>No</v>
      </c>
      <c r="AL347" s="102" t="str">
        <f t="shared" si="139"/>
        <v>Sin descuento</v>
      </c>
      <c r="AM347" s="102" t="str">
        <f>IF(SUMPRODUCT(--ISNUMBER(SEARCH({"0","1","2","3","4","5","6","7","8","9","favorit","maquillaje","piel","cabello","productos","belleza","regalo"},E347)))&gt;0,"Sí","No")</f>
        <v>Sí</v>
      </c>
      <c r="AN347" s="102" t="str">
        <f>IF(SUMPRODUCT(--ISNUMBER(SEARCH({"lo que tenemos","estas ofertas","algo especial","ofertas únicas","que preparamos","no te quedes","echa un vistazo"},F347)))&gt;0,"Sí","No")</f>
        <v>No</v>
      </c>
      <c r="AO347" s="102">
        <f t="shared" si="140"/>
        <v>61</v>
      </c>
      <c r="AP347" s="102">
        <f t="shared" si="141"/>
        <v>11</v>
      </c>
      <c r="AQ347" s="102">
        <f>SUMPRODUCT(LEN(E347)-LEN(SUBSTITUTE(E347,{"!","¡","?","¿",":",",",".","%","·","-",";"},"")))</f>
        <v>3</v>
      </c>
      <c r="AR347" s="102" t="str">
        <f t="shared" si="142"/>
        <v>No</v>
      </c>
      <c r="AS347" s="102" t="str">
        <f t="shared" si="143"/>
        <v>No</v>
      </c>
      <c r="AT347" s="102" t="str">
        <f>IF(SUMPRODUCT(--ISNUMBER(FIND({"0","1","2","3","4","5","6","7","8","9"},E347)))&gt;0,"Con cifra concreta",IF(OR(ISNUMBER(FIND("?",E347)),ISNUMBER(FIND("¿",E347))),"Pregunta abierta",IF(SUMPRODUCT(--ISNUMBER(SEARCH({" hoy ","horas","tiempo limitado","antes de que","se acab","se agot","finalic","última oportunidad","oportunidad única","relámpago","express","no esperes","no volver","no parpadees"," ya ","últimas horas","últimas unidades"," ahora "},AF347)))&gt;0,"Solo urgencia, sin cifra",IF(SUMPRODUCT(--ISNUMBER(SEARCH({"recompensa","sorpresa","regalo","lealtad","detalle","gracias","pensamos en ti","para ti"},E347)))&gt;0,"Recompensa o sorpresa","Otro: beneficio o novedad"))))</f>
        <v>Otro: beneficio o novedad</v>
      </c>
    </row>
    <row r="348" spans="1:46" x14ac:dyDescent="0.2">
      <c r="A348" s="104" t="s">
        <v>1219</v>
      </c>
      <c r="B348" s="104" t="s">
        <v>277</v>
      </c>
      <c r="C348" s="104" t="s">
        <v>891</v>
      </c>
      <c r="D348" s="104" t="s">
        <v>786</v>
      </c>
      <c r="E348" s="104" t="s">
        <v>461</v>
      </c>
      <c r="F348" s="104" t="s">
        <v>462</v>
      </c>
      <c r="G348" s="105">
        <v>43730</v>
      </c>
      <c r="H348" s="105">
        <v>14798</v>
      </c>
      <c r="I348" s="105">
        <v>8738</v>
      </c>
      <c r="J348" s="106">
        <v>4.78</v>
      </c>
      <c r="K348" s="106">
        <v>2.0699999999999998</v>
      </c>
      <c r="L348" s="107">
        <v>39237.56</v>
      </c>
      <c r="M348" s="108">
        <f t="shared" si="120"/>
        <v>33.83946947175852</v>
      </c>
      <c r="N348" s="108">
        <f t="shared" si="121"/>
        <v>19.981705922707523</v>
      </c>
      <c r="O348" s="108">
        <f t="shared" si="122"/>
        <v>59.048520070279764</v>
      </c>
      <c r="P348" s="108">
        <f t="shared" si="123"/>
        <v>897.26869426023313</v>
      </c>
      <c r="Q348" s="108">
        <f t="shared" si="124"/>
        <v>35.409886702202286</v>
      </c>
      <c r="R348" s="108">
        <f t="shared" si="125"/>
        <v>30.71114383300629</v>
      </c>
      <c r="S348" s="101">
        <f t="shared" si="126"/>
        <v>45888</v>
      </c>
      <c r="T348" s="102" t="str">
        <f t="shared" si="127"/>
        <v>Agosto</v>
      </c>
      <c r="U348" s="102" t="str">
        <f t="shared" si="128"/>
        <v>Martes</v>
      </c>
      <c r="V348" s="102">
        <f t="shared" si="129"/>
        <v>15</v>
      </c>
      <c r="W348" s="102" t="str">
        <f t="shared" si="130"/>
        <v>Días después del pago</v>
      </c>
      <c r="X348" s="102">
        <f t="shared" si="131"/>
        <v>29</v>
      </c>
      <c r="Y348" s="102" t="str">
        <f t="shared" si="132"/>
        <v>Sí</v>
      </c>
      <c r="Z348" s="102" t="str">
        <f>CHOOSE(MATCH(B348,{"Customer Appreciation","Exclusive Offers","Flash Sale","Holiday Discounts","New Product Launch","Newsletter"},0),"Fidelizar","Vender","Vender","Vender","Lanzar","Educar")</f>
        <v>Vender</v>
      </c>
      <c r="AA348" s="102" t="str">
        <f t="shared" si="133"/>
        <v>Menos de 100 mil</v>
      </c>
      <c r="AB348" s="102">
        <f>COUNTIFS($E$5:$E$493,E348,$S$5:$S$493,"&lt;"&amp;S348)+COUNTIFS($E$5:E348,E348,$S$5:S348,S348)</f>
        <v>6</v>
      </c>
      <c r="AC348" s="102">
        <f t="shared" si="134"/>
        <v>30</v>
      </c>
      <c r="AD348" s="102" t="str">
        <f t="shared" si="135"/>
        <v>Primer tercio</v>
      </c>
      <c r="AE348" s="103">
        <f t="shared" si="136"/>
        <v>-1.5704172304437662</v>
      </c>
      <c r="AF348" s="102" t="str">
        <f t="shared" si="137"/>
        <v xml:space="preserve">  regalos perfectos te esperan  descuentos de lujo  l'oréal </v>
      </c>
      <c r="AG348" s="102" t="str">
        <f t="shared" si="138"/>
        <v xml:space="preserve"> encuentra ese detalle especial para ti o tus seres queridos   descubre  </v>
      </c>
      <c r="AH348" s="102" t="str">
        <f>IF(SUMPRODUCT(--(LEFT(IF(LEFT(LOWER(E348),1)="¡",MID(LOWER(E348),2,300),LOWER(E348)),LEN({"actualizaci","el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348" s="102" t="str">
        <f>IF(OR(SUMPRODUCT(--ISNUMBER(SEARCH({"descuento","oferta","ahorr","precio"," sale ","flash","deals"},AF348)))&gt;0,SUMPRODUCT(--ISNUMBER(SEARCH({"descuento","oferta","ahorr","precio"," sale ","flash","deals"},AG348)))&gt;0),"Sí","No")</f>
        <v>Sí</v>
      </c>
      <c r="AJ348" s="102" t="str">
        <f>IF(SUMPRODUCT(--ISNUMBER(SEARCH({" hoy ","horas","tiempo limitado","antes de que","se acab","se agot","finalic","última oportunidad","oportunidad única","relámpago","express","no esperes","no volver","no parpadees"},AF348)))&gt;0,"Sí","No")</f>
        <v>No</v>
      </c>
      <c r="AK348" s="102" t="str">
        <f>IF(SUMPRODUCT(--ISNUMBER(SEARCH({" hoy ","horas","tiempo limitado","antes de que","se acab","se agot","finalic","última oportunidad","oportunidad única","relámpago","express","no esperes","no volver","no parpadees"},AG348)))&gt;0,"Sí","No")</f>
        <v>No</v>
      </c>
      <c r="AL348" s="102" t="str">
        <f t="shared" si="139"/>
        <v>Descuento sin tiempo límite</v>
      </c>
      <c r="AM348" s="102" t="str">
        <f>IF(SUMPRODUCT(--ISNUMBER(SEARCH({"0","1","2","3","4","5","6","7","8","9","favorit","maquillaje","piel","cabello","productos","belleza","regalo"},E348)))&gt;0,"Sí","No")</f>
        <v>Sí</v>
      </c>
      <c r="AN348" s="102" t="str">
        <f>IF(SUMPRODUCT(--ISNUMBER(SEARCH({"lo que tenemos","estas ofertas","algo especial","ofertas únicas","que preparamos","no te quedes","echa un vistazo"},F348)))&gt;0,"Sí","No")</f>
        <v>No</v>
      </c>
      <c r="AO348" s="102">
        <f t="shared" si="140"/>
        <v>58</v>
      </c>
      <c r="AP348" s="102">
        <f t="shared" si="141"/>
        <v>8</v>
      </c>
      <c r="AQ348" s="102">
        <f>SUMPRODUCT(LEN(E348)-LEN(SUBSTITUTE(E348,{"!","¡","?","¿",":",",",".","%","·","-",";"},"")))</f>
        <v>3</v>
      </c>
      <c r="AR348" s="102" t="str">
        <f t="shared" si="142"/>
        <v>Sí</v>
      </c>
      <c r="AS348" s="102" t="str">
        <f t="shared" si="143"/>
        <v>No</v>
      </c>
      <c r="AT348" s="102" t="str">
        <f>IF(SUMPRODUCT(--ISNUMBER(FIND({"0","1","2","3","4","5","6","7","8","9"},E348)))&gt;0,"Con cifra concreta",IF(OR(ISNUMBER(FIND("?",E348)),ISNUMBER(FIND("¿",E348))),"Pregunta abierta",IF(SUMPRODUCT(--ISNUMBER(SEARCH({" hoy ","horas","tiempo limitado","antes de que","se acab","se agot","finalic","última oportunidad","oportunidad única","relámpago","express","no esperes","no volver","no parpadees"," ya ","últimas horas","últimas unidades"," ahora "},AF348)))&gt;0,"Solo urgencia, sin cifra",IF(SUMPRODUCT(--ISNUMBER(SEARCH({"recompensa","sorpresa","regalo","lealtad","detalle","gracias","pensamos en ti","para ti"},E348)))&gt;0,"Recompensa o sorpresa","Otro: beneficio o novedad"))))</f>
        <v>Recompensa o sorpresa</v>
      </c>
    </row>
    <row r="349" spans="1:46" x14ac:dyDescent="0.2">
      <c r="A349" s="96" t="s">
        <v>1220</v>
      </c>
      <c r="B349" s="96" t="s">
        <v>279</v>
      </c>
      <c r="C349" s="96" t="s">
        <v>915</v>
      </c>
      <c r="D349" s="96" t="s">
        <v>769</v>
      </c>
      <c r="E349" s="96" t="s">
        <v>369</v>
      </c>
      <c r="F349" s="96" t="s">
        <v>457</v>
      </c>
      <c r="G349" s="97">
        <v>391146</v>
      </c>
      <c r="H349" s="97">
        <v>175024</v>
      </c>
      <c r="I349" s="97">
        <v>33463</v>
      </c>
      <c r="J349" s="98">
        <v>5.56</v>
      </c>
      <c r="K349" s="98">
        <v>3.11</v>
      </c>
      <c r="L349" s="99">
        <v>29281.23</v>
      </c>
      <c r="M349" s="100">
        <f t="shared" si="120"/>
        <v>44.746462957565718</v>
      </c>
      <c r="N349" s="100">
        <f t="shared" si="121"/>
        <v>8.5551175264479244</v>
      </c>
      <c r="O349" s="100">
        <f t="shared" si="122"/>
        <v>19.119092238778681</v>
      </c>
      <c r="P349" s="100">
        <f t="shared" si="123"/>
        <v>74.860103388504541</v>
      </c>
      <c r="Q349" s="100">
        <f t="shared" si="124"/>
        <v>36.827379346292652</v>
      </c>
      <c r="R349" s="100">
        <f t="shared" si="125"/>
        <v>27.75136451093497</v>
      </c>
      <c r="S349" s="101">
        <f t="shared" si="126"/>
        <v>45954</v>
      </c>
      <c r="T349" s="102" t="str">
        <f t="shared" si="127"/>
        <v>Octubre</v>
      </c>
      <c r="U349" s="102" t="str">
        <f t="shared" si="128"/>
        <v>Viernes</v>
      </c>
      <c r="V349" s="102">
        <f t="shared" si="129"/>
        <v>13</v>
      </c>
      <c r="W349" s="102" t="str">
        <f t="shared" si="130"/>
        <v>Resto del mes</v>
      </c>
      <c r="X349" s="102">
        <f t="shared" si="131"/>
        <v>29</v>
      </c>
      <c r="Y349" s="102" t="str">
        <f t="shared" si="132"/>
        <v>Sí</v>
      </c>
      <c r="Z349" s="102" t="str">
        <f>CHOOSE(MATCH(B349,{"Customer Appreciation","Exclusive Offers","Flash Sale","Holiday Discounts","New Product Launch","Newsletter"},0),"Fidelizar","Vender","Vender","Vender","Lanzar","Educar")</f>
        <v>Educar</v>
      </c>
      <c r="AA349" s="102" t="str">
        <f t="shared" si="133"/>
        <v>300 a 400 mil</v>
      </c>
      <c r="AB349" s="102">
        <f>COUNTIFS($E$5:$E$493,E349,$S$5:$S$493,"&lt;"&amp;S349)+COUNTIFS($E$5:E349,E349,$S$5:S349,S349)</f>
        <v>16</v>
      </c>
      <c r="AC349" s="102">
        <f t="shared" si="134"/>
        <v>19</v>
      </c>
      <c r="AD349" s="102" t="str">
        <f t="shared" si="135"/>
        <v>Último tercio</v>
      </c>
      <c r="AE349" s="103">
        <f t="shared" si="136"/>
        <v>7.9190836112730665</v>
      </c>
      <c r="AF349" s="102" t="str">
        <f t="shared" si="137"/>
        <v xml:space="preserve"> lo último en l'oréal  mantente informad@ de las novedades </v>
      </c>
      <c r="AG349" s="102" t="str">
        <f t="shared" si="138"/>
        <v xml:space="preserve"> descubre las novedades y tips de la semana   entra ya  </v>
      </c>
      <c r="AH349" s="102" t="str">
        <f>IF(SUMPRODUCT(--(LEFT(IF(LEFT(LOWER(E349),1)="¡",MID(LOWER(E349),2,300),LOWER(E349)),LEN({"actualizaci","el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349" s="102" t="str">
        <f>IF(OR(SUMPRODUCT(--ISNUMBER(SEARCH({"descuento","oferta","ahorr","precio"," sale ","flash","deals"},AF349)))&gt;0,SUMPRODUCT(--ISNUMBER(SEARCH({"descuento","oferta","ahorr","precio"," sale ","flash","deals"},AG349)))&gt;0),"Sí","No")</f>
        <v>No</v>
      </c>
      <c r="AJ349" s="102" t="str">
        <f>IF(SUMPRODUCT(--ISNUMBER(SEARCH({" hoy ","horas","tiempo limitado","antes de que","se acab","se agot","finalic","última oportunidad","oportunidad única","relámpago","express","no esperes","no volver","no parpadees"},AF349)))&gt;0,"Sí","No")</f>
        <v>No</v>
      </c>
      <c r="AK349" s="102" t="str">
        <f>IF(SUMPRODUCT(--ISNUMBER(SEARCH({" hoy ","horas","tiempo limitado","antes de que","se acab","se agot","finalic","última oportunidad","oportunidad única","relámpago","express","no esperes","no volver","no parpadees"},AG349)))&gt;0,"Sí","No")</f>
        <v>No</v>
      </c>
      <c r="AL349" s="102" t="str">
        <f t="shared" si="139"/>
        <v>Sin descuento</v>
      </c>
      <c r="AM349" s="102" t="str">
        <f>IF(SUMPRODUCT(--ISNUMBER(SEARCH({"0","1","2","3","4","5","6","7","8","9","favorit","maquillaje","piel","cabello","productos","belleza","regalo"},E349)))&gt;0,"Sí","No")</f>
        <v>No</v>
      </c>
      <c r="AN349" s="102" t="str">
        <f>IF(SUMPRODUCT(--ISNUMBER(SEARCH({"lo que tenemos","estas ofertas","algo especial","ofertas únicas","que preparamos","no te quedes","echa un vistazo"},F349)))&gt;0,"Sí","No")</f>
        <v>No</v>
      </c>
      <c r="AO349" s="102">
        <f t="shared" si="140"/>
        <v>57</v>
      </c>
      <c r="AP349" s="102">
        <f t="shared" si="141"/>
        <v>9</v>
      </c>
      <c r="AQ349" s="102">
        <f>SUMPRODUCT(LEN(E349)-LEN(SUBSTITUTE(E349,{"!","¡","?","¿",":",",",".","%","·","-",";"},"")))</f>
        <v>1</v>
      </c>
      <c r="AR349" s="102" t="str">
        <f t="shared" si="142"/>
        <v>Sí</v>
      </c>
      <c r="AS349" s="102" t="str">
        <f t="shared" si="143"/>
        <v>No</v>
      </c>
      <c r="AT349" s="102" t="str">
        <f>IF(SUMPRODUCT(--ISNUMBER(FIND({"0","1","2","3","4","5","6","7","8","9"},E349)))&gt;0,"Con cifra concreta",IF(OR(ISNUMBER(FIND("?",E349)),ISNUMBER(FIND("¿",E349))),"Pregunta abierta",IF(SUMPRODUCT(--ISNUMBER(SEARCH({" hoy ","horas","tiempo limitado","antes de que","se acab","se agot","finalic","última oportunidad","oportunidad única","relámpago","express","no esperes","no volver","no parpadees"," ya ","últimas horas","últimas unidades"," ahora "},AF349)))&gt;0,"Solo urgencia, sin cifra",IF(SUMPRODUCT(--ISNUMBER(SEARCH({"recompensa","sorpresa","regalo","lealtad","detalle","gracias","pensamos en ti","para ti"},E349)))&gt;0,"Recompensa o sorpresa","Otro: beneficio o novedad"))))</f>
        <v>Otro: beneficio o novedad</v>
      </c>
    </row>
    <row r="350" spans="1:46" x14ac:dyDescent="0.2">
      <c r="A350" s="104" t="s">
        <v>1221</v>
      </c>
      <c r="B350" s="104" t="s">
        <v>279</v>
      </c>
      <c r="C350" s="104" t="s">
        <v>923</v>
      </c>
      <c r="D350" s="104" t="s">
        <v>729</v>
      </c>
      <c r="E350" s="104" t="s">
        <v>463</v>
      </c>
      <c r="F350" s="104" t="s">
        <v>464</v>
      </c>
      <c r="G350" s="105">
        <v>48920</v>
      </c>
      <c r="H350" s="105">
        <v>13369</v>
      </c>
      <c r="I350" s="105">
        <v>7261</v>
      </c>
      <c r="J350" s="106">
        <v>5.36</v>
      </c>
      <c r="K350" s="106">
        <v>4.95</v>
      </c>
      <c r="L350" s="107">
        <v>20975.22</v>
      </c>
      <c r="M350" s="108">
        <f t="shared" si="120"/>
        <v>27.328291087489781</v>
      </c>
      <c r="N350" s="108">
        <f t="shared" si="121"/>
        <v>14.842600163532296</v>
      </c>
      <c r="O350" s="108">
        <f t="shared" si="122"/>
        <v>54.31221482534221</v>
      </c>
      <c r="P350" s="108">
        <f t="shared" si="123"/>
        <v>428.76573998364682</v>
      </c>
      <c r="Q350" s="108">
        <f t="shared" si="124"/>
        <v>33.412775116147934</v>
      </c>
      <c r="R350" s="108">
        <f t="shared" si="125"/>
        <v>27.75136451093497</v>
      </c>
      <c r="S350" s="101">
        <f t="shared" si="126"/>
        <v>45873</v>
      </c>
      <c r="T350" s="102" t="str">
        <f t="shared" si="127"/>
        <v>Agosto</v>
      </c>
      <c r="U350" s="102" t="str">
        <f t="shared" si="128"/>
        <v>Lunes</v>
      </c>
      <c r="V350" s="102">
        <f t="shared" si="129"/>
        <v>10</v>
      </c>
      <c r="W350" s="102" t="str">
        <f t="shared" si="130"/>
        <v>Días después del pago</v>
      </c>
      <c r="X350" s="102">
        <f t="shared" si="131"/>
        <v>24</v>
      </c>
      <c r="Y350" s="102" t="str">
        <f t="shared" si="132"/>
        <v>Sí</v>
      </c>
      <c r="Z350" s="102" t="str">
        <f>CHOOSE(MATCH(B350,{"Customer Appreciation","Exclusive Offers","Flash Sale","Holiday Discounts","New Product Launch","Newsletter"},0),"Fidelizar","Vender","Vender","Vender","Lanzar","Educar")</f>
        <v>Educar</v>
      </c>
      <c r="AA350" s="102" t="str">
        <f t="shared" si="133"/>
        <v>Menos de 100 mil</v>
      </c>
      <c r="AB350" s="102">
        <f>COUNTIFS($E$5:$E$493,E350,$S$5:$S$493,"&lt;"&amp;S350)+COUNTIFS($E$5:E350,E350,$S$5:S350,S350)</f>
        <v>3</v>
      </c>
      <c r="AC350" s="102">
        <f t="shared" si="134"/>
        <v>25</v>
      </c>
      <c r="AD350" s="102" t="str">
        <f t="shared" si="135"/>
        <v>Primer tercio</v>
      </c>
      <c r="AE350" s="103">
        <f t="shared" si="136"/>
        <v>-6.084484028658153</v>
      </c>
      <c r="AF350" s="102" t="str">
        <f t="shared" si="137"/>
        <v xml:space="preserve"> tu dosis de belleza   no te lo pierdas  tips y trucos </v>
      </c>
      <c r="AG350" s="102" t="str">
        <f t="shared" si="138"/>
        <v xml:space="preserve"> consejos expertos  tendencias y más en tu bandeja de entrada   descúbrelo  </v>
      </c>
      <c r="AH350" s="102" t="str">
        <f>IF(SUMPRODUCT(--(LEFT(IF(LEFT(LOWER(E350),1)="¡",MID(LOWER(E350),2,300),LOWER(E350)),LEN({"actualizaci","el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350" s="102" t="str">
        <f>IF(OR(SUMPRODUCT(--ISNUMBER(SEARCH({"descuento","oferta","ahorr","precio"," sale ","flash","deals"},AF350)))&gt;0,SUMPRODUCT(--ISNUMBER(SEARCH({"descuento","oferta","ahorr","precio"," sale ","flash","deals"},AG350)))&gt;0),"Sí","No")</f>
        <v>No</v>
      </c>
      <c r="AJ350" s="102" t="str">
        <f>IF(SUMPRODUCT(--ISNUMBER(SEARCH({" hoy ","horas","tiempo limitado","antes de que","se acab","se agot","finalic","última oportunidad","oportunidad única","relámpago","express","no esperes","no volver","no parpadees"},AF350)))&gt;0,"Sí","No")</f>
        <v>No</v>
      </c>
      <c r="AK350" s="102" t="str">
        <f>IF(SUMPRODUCT(--ISNUMBER(SEARCH({" hoy ","horas","tiempo limitado","antes de que","se acab","se agot","finalic","última oportunidad","oportunidad única","relámpago","express","no esperes","no volver","no parpadees"},AG350)))&gt;0,"Sí","No")</f>
        <v>No</v>
      </c>
      <c r="AL350" s="102" t="str">
        <f t="shared" si="139"/>
        <v>Sin descuento</v>
      </c>
      <c r="AM350" s="102" t="str">
        <f>IF(SUMPRODUCT(--ISNUMBER(SEARCH({"0","1","2","3","4","5","6","7","8","9","favorit","maquillaje","piel","cabello","productos","belleza","regalo"},E350)))&gt;0,"Sí","No")</f>
        <v>Sí</v>
      </c>
      <c r="AN350" s="102" t="str">
        <f>IF(SUMPRODUCT(--ISNUMBER(SEARCH({"lo que tenemos","estas ofertas","algo especial","ofertas únicas","que preparamos","no te quedes","echa un vistazo"},F350)))&gt;0,"Sí","No")</f>
        <v>No</v>
      </c>
      <c r="AO350" s="102">
        <f t="shared" si="140"/>
        <v>53</v>
      </c>
      <c r="AP350" s="102">
        <f t="shared" si="141"/>
        <v>11</v>
      </c>
      <c r="AQ350" s="102">
        <f>SUMPRODUCT(LEN(E350)-LEN(SUBSTITUTE(E350,{"!","¡","?","¿",":",",",".","%","·","-",";"},"")))</f>
        <v>3</v>
      </c>
      <c r="AR350" s="102" t="str">
        <f t="shared" si="142"/>
        <v>No</v>
      </c>
      <c r="AS350" s="102" t="str">
        <f t="shared" si="143"/>
        <v>No</v>
      </c>
      <c r="AT350" s="102" t="str">
        <f>IF(SUMPRODUCT(--ISNUMBER(FIND({"0","1","2","3","4","5","6","7","8","9"},E350)))&gt;0,"Con cifra concreta",IF(OR(ISNUMBER(FIND("?",E350)),ISNUMBER(FIND("¿",E350))),"Pregunta abierta",IF(SUMPRODUCT(--ISNUMBER(SEARCH({" hoy ","horas","tiempo limitado","antes de que","se acab","se agot","finalic","última oportunidad","oportunidad única","relámpago","express","no esperes","no volver","no parpadees"," ya ","últimas horas","últimas unidades"," ahora "},AF350)))&gt;0,"Solo urgencia, sin cifra",IF(SUMPRODUCT(--ISNUMBER(SEARCH({"recompensa","sorpresa","regalo","lealtad","detalle","gracias","pensamos en ti","para ti"},E350)))&gt;0,"Recompensa o sorpresa","Otro: beneficio o novedad"))))</f>
        <v>Otro: beneficio o novedad</v>
      </c>
    </row>
    <row r="351" spans="1:46" x14ac:dyDescent="0.2">
      <c r="A351" s="96" t="s">
        <v>1222</v>
      </c>
      <c r="B351" s="96" t="s">
        <v>279</v>
      </c>
      <c r="C351" s="96" t="s">
        <v>793</v>
      </c>
      <c r="D351" s="96" t="s">
        <v>947</v>
      </c>
      <c r="E351" s="96" t="s">
        <v>1008</v>
      </c>
      <c r="F351" s="96" t="s">
        <v>1009</v>
      </c>
      <c r="G351" s="97">
        <v>349537</v>
      </c>
      <c r="H351" s="97">
        <v>44211</v>
      </c>
      <c r="I351" s="97">
        <v>38176</v>
      </c>
      <c r="J351" s="98">
        <v>7.38</v>
      </c>
      <c r="K351" s="98">
        <v>3.76</v>
      </c>
      <c r="L351" s="99">
        <v>27341.33</v>
      </c>
      <c r="M351" s="100">
        <f t="shared" si="120"/>
        <v>12.648446373345312</v>
      </c>
      <c r="N351" s="100">
        <f t="shared" si="121"/>
        <v>10.921876653973685</v>
      </c>
      <c r="O351" s="100">
        <f t="shared" si="122"/>
        <v>86.349551016715296</v>
      </c>
      <c r="P351" s="100">
        <f t="shared" si="123"/>
        <v>78.221561665860847</v>
      </c>
      <c r="Q351" s="100">
        <f t="shared" si="124"/>
        <v>20.124757314949409</v>
      </c>
      <c r="R351" s="100">
        <f t="shared" si="125"/>
        <v>27.75136451093497</v>
      </c>
      <c r="S351" s="101">
        <f t="shared" si="126"/>
        <v>45939</v>
      </c>
      <c r="T351" s="102" t="str">
        <f t="shared" si="127"/>
        <v>Octubre</v>
      </c>
      <c r="U351" s="102" t="str">
        <f t="shared" si="128"/>
        <v>Jueves</v>
      </c>
      <c r="V351" s="102">
        <f t="shared" si="129"/>
        <v>9</v>
      </c>
      <c r="W351" s="102" t="str">
        <f t="shared" si="130"/>
        <v>Resto del mes</v>
      </c>
      <c r="X351" s="102">
        <f t="shared" si="131"/>
        <v>27</v>
      </c>
      <c r="Y351" s="102" t="str">
        <f t="shared" si="132"/>
        <v>Sí</v>
      </c>
      <c r="Z351" s="102" t="str">
        <f>CHOOSE(MATCH(B351,{"Customer Appreciation","Exclusive Offers","Flash Sale","Holiday Discounts","New Product Launch","Newsletter"},0),"Fidelizar","Vender","Vender","Vender","Lanzar","Educar")</f>
        <v>Educar</v>
      </c>
      <c r="AA351" s="102" t="str">
        <f t="shared" si="133"/>
        <v>300 a 400 mil</v>
      </c>
      <c r="AB351" s="102">
        <f>COUNTIFS($E$5:$E$493,E351,$S$5:$S$493,"&lt;"&amp;S351)+COUNTIFS($E$5:E351,E351,$S$5:S351,S351)</f>
        <v>6</v>
      </c>
      <c r="AC351" s="102">
        <f t="shared" si="134"/>
        <v>6</v>
      </c>
      <c r="AD351" s="102" t="str">
        <f t="shared" si="135"/>
        <v/>
      </c>
      <c r="AE351" s="103">
        <f t="shared" si="136"/>
        <v>-7.4763109416040976</v>
      </c>
      <c r="AF351" s="102" t="str">
        <f t="shared" si="137"/>
        <v xml:space="preserve"> actualización de l'oréal  lo más relevante </v>
      </c>
      <c r="AG351" s="102" t="str">
        <f t="shared" si="138"/>
        <v xml:space="preserve"> mantente al tanto de todas las novedades   infórmate  </v>
      </c>
      <c r="AH351" s="102" t="str">
        <f>IF(SUMPRODUCT(--(LEFT(IF(LEFT(LOWER(E351),1)="¡",MID(LOWER(E351),2,300),LOWER(E351)),LEN({"actualizaci","el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Sí</v>
      </c>
      <c r="AI351" s="102" t="str">
        <f>IF(OR(SUMPRODUCT(--ISNUMBER(SEARCH({"descuento","oferta","ahorr","precio"," sale ","flash","deals"},AF351)))&gt;0,SUMPRODUCT(--ISNUMBER(SEARCH({"descuento","oferta","ahorr","precio"," sale ","flash","deals"},AG351)))&gt;0),"Sí","No")</f>
        <v>No</v>
      </c>
      <c r="AJ351" s="102" t="str">
        <f>IF(SUMPRODUCT(--ISNUMBER(SEARCH({" hoy ","horas","tiempo limitado","antes de que","se acab","se agot","finalic","última oportunidad","oportunidad única","relámpago","express","no esperes","no volver","no parpadees"},AF351)))&gt;0,"Sí","No")</f>
        <v>No</v>
      </c>
      <c r="AK351" s="102" t="str">
        <f>IF(SUMPRODUCT(--ISNUMBER(SEARCH({" hoy ","horas","tiempo limitado","antes de que","se acab","se agot","finalic","última oportunidad","oportunidad única","relámpago","express","no esperes","no volver","no parpadees"},AG351)))&gt;0,"Sí","No")</f>
        <v>No</v>
      </c>
      <c r="AL351" s="102" t="str">
        <f t="shared" si="139"/>
        <v>Sin descuento</v>
      </c>
      <c r="AM351" s="102" t="str">
        <f>IF(SUMPRODUCT(--ISNUMBER(SEARCH({"0","1","2","3","4","5","6","7","8","9","favorit","maquillaje","piel","cabello","productos","belleza","regalo"},E351)))&gt;0,"Sí","No")</f>
        <v>No</v>
      </c>
      <c r="AN351" s="102" t="str">
        <f>IF(SUMPRODUCT(--ISNUMBER(SEARCH({"lo que tenemos","estas ofertas","algo especial","ofertas únicas","que preparamos","no te quedes","echa un vistazo"},F351)))&gt;0,"Sí","No")</f>
        <v>No</v>
      </c>
      <c r="AO351" s="102">
        <f t="shared" si="140"/>
        <v>42</v>
      </c>
      <c r="AP351" s="102">
        <f t="shared" si="141"/>
        <v>6</v>
      </c>
      <c r="AQ351" s="102">
        <f>SUMPRODUCT(LEN(E351)-LEN(SUBSTITUTE(E351,{"!","¡","?","¿",":",",",".","%","·","-",";"},"")))</f>
        <v>1</v>
      </c>
      <c r="AR351" s="102" t="str">
        <f t="shared" si="142"/>
        <v>Sí</v>
      </c>
      <c r="AS351" s="102" t="str">
        <f t="shared" si="143"/>
        <v>No</v>
      </c>
      <c r="AT351" s="102" t="str">
        <f>IF(SUMPRODUCT(--ISNUMBER(FIND({"0","1","2","3","4","5","6","7","8","9"},E351)))&gt;0,"Con cifra concreta",IF(OR(ISNUMBER(FIND("?",E351)),ISNUMBER(FIND("¿",E351))),"Pregunta abierta",IF(SUMPRODUCT(--ISNUMBER(SEARCH({" hoy ","horas","tiempo limitado","antes de que","se acab","se agot","finalic","última oportunidad","oportunidad única","relámpago","express","no esperes","no volver","no parpadees"," ya ","últimas horas","últimas unidades"," ahora "},AF351)))&gt;0,"Solo urgencia, sin cifra",IF(SUMPRODUCT(--ISNUMBER(SEARCH({"recompensa","sorpresa","regalo","lealtad","detalle","gracias","pensamos en ti","para ti"},E351)))&gt;0,"Recompensa o sorpresa","Otro: beneficio o novedad"))))</f>
        <v>Otro: beneficio o novedad</v>
      </c>
    </row>
    <row r="352" spans="1:46" x14ac:dyDescent="0.2">
      <c r="A352" s="104" t="s">
        <v>1223</v>
      </c>
      <c r="B352" s="104" t="s">
        <v>279</v>
      </c>
      <c r="C352" s="104" t="s">
        <v>830</v>
      </c>
      <c r="D352" s="104" t="s">
        <v>950</v>
      </c>
      <c r="E352" s="104" t="s">
        <v>472</v>
      </c>
      <c r="F352" s="104" t="s">
        <v>473</v>
      </c>
      <c r="G352" s="105">
        <v>244271</v>
      </c>
      <c r="H352" s="105">
        <v>57579</v>
      </c>
      <c r="I352" s="105">
        <v>23811</v>
      </c>
      <c r="J352" s="106">
        <v>9.99</v>
      </c>
      <c r="K352" s="106">
        <v>3.53</v>
      </c>
      <c r="L352" s="107">
        <v>20681.57</v>
      </c>
      <c r="M352" s="108">
        <f t="shared" si="120"/>
        <v>23.571770697299311</v>
      </c>
      <c r="N352" s="108">
        <f t="shared" si="121"/>
        <v>9.7477801294463937</v>
      </c>
      <c r="O352" s="108">
        <f t="shared" si="122"/>
        <v>41.353618506747253</v>
      </c>
      <c r="P352" s="108">
        <f t="shared" si="123"/>
        <v>84.666497455694696</v>
      </c>
      <c r="Q352" s="108">
        <f t="shared" si="124"/>
        <v>22.891293825435607</v>
      </c>
      <c r="R352" s="108">
        <f t="shared" si="125"/>
        <v>27.75136451093497</v>
      </c>
      <c r="S352" s="101">
        <f t="shared" si="126"/>
        <v>45901</v>
      </c>
      <c r="T352" s="102" t="str">
        <f t="shared" si="127"/>
        <v>Septiembre</v>
      </c>
      <c r="U352" s="102" t="str">
        <f t="shared" si="128"/>
        <v>Lunes</v>
      </c>
      <c r="V352" s="102">
        <f t="shared" si="129"/>
        <v>14</v>
      </c>
      <c r="W352" s="102" t="str">
        <f t="shared" si="130"/>
        <v>Quincena</v>
      </c>
      <c r="X352" s="102">
        <f t="shared" si="131"/>
        <v>29</v>
      </c>
      <c r="Y352" s="102" t="str">
        <f t="shared" si="132"/>
        <v>Sí</v>
      </c>
      <c r="Z352" s="102" t="str">
        <f>CHOOSE(MATCH(B352,{"Customer Appreciation","Exclusive Offers","Flash Sale","Holiday Discounts","New Product Launch","Newsletter"},0),"Fidelizar","Vender","Vender","Vender","Lanzar","Educar")</f>
        <v>Educar</v>
      </c>
      <c r="AA352" s="102" t="str">
        <f t="shared" si="133"/>
        <v>200 a 300 mil</v>
      </c>
      <c r="AB352" s="102">
        <f>COUNTIFS($E$5:$E$493,E352,$S$5:$S$493,"&lt;"&amp;S352)+COUNTIFS($E$5:E352,E352,$S$5:S352,S352)</f>
        <v>7</v>
      </c>
      <c r="AC352" s="102">
        <f t="shared" si="134"/>
        <v>22</v>
      </c>
      <c r="AD352" s="102" t="str">
        <f t="shared" si="135"/>
        <v>Primer tercio</v>
      </c>
      <c r="AE352" s="103">
        <f t="shared" si="136"/>
        <v>0.68047687186370354</v>
      </c>
      <c r="AF352" s="102" t="str">
        <f t="shared" si="137"/>
        <v xml:space="preserve"> tu dosis semanal de belleza  novedades y tips </v>
      </c>
      <c r="AG352" s="102" t="str">
        <f t="shared" si="138"/>
        <v xml:space="preserve"> novedades  tips y más para tu rutina diaria   entra ya  </v>
      </c>
      <c r="AH352" s="102" t="str">
        <f>IF(SUMPRODUCT(--(LEFT(IF(LEFT(LOWER(E352),1)="¡",MID(LOWER(E352),2,300),LOWER(E352)),LEN({"actualizaci","el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352" s="102" t="str">
        <f>IF(OR(SUMPRODUCT(--ISNUMBER(SEARCH({"descuento","oferta","ahorr","precio"," sale ","flash","deals"},AF352)))&gt;0,SUMPRODUCT(--ISNUMBER(SEARCH({"descuento","oferta","ahorr","precio"," sale ","flash","deals"},AG352)))&gt;0),"Sí","No")</f>
        <v>No</v>
      </c>
      <c r="AJ352" s="102" t="str">
        <f>IF(SUMPRODUCT(--ISNUMBER(SEARCH({" hoy ","horas","tiempo limitado","antes de que","se acab","se agot","finalic","última oportunidad","oportunidad única","relámpago","express","no esperes","no volver","no parpadees"},AF352)))&gt;0,"Sí","No")</f>
        <v>No</v>
      </c>
      <c r="AK352" s="102" t="str">
        <f>IF(SUMPRODUCT(--ISNUMBER(SEARCH({" hoy ","horas","tiempo limitado","antes de que","se acab","se agot","finalic","última oportunidad","oportunidad única","relámpago","express","no esperes","no volver","no parpadees"},AG352)))&gt;0,"Sí","No")</f>
        <v>No</v>
      </c>
      <c r="AL352" s="102" t="str">
        <f t="shared" si="139"/>
        <v>Sin descuento</v>
      </c>
      <c r="AM352" s="102" t="str">
        <f>IF(SUMPRODUCT(--ISNUMBER(SEARCH({"0","1","2","3","4","5","6","7","8","9","favorit","maquillaje","piel","cabello","productos","belleza","regalo"},E352)))&gt;0,"Sí","No")</f>
        <v>Sí</v>
      </c>
      <c r="AN352" s="102" t="str">
        <f>IF(SUMPRODUCT(--ISNUMBER(SEARCH({"lo que tenemos","estas ofertas","algo especial","ofertas únicas","que preparamos","no te quedes","echa un vistazo"},F352)))&gt;0,"Sí","No")</f>
        <v>No</v>
      </c>
      <c r="AO352" s="102">
        <f t="shared" si="140"/>
        <v>45</v>
      </c>
      <c r="AP352" s="102">
        <f t="shared" si="141"/>
        <v>8</v>
      </c>
      <c r="AQ352" s="102">
        <f>SUMPRODUCT(LEN(E352)-LEN(SUBSTITUTE(E352,{"!","¡","?","¿",":",",",".","%","·","-",";"},"")))</f>
        <v>1</v>
      </c>
      <c r="AR352" s="102" t="str">
        <f t="shared" si="142"/>
        <v>Sí</v>
      </c>
      <c r="AS352" s="102" t="str">
        <f t="shared" si="143"/>
        <v>No</v>
      </c>
      <c r="AT352" s="102" t="str">
        <f>IF(SUMPRODUCT(--ISNUMBER(FIND({"0","1","2","3","4","5","6","7","8","9"},E352)))&gt;0,"Con cifra concreta",IF(OR(ISNUMBER(FIND("?",E352)),ISNUMBER(FIND("¿",E352))),"Pregunta abierta",IF(SUMPRODUCT(--ISNUMBER(SEARCH({" hoy ","horas","tiempo limitado","antes de que","se acab","se agot","finalic","última oportunidad","oportunidad única","relámpago","express","no esperes","no volver","no parpadees"," ya ","últimas horas","últimas unidades"," ahora "},AF352)))&gt;0,"Solo urgencia, sin cifra",IF(SUMPRODUCT(--ISNUMBER(SEARCH({"recompensa","sorpresa","regalo","lealtad","detalle","gracias","pensamos en ti","para ti"},E352)))&gt;0,"Recompensa o sorpresa","Otro: beneficio o novedad"))))</f>
        <v>Otro: beneficio o novedad</v>
      </c>
    </row>
    <row r="353" spans="1:46" x14ac:dyDescent="0.2">
      <c r="A353" s="96" t="s">
        <v>1224</v>
      </c>
      <c r="B353" s="96" t="s">
        <v>274</v>
      </c>
      <c r="C353" s="96" t="s">
        <v>976</v>
      </c>
      <c r="D353" s="96" t="s">
        <v>751</v>
      </c>
      <c r="E353" s="96" t="s">
        <v>999</v>
      </c>
      <c r="F353" s="96" t="s">
        <v>1000</v>
      </c>
      <c r="G353" s="97">
        <v>27331</v>
      </c>
      <c r="H353" s="97">
        <v>2233</v>
      </c>
      <c r="I353" s="97">
        <v>2123</v>
      </c>
      <c r="J353" s="98">
        <v>4.1399999999999997</v>
      </c>
      <c r="K353" s="98">
        <v>2.27</v>
      </c>
      <c r="L353" s="99">
        <v>4423.54</v>
      </c>
      <c r="M353" s="100">
        <f t="shared" si="120"/>
        <v>8.1702096520434662</v>
      </c>
      <c r="N353" s="100">
        <f t="shared" si="121"/>
        <v>7.7677362701694053</v>
      </c>
      <c r="O353" s="100">
        <f t="shared" si="122"/>
        <v>95.073891625615758</v>
      </c>
      <c r="P353" s="100">
        <f t="shared" si="123"/>
        <v>161.85064578683549</v>
      </c>
      <c r="Q353" s="100">
        <f t="shared" si="124"/>
        <v>21.495532447877647</v>
      </c>
      <c r="R353" s="100">
        <f t="shared" si="125"/>
        <v>31.113650744455075</v>
      </c>
      <c r="S353" s="101">
        <f t="shared" si="126"/>
        <v>45892</v>
      </c>
      <c r="T353" s="102" t="str">
        <f t="shared" si="127"/>
        <v>Agosto</v>
      </c>
      <c r="U353" s="102" t="str">
        <f t="shared" si="128"/>
        <v>Sábado</v>
      </c>
      <c r="V353" s="102">
        <f t="shared" si="129"/>
        <v>11</v>
      </c>
      <c r="W353" s="102" t="str">
        <f t="shared" si="130"/>
        <v>Resto del mes</v>
      </c>
      <c r="X353" s="102">
        <f t="shared" si="131"/>
        <v>25</v>
      </c>
      <c r="Y353" s="102" t="str">
        <f t="shared" si="132"/>
        <v>Sí</v>
      </c>
      <c r="Z353" s="102" t="str">
        <f>CHOOSE(MATCH(B353,{"Customer Appreciation","Exclusive Offers","Flash Sale","Holiday Discounts","New Product Launch","Newsletter"},0),"Fidelizar","Vender","Vender","Vender","Lanzar","Educar")</f>
        <v>Fidelizar</v>
      </c>
      <c r="AA353" s="102" t="str">
        <f t="shared" si="133"/>
        <v>Menos de 100 mil</v>
      </c>
      <c r="AB353" s="102">
        <f>COUNTIFS($E$5:$E$493,E353,$S$5:$S$493,"&lt;"&amp;S353)+COUNTIFS($E$5:E353,E353,$S$5:S353,S353)</f>
        <v>3</v>
      </c>
      <c r="AC353" s="102">
        <f t="shared" si="134"/>
        <v>6</v>
      </c>
      <c r="AD353" s="102" t="str">
        <f t="shared" si="135"/>
        <v/>
      </c>
      <c r="AE353" s="103">
        <f t="shared" si="136"/>
        <v>-13.325322795834181</v>
      </c>
      <c r="AF353" s="102" t="str">
        <f t="shared" si="137"/>
        <v xml:space="preserve">  gracias por elegir l'oréal  tu belleza  nuestra inspiración </v>
      </c>
      <c r="AG353" s="102" t="str">
        <f t="shared" si="138"/>
        <v xml:space="preserve"> queremos celebrar tu preferencia con estas ofertas   descúbrelas  </v>
      </c>
      <c r="AH353" s="102" t="str">
        <f>IF(SUMPRODUCT(--(LEFT(IF(LEFT(LOWER(E353),1)="¡",MID(LOWER(E353),2,300),LOWER(E353)),LEN({"actualizaci","el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353" s="102" t="str">
        <f>IF(OR(SUMPRODUCT(--ISNUMBER(SEARCH({"descuento","oferta","ahorr","precio"," sale ","flash","deals"},AF353)))&gt;0,SUMPRODUCT(--ISNUMBER(SEARCH({"descuento","oferta","ahorr","precio"," sale ","flash","deals"},AG353)))&gt;0),"Sí","No")</f>
        <v>Sí</v>
      </c>
      <c r="AJ353" s="102" t="str">
        <f>IF(SUMPRODUCT(--ISNUMBER(SEARCH({" hoy ","horas","tiempo limitado","antes de que","se acab","se agot","finalic","última oportunidad","oportunidad única","relámpago","express","no esperes","no volver","no parpadees"},AF353)))&gt;0,"Sí","No")</f>
        <v>No</v>
      </c>
      <c r="AK353" s="102" t="str">
        <f>IF(SUMPRODUCT(--ISNUMBER(SEARCH({" hoy ","horas","tiempo limitado","antes de que","se acab","se agot","finalic","última oportunidad","oportunidad única","relámpago","express","no esperes","no volver","no parpadees"},AG353)))&gt;0,"Sí","No")</f>
        <v>No</v>
      </c>
      <c r="AL353" s="102" t="str">
        <f t="shared" si="139"/>
        <v>Descuento sin tiempo límite</v>
      </c>
      <c r="AM353" s="102" t="str">
        <f>IF(SUMPRODUCT(--ISNUMBER(SEARCH({"0","1","2","3","4","5","6","7","8","9","favorit","maquillaje","piel","cabello","productos","belleza","regalo"},E353)))&gt;0,"Sí","No")</f>
        <v>Sí</v>
      </c>
      <c r="AN353" s="102" t="str">
        <f>IF(SUMPRODUCT(--ISNUMBER(SEARCH({"lo que tenemos","estas ofertas","algo especial","ofertas únicas","que preparamos","no te quedes","echa un vistazo"},F353)))&gt;0,"Sí","No")</f>
        <v>Sí</v>
      </c>
      <c r="AO353" s="102">
        <f t="shared" si="140"/>
        <v>60</v>
      </c>
      <c r="AP353" s="102">
        <f t="shared" si="141"/>
        <v>8</v>
      </c>
      <c r="AQ353" s="102">
        <f>SUMPRODUCT(LEN(E353)-LEN(SUBSTITUTE(E353,{"!","¡","?","¿",":",",",".","%","·","-",";"},"")))</f>
        <v>3</v>
      </c>
      <c r="AR353" s="102" t="str">
        <f t="shared" si="142"/>
        <v>Sí</v>
      </c>
      <c r="AS353" s="102" t="str">
        <f t="shared" si="143"/>
        <v>No</v>
      </c>
      <c r="AT353" s="102" t="str">
        <f>IF(SUMPRODUCT(--ISNUMBER(FIND({"0","1","2","3","4","5","6","7","8","9"},E353)))&gt;0,"Con cifra concreta",IF(OR(ISNUMBER(FIND("?",E353)),ISNUMBER(FIND("¿",E353))),"Pregunta abierta",IF(SUMPRODUCT(--ISNUMBER(SEARCH({" hoy ","horas","tiempo limitado","antes de que","se acab","se agot","finalic","última oportunidad","oportunidad única","relámpago","express","no esperes","no volver","no parpadees"," ya ","últimas horas","últimas unidades"," ahora "},AF353)))&gt;0,"Solo urgencia, sin cifra",IF(SUMPRODUCT(--ISNUMBER(SEARCH({"recompensa","sorpresa","regalo","lealtad","detalle","gracias","pensamos en ti","para ti"},E353)))&gt;0,"Recompensa o sorpresa","Otro: beneficio o novedad"))))</f>
        <v>Recompensa o sorpresa</v>
      </c>
    </row>
    <row r="354" spans="1:46" x14ac:dyDescent="0.2">
      <c r="A354" s="104" t="s">
        <v>1225</v>
      </c>
      <c r="B354" s="104" t="s">
        <v>275</v>
      </c>
      <c r="C354" s="104" t="s">
        <v>742</v>
      </c>
      <c r="D354" s="104" t="s">
        <v>702</v>
      </c>
      <c r="E354" s="104" t="s">
        <v>465</v>
      </c>
      <c r="F354" s="104" t="s">
        <v>466</v>
      </c>
      <c r="G354" s="105">
        <v>384235</v>
      </c>
      <c r="H354" s="105">
        <v>160000</v>
      </c>
      <c r="I354" s="105">
        <v>34966</v>
      </c>
      <c r="J354" s="106">
        <v>2.3199999999999998</v>
      </c>
      <c r="K354" s="106">
        <v>4.22</v>
      </c>
      <c r="L354" s="107">
        <v>82080.789999999994</v>
      </c>
      <c r="M354" s="108">
        <f t="shared" si="120"/>
        <v>41.641183130115685</v>
      </c>
      <c r="N354" s="108">
        <f t="shared" si="121"/>
        <v>9.1001600582976554</v>
      </c>
      <c r="O354" s="108">
        <f t="shared" si="122"/>
        <v>21.853749999999998</v>
      </c>
      <c r="P354" s="108">
        <f t="shared" si="123"/>
        <v>213.62132549091052</v>
      </c>
      <c r="Q354" s="108">
        <f t="shared" si="124"/>
        <v>33.047230763392911</v>
      </c>
      <c r="R354" s="108">
        <f t="shared" si="125"/>
        <v>27.021447627328243</v>
      </c>
      <c r="S354" s="101">
        <f t="shared" si="126"/>
        <v>45948</v>
      </c>
      <c r="T354" s="102" t="str">
        <f t="shared" si="127"/>
        <v>Octubre</v>
      </c>
      <c r="U354" s="102" t="str">
        <f t="shared" si="128"/>
        <v>Sábado</v>
      </c>
      <c r="V354" s="102">
        <f t="shared" si="129"/>
        <v>16</v>
      </c>
      <c r="W354" s="102" t="str">
        <f t="shared" si="130"/>
        <v>Días después del pago</v>
      </c>
      <c r="X354" s="102">
        <f t="shared" si="131"/>
        <v>27</v>
      </c>
      <c r="Y354" s="102" t="str">
        <f t="shared" si="132"/>
        <v>Sí</v>
      </c>
      <c r="Z354" s="102" t="str">
        <f>CHOOSE(MATCH(B354,{"Customer Appreciation","Exclusive Offers","Flash Sale","Holiday Discounts","New Product Launch","Newsletter"},0),"Fidelizar","Vender","Vender","Vender","Lanzar","Educar")</f>
        <v>Vender</v>
      </c>
      <c r="AA354" s="102" t="str">
        <f t="shared" si="133"/>
        <v>300 a 400 mil</v>
      </c>
      <c r="AB354" s="102">
        <f>COUNTIFS($E$5:$E$493,E354,$S$5:$S$493,"&lt;"&amp;S354)+COUNTIFS($E$5:E354,E354,$S$5:S354,S354)</f>
        <v>22</v>
      </c>
      <c r="AC354" s="102">
        <f t="shared" si="134"/>
        <v>22</v>
      </c>
      <c r="AD354" s="102" t="str">
        <f t="shared" si="135"/>
        <v>Último tercio</v>
      </c>
      <c r="AE354" s="103">
        <f t="shared" si="136"/>
        <v>8.5939523667227746</v>
      </c>
      <c r="AF354" s="102" t="str">
        <f t="shared" si="137"/>
        <v xml:space="preserve">  ofertas exclusivas  solo para nuestra comunidad vip </v>
      </c>
      <c r="AG354" s="102" t="str">
        <f t="shared" si="138"/>
        <v xml:space="preserve"> productos premium con descuentos únicos   acceso limitado  </v>
      </c>
      <c r="AH354" s="102" t="str">
        <f>IF(SUMPRODUCT(--(LEFT(IF(LEFT(LOWER(E354),1)="¡",MID(LOWER(E354),2,300),LOWER(E354)),LEN({"actualizaci","el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354" s="102" t="str">
        <f>IF(OR(SUMPRODUCT(--ISNUMBER(SEARCH({"descuento","oferta","ahorr","precio"," sale ","flash","deals"},AF354)))&gt;0,SUMPRODUCT(--ISNUMBER(SEARCH({"descuento","oferta","ahorr","precio"," sale ","flash","deals"},AG354)))&gt;0),"Sí","No")</f>
        <v>Sí</v>
      </c>
      <c r="AJ354" s="102" t="str">
        <f>IF(SUMPRODUCT(--ISNUMBER(SEARCH({" hoy ","horas","tiempo limitado","antes de que","se acab","se agot","finalic","última oportunidad","oportunidad única","relámpago","express","no esperes","no volver","no parpadees"},AF354)))&gt;0,"Sí","No")</f>
        <v>No</v>
      </c>
      <c r="AK354" s="102" t="str">
        <f>IF(SUMPRODUCT(--ISNUMBER(SEARCH({" hoy ","horas","tiempo limitado","antes de que","se acab","se agot","finalic","última oportunidad","oportunidad única","relámpago","express","no esperes","no volver","no parpadees"},AG354)))&gt;0,"Sí","No")</f>
        <v>No</v>
      </c>
      <c r="AL354" s="102" t="str">
        <f t="shared" si="139"/>
        <v>Descuento sin tiempo límite</v>
      </c>
      <c r="AM354" s="102" t="str">
        <f>IF(SUMPRODUCT(--ISNUMBER(SEARCH({"0","1","2","3","4","5","6","7","8","9","favorit","maquillaje","piel","cabello","productos","belleza","regalo"},E354)))&gt;0,"Sí","No")</f>
        <v>No</v>
      </c>
      <c r="AN354" s="102" t="str">
        <f>IF(SUMPRODUCT(--ISNUMBER(SEARCH({"lo que tenemos","estas ofertas","algo especial","ofertas únicas","que preparamos","no te quedes","echa un vistazo"},F354)))&gt;0,"Sí","No")</f>
        <v>No</v>
      </c>
      <c r="AO354" s="102">
        <f t="shared" si="140"/>
        <v>52</v>
      </c>
      <c r="AP354" s="102">
        <f t="shared" si="141"/>
        <v>7</v>
      </c>
      <c r="AQ354" s="102">
        <f>SUMPRODUCT(LEN(E354)-LEN(SUBSTITUTE(E354,{"!","¡","?","¿",":",",",".","%","·","-",";"},"")))</f>
        <v>2</v>
      </c>
      <c r="AR354" s="102" t="str">
        <f t="shared" si="142"/>
        <v>Sí</v>
      </c>
      <c r="AS354" s="102" t="str">
        <f t="shared" si="143"/>
        <v>No</v>
      </c>
      <c r="AT354" s="102" t="str">
        <f>IF(SUMPRODUCT(--ISNUMBER(FIND({"0","1","2","3","4","5","6","7","8","9"},E354)))&gt;0,"Con cifra concreta",IF(OR(ISNUMBER(FIND("?",E354)),ISNUMBER(FIND("¿",E354))),"Pregunta abierta",IF(SUMPRODUCT(--ISNUMBER(SEARCH({" hoy ","horas","tiempo limitado","antes de que","se acab","se agot","finalic","última oportunidad","oportunidad única","relámpago","express","no esperes","no volver","no parpadees"," ya ","últimas horas","últimas unidades"," ahora "},AF354)))&gt;0,"Solo urgencia, sin cifra",IF(SUMPRODUCT(--ISNUMBER(SEARCH({"recompensa","sorpresa","regalo","lealtad","detalle","gracias","pensamos en ti","para ti"},E354)))&gt;0,"Recompensa o sorpresa","Otro: beneficio o novedad"))))</f>
        <v>Otro: beneficio o novedad</v>
      </c>
    </row>
    <row r="355" spans="1:46" x14ac:dyDescent="0.2">
      <c r="A355" s="96" t="s">
        <v>1226</v>
      </c>
      <c r="B355" s="96" t="s">
        <v>276</v>
      </c>
      <c r="C355" s="96" t="s">
        <v>773</v>
      </c>
      <c r="D355" s="96" t="s">
        <v>707</v>
      </c>
      <c r="E355" s="96" t="s">
        <v>450</v>
      </c>
      <c r="F355" s="96" t="s">
        <v>451</v>
      </c>
      <c r="G355" s="97">
        <v>395128</v>
      </c>
      <c r="H355" s="97">
        <v>144383</v>
      </c>
      <c r="I355" s="97">
        <v>65313</v>
      </c>
      <c r="J355" s="98">
        <v>6.8</v>
      </c>
      <c r="K355" s="98">
        <v>2.4300000000000002</v>
      </c>
      <c r="L355" s="99">
        <v>74527.16</v>
      </c>
      <c r="M355" s="100">
        <f t="shared" si="120"/>
        <v>36.540817152922592</v>
      </c>
      <c r="N355" s="100">
        <f t="shared" si="121"/>
        <v>16.529580287906704</v>
      </c>
      <c r="O355" s="100">
        <f t="shared" si="122"/>
        <v>45.235934978494697</v>
      </c>
      <c r="P355" s="100">
        <f t="shared" si="123"/>
        <v>188.6152335445729</v>
      </c>
      <c r="Q355" s="100">
        <f t="shared" si="124"/>
        <v>41.593592985418489</v>
      </c>
      <c r="R355" s="100">
        <f t="shared" si="125"/>
        <v>29.440902453236173</v>
      </c>
      <c r="S355" s="101">
        <f t="shared" si="126"/>
        <v>45909</v>
      </c>
      <c r="T355" s="102" t="str">
        <f t="shared" si="127"/>
        <v>Septiembre</v>
      </c>
      <c r="U355" s="102" t="str">
        <f t="shared" si="128"/>
        <v>Martes</v>
      </c>
      <c r="V355" s="102">
        <f t="shared" si="129"/>
        <v>13</v>
      </c>
      <c r="W355" s="102" t="str">
        <f t="shared" si="130"/>
        <v>Resto del mes</v>
      </c>
      <c r="X355" s="102">
        <f t="shared" si="131"/>
        <v>28</v>
      </c>
      <c r="Y355" s="102" t="str">
        <f t="shared" si="132"/>
        <v>Sí</v>
      </c>
      <c r="Z355" s="102" t="str">
        <f>CHOOSE(MATCH(B355,{"Customer Appreciation","Exclusive Offers","Flash Sale","Holiday Discounts","New Product Launch","Newsletter"},0),"Fidelizar","Vender","Vender","Vender","Lanzar","Educar")</f>
        <v>Vender</v>
      </c>
      <c r="AA355" s="102" t="str">
        <f t="shared" si="133"/>
        <v>300 a 400 mil</v>
      </c>
      <c r="AB355" s="102">
        <f>COUNTIFS($E$5:$E$493,E355,$S$5:$S$493,"&lt;"&amp;S355)+COUNTIFS($E$5:E355,E355,$S$5:S355,S355)</f>
        <v>10</v>
      </c>
      <c r="AC355" s="102">
        <f t="shared" si="134"/>
        <v>21</v>
      </c>
      <c r="AD355" s="102" t="str">
        <f t="shared" si="135"/>
        <v>Medio</v>
      </c>
      <c r="AE355" s="103">
        <f t="shared" si="136"/>
        <v>-5.0527758324958967</v>
      </c>
      <c r="AF355" s="102" t="str">
        <f t="shared" si="137"/>
        <v xml:space="preserve">  ahorra ya  flash sale  hasta 50% en tus favoritos </v>
      </c>
      <c r="AG355" s="102" t="str">
        <f t="shared" si="138"/>
        <v xml:space="preserve"> edición limitada  maquillaje  cuidado de piel y más   corre  </v>
      </c>
      <c r="AH355" s="102" t="str">
        <f>IF(SUMPRODUCT(--(LEFT(IF(LEFT(LOWER(E355),1)="¡",MID(LOWER(E355),2,300),LOWER(E355)),LEN({"actualizaci","el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355" s="102" t="str">
        <f>IF(OR(SUMPRODUCT(--ISNUMBER(SEARCH({"descuento","oferta","ahorr","precio"," sale ","flash","deals"},AF355)))&gt;0,SUMPRODUCT(--ISNUMBER(SEARCH({"descuento","oferta","ahorr","precio"," sale ","flash","deals"},AG355)))&gt;0),"Sí","No")</f>
        <v>Sí</v>
      </c>
      <c r="AJ355" s="102" t="str">
        <f>IF(SUMPRODUCT(--ISNUMBER(SEARCH({" hoy ","horas","tiempo limitado","antes de que","se acab","se agot","finalic","última oportunidad","oportunidad única","relámpago","express","no esperes","no volver","no parpadees"},AF355)))&gt;0,"Sí","No")</f>
        <v>No</v>
      </c>
      <c r="AK355" s="102" t="str">
        <f>IF(SUMPRODUCT(--ISNUMBER(SEARCH({" hoy ","horas","tiempo limitado","antes de que","se acab","se agot","finalic","última oportunidad","oportunidad única","relámpago","express","no esperes","no volver","no parpadees"},AG355)))&gt;0,"Sí","No")</f>
        <v>No</v>
      </c>
      <c r="AL355" s="102" t="str">
        <f t="shared" si="139"/>
        <v>Descuento sin tiempo límite</v>
      </c>
      <c r="AM355" s="102" t="str">
        <f>IF(SUMPRODUCT(--ISNUMBER(SEARCH({"0","1","2","3","4","5","6","7","8","9","favorit","maquillaje","piel","cabello","productos","belleza","regalo"},E355)))&gt;0,"Sí","No")</f>
        <v>Sí</v>
      </c>
      <c r="AN355" s="102" t="str">
        <f>IF(SUMPRODUCT(--ISNUMBER(SEARCH({"lo que tenemos","estas ofertas","algo especial","ofertas únicas","que preparamos","no te quedes","echa un vistazo"},F355)))&gt;0,"Sí","No")</f>
        <v>No</v>
      </c>
      <c r="AO355" s="102">
        <f t="shared" si="140"/>
        <v>50</v>
      </c>
      <c r="AP355" s="102">
        <f t="shared" si="141"/>
        <v>9</v>
      </c>
      <c r="AQ355" s="102">
        <f>SUMPRODUCT(LEN(E355)-LEN(SUBSTITUTE(E355,{"!","¡","?","¿",":",",",".","%","·","-",";"},"")))</f>
        <v>4</v>
      </c>
      <c r="AR355" s="102" t="str">
        <f t="shared" si="142"/>
        <v>No</v>
      </c>
      <c r="AS355" s="102" t="str">
        <f t="shared" si="143"/>
        <v>No</v>
      </c>
      <c r="AT355" s="102" t="str">
        <f>IF(SUMPRODUCT(--ISNUMBER(FIND({"0","1","2","3","4","5","6","7","8","9"},E355)))&gt;0,"Con cifra concreta",IF(OR(ISNUMBER(FIND("?",E355)),ISNUMBER(FIND("¿",E355))),"Pregunta abierta",IF(SUMPRODUCT(--ISNUMBER(SEARCH({" hoy ","horas","tiempo limitado","antes de que","se acab","se agot","finalic","última oportunidad","oportunidad única","relámpago","express","no esperes","no volver","no parpadees"," ya ","últimas horas","últimas unidades"," ahora "},AF355)))&gt;0,"Solo urgencia, sin cifra",IF(SUMPRODUCT(--ISNUMBER(SEARCH({"recompensa","sorpresa","regalo","lealtad","detalle","gracias","pensamos en ti","para ti"},E355)))&gt;0,"Recompensa o sorpresa","Otro: beneficio o novedad"))))</f>
        <v>Con cifra concreta</v>
      </c>
    </row>
    <row r="356" spans="1:46" x14ac:dyDescent="0.2">
      <c r="A356" s="104" t="s">
        <v>1227</v>
      </c>
      <c r="B356" s="104" t="s">
        <v>279</v>
      </c>
      <c r="C356" s="104" t="s">
        <v>980</v>
      </c>
      <c r="D356" s="104" t="s">
        <v>824</v>
      </c>
      <c r="E356" s="104" t="s">
        <v>369</v>
      </c>
      <c r="F356" s="104" t="s">
        <v>457</v>
      </c>
      <c r="G356" s="105">
        <v>338366</v>
      </c>
      <c r="H356" s="105">
        <v>153723</v>
      </c>
      <c r="I356" s="105">
        <v>61517</v>
      </c>
      <c r="J356" s="106">
        <v>1.68</v>
      </c>
      <c r="K356" s="106">
        <v>1.8</v>
      </c>
      <c r="L356" s="107">
        <v>79183.91</v>
      </c>
      <c r="M356" s="108">
        <f t="shared" si="120"/>
        <v>45.430983018388375</v>
      </c>
      <c r="N356" s="108">
        <f t="shared" si="121"/>
        <v>18.180609162859152</v>
      </c>
      <c r="O356" s="108">
        <f t="shared" si="122"/>
        <v>40.018084476623542</v>
      </c>
      <c r="P356" s="108">
        <f t="shared" si="123"/>
        <v>234.01851840906002</v>
      </c>
      <c r="Q356" s="108">
        <f t="shared" si="124"/>
        <v>36.827379346292652</v>
      </c>
      <c r="R356" s="108">
        <f t="shared" si="125"/>
        <v>27.75136451093497</v>
      </c>
      <c r="S356" s="101">
        <f t="shared" si="126"/>
        <v>45875</v>
      </c>
      <c r="T356" s="102" t="str">
        <f t="shared" si="127"/>
        <v>Agosto</v>
      </c>
      <c r="U356" s="102" t="str">
        <f t="shared" si="128"/>
        <v>Miércoles</v>
      </c>
      <c r="V356" s="102">
        <f t="shared" si="129"/>
        <v>10</v>
      </c>
      <c r="W356" s="102" t="str">
        <f t="shared" si="130"/>
        <v>Resto del mes</v>
      </c>
      <c r="X356" s="102">
        <f t="shared" si="131"/>
        <v>28</v>
      </c>
      <c r="Y356" s="102" t="str">
        <f t="shared" si="132"/>
        <v>Sí</v>
      </c>
      <c r="Z356" s="102" t="str">
        <f>CHOOSE(MATCH(B356,{"Customer Appreciation","Exclusive Offers","Flash Sale","Holiday Discounts","New Product Launch","Newsletter"},0),"Fidelizar","Vender","Vender","Vender","Lanzar","Educar")</f>
        <v>Educar</v>
      </c>
      <c r="AA356" s="102" t="str">
        <f t="shared" si="133"/>
        <v>300 a 400 mil</v>
      </c>
      <c r="AB356" s="102">
        <f>COUNTIFS($E$5:$E$493,E356,$S$5:$S$493,"&lt;"&amp;S356)+COUNTIFS($E$5:E356,E356,$S$5:S356,S356)</f>
        <v>4</v>
      </c>
      <c r="AC356" s="102">
        <f t="shared" si="134"/>
        <v>19</v>
      </c>
      <c r="AD356" s="102" t="str">
        <f t="shared" si="135"/>
        <v>Primer tercio</v>
      </c>
      <c r="AE356" s="103">
        <f t="shared" si="136"/>
        <v>8.6036036720957227</v>
      </c>
      <c r="AF356" s="102" t="str">
        <f t="shared" si="137"/>
        <v xml:space="preserve"> lo último en l'oréal  mantente informad@ de las novedades </v>
      </c>
      <c r="AG356" s="102" t="str">
        <f t="shared" si="138"/>
        <v xml:space="preserve"> descubre las novedades y tips de la semana   entra ya  </v>
      </c>
      <c r="AH356" s="102" t="str">
        <f>IF(SUMPRODUCT(--(LEFT(IF(LEFT(LOWER(E356),1)="¡",MID(LOWER(E356),2,300),LOWER(E356)),LEN({"actualizaci","el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356" s="102" t="str">
        <f>IF(OR(SUMPRODUCT(--ISNUMBER(SEARCH({"descuento","oferta","ahorr","precio"," sale ","flash","deals"},AF356)))&gt;0,SUMPRODUCT(--ISNUMBER(SEARCH({"descuento","oferta","ahorr","precio"," sale ","flash","deals"},AG356)))&gt;0),"Sí","No")</f>
        <v>No</v>
      </c>
      <c r="AJ356" s="102" t="str">
        <f>IF(SUMPRODUCT(--ISNUMBER(SEARCH({" hoy ","horas","tiempo limitado","antes de que","se acab","se agot","finalic","última oportunidad","oportunidad única","relámpago","express","no esperes","no volver","no parpadees"},AF356)))&gt;0,"Sí","No")</f>
        <v>No</v>
      </c>
      <c r="AK356" s="102" t="str">
        <f>IF(SUMPRODUCT(--ISNUMBER(SEARCH({" hoy ","horas","tiempo limitado","antes de que","se acab","se agot","finalic","última oportunidad","oportunidad única","relámpago","express","no esperes","no volver","no parpadees"},AG356)))&gt;0,"Sí","No")</f>
        <v>No</v>
      </c>
      <c r="AL356" s="102" t="str">
        <f t="shared" si="139"/>
        <v>Sin descuento</v>
      </c>
      <c r="AM356" s="102" t="str">
        <f>IF(SUMPRODUCT(--ISNUMBER(SEARCH({"0","1","2","3","4","5","6","7","8","9","favorit","maquillaje","piel","cabello","productos","belleza","regalo"},E356)))&gt;0,"Sí","No")</f>
        <v>No</v>
      </c>
      <c r="AN356" s="102" t="str">
        <f>IF(SUMPRODUCT(--ISNUMBER(SEARCH({"lo que tenemos","estas ofertas","algo especial","ofertas únicas","que preparamos","no te quedes","echa un vistazo"},F356)))&gt;0,"Sí","No")</f>
        <v>No</v>
      </c>
      <c r="AO356" s="102">
        <f t="shared" si="140"/>
        <v>57</v>
      </c>
      <c r="AP356" s="102">
        <f t="shared" si="141"/>
        <v>9</v>
      </c>
      <c r="AQ356" s="102">
        <f>SUMPRODUCT(LEN(E356)-LEN(SUBSTITUTE(E356,{"!","¡","?","¿",":",",",".","%","·","-",";"},"")))</f>
        <v>1</v>
      </c>
      <c r="AR356" s="102" t="str">
        <f t="shared" si="142"/>
        <v>Sí</v>
      </c>
      <c r="AS356" s="102" t="str">
        <f t="shared" si="143"/>
        <v>No</v>
      </c>
      <c r="AT356" s="102" t="str">
        <f>IF(SUMPRODUCT(--ISNUMBER(FIND({"0","1","2","3","4","5","6","7","8","9"},E356)))&gt;0,"Con cifra concreta",IF(OR(ISNUMBER(FIND("?",E356)),ISNUMBER(FIND("¿",E356))),"Pregunta abierta",IF(SUMPRODUCT(--ISNUMBER(SEARCH({" hoy ","horas","tiempo limitado","antes de que","se acab","se agot","finalic","última oportunidad","oportunidad única","relámpago","express","no esperes","no volver","no parpadees"," ya ","últimas horas","últimas unidades"," ahora "},AF356)))&gt;0,"Solo urgencia, sin cifra",IF(SUMPRODUCT(--ISNUMBER(SEARCH({"recompensa","sorpresa","regalo","lealtad","detalle","gracias","pensamos en ti","para ti"},E356)))&gt;0,"Recompensa o sorpresa","Otro: beneficio o novedad"))))</f>
        <v>Otro: beneficio o novedad</v>
      </c>
    </row>
    <row r="357" spans="1:46" x14ac:dyDescent="0.2">
      <c r="A357" s="96" t="s">
        <v>1228</v>
      </c>
      <c r="B357" s="96" t="s">
        <v>277</v>
      </c>
      <c r="C357" s="96" t="s">
        <v>815</v>
      </c>
      <c r="D357" s="96" t="s">
        <v>764</v>
      </c>
      <c r="E357" s="96" t="s">
        <v>461</v>
      </c>
      <c r="F357" s="96" t="s">
        <v>462</v>
      </c>
      <c r="G357" s="97">
        <v>409793</v>
      </c>
      <c r="H357" s="97">
        <v>186638</v>
      </c>
      <c r="I357" s="97">
        <v>11606</v>
      </c>
      <c r="J357" s="98">
        <v>6.8</v>
      </c>
      <c r="K357" s="98">
        <v>4.55</v>
      </c>
      <c r="L357" s="99">
        <v>24107.03</v>
      </c>
      <c r="M357" s="100">
        <f t="shared" si="120"/>
        <v>45.544457811626849</v>
      </c>
      <c r="N357" s="100">
        <f t="shared" si="121"/>
        <v>2.8321616035412998</v>
      </c>
      <c r="O357" s="100">
        <f t="shared" si="122"/>
        <v>6.2184549770143276</v>
      </c>
      <c r="P357" s="100">
        <f t="shared" si="123"/>
        <v>58.827334776338297</v>
      </c>
      <c r="Q357" s="100">
        <f t="shared" si="124"/>
        <v>35.409886702202286</v>
      </c>
      <c r="R357" s="100">
        <f t="shared" si="125"/>
        <v>30.71114383300629</v>
      </c>
      <c r="S357" s="101">
        <f t="shared" si="126"/>
        <v>45959</v>
      </c>
      <c r="T357" s="102" t="str">
        <f t="shared" si="127"/>
        <v>Octubre</v>
      </c>
      <c r="U357" s="102" t="str">
        <f t="shared" si="128"/>
        <v>Miércoles</v>
      </c>
      <c r="V357" s="102">
        <f t="shared" si="129"/>
        <v>15</v>
      </c>
      <c r="W357" s="102" t="str">
        <f t="shared" si="130"/>
        <v>Resto del mes</v>
      </c>
      <c r="X357" s="102">
        <f t="shared" si="131"/>
        <v>27</v>
      </c>
      <c r="Y357" s="102" t="str">
        <f t="shared" si="132"/>
        <v>Sí</v>
      </c>
      <c r="Z357" s="102" t="str">
        <f>CHOOSE(MATCH(B357,{"Customer Appreciation","Exclusive Offers","Flash Sale","Holiday Discounts","New Product Launch","Newsletter"},0),"Fidelizar","Vender","Vender","Vender","Lanzar","Educar")</f>
        <v>Vender</v>
      </c>
      <c r="AA357" s="102" t="str">
        <f t="shared" si="133"/>
        <v>Más de 400 mil</v>
      </c>
      <c r="AB357" s="102">
        <f>COUNTIFS($E$5:$E$493,E357,$S$5:$S$493,"&lt;"&amp;S357)+COUNTIFS($E$5:E357,E357,$S$5:S357,S357)</f>
        <v>29</v>
      </c>
      <c r="AC357" s="102">
        <f t="shared" si="134"/>
        <v>30</v>
      </c>
      <c r="AD357" s="102" t="str">
        <f t="shared" si="135"/>
        <v>Último tercio</v>
      </c>
      <c r="AE357" s="103">
        <f t="shared" si="136"/>
        <v>10.134571109424563</v>
      </c>
      <c r="AF357" s="102" t="str">
        <f t="shared" si="137"/>
        <v xml:space="preserve">  regalos perfectos te esperan  descuentos de lujo  l'oréal </v>
      </c>
      <c r="AG357" s="102" t="str">
        <f t="shared" si="138"/>
        <v xml:space="preserve"> encuentra ese detalle especial para ti o tus seres queridos   descubre  </v>
      </c>
      <c r="AH357" s="102" t="str">
        <f>IF(SUMPRODUCT(--(LEFT(IF(LEFT(LOWER(E357),1)="¡",MID(LOWER(E357),2,300),LOWER(E357)),LEN({"actualizaci","el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357" s="102" t="str">
        <f>IF(OR(SUMPRODUCT(--ISNUMBER(SEARCH({"descuento","oferta","ahorr","precio"," sale ","flash","deals"},AF357)))&gt;0,SUMPRODUCT(--ISNUMBER(SEARCH({"descuento","oferta","ahorr","precio"," sale ","flash","deals"},AG357)))&gt;0),"Sí","No")</f>
        <v>Sí</v>
      </c>
      <c r="AJ357" s="102" t="str">
        <f>IF(SUMPRODUCT(--ISNUMBER(SEARCH({" hoy ","horas","tiempo limitado","antes de que","se acab","se agot","finalic","última oportunidad","oportunidad única","relámpago","express","no esperes","no volver","no parpadees"},AF357)))&gt;0,"Sí","No")</f>
        <v>No</v>
      </c>
      <c r="AK357" s="102" t="str">
        <f>IF(SUMPRODUCT(--ISNUMBER(SEARCH({" hoy ","horas","tiempo limitado","antes de que","se acab","se agot","finalic","última oportunidad","oportunidad única","relámpago","express","no esperes","no volver","no parpadees"},AG357)))&gt;0,"Sí","No")</f>
        <v>No</v>
      </c>
      <c r="AL357" s="102" t="str">
        <f t="shared" si="139"/>
        <v>Descuento sin tiempo límite</v>
      </c>
      <c r="AM357" s="102" t="str">
        <f>IF(SUMPRODUCT(--ISNUMBER(SEARCH({"0","1","2","3","4","5","6","7","8","9","favorit","maquillaje","piel","cabello","productos","belleza","regalo"},E357)))&gt;0,"Sí","No")</f>
        <v>Sí</v>
      </c>
      <c r="AN357" s="102" t="str">
        <f>IF(SUMPRODUCT(--ISNUMBER(SEARCH({"lo que tenemos","estas ofertas","algo especial","ofertas únicas","que preparamos","no te quedes","echa un vistazo"},F357)))&gt;0,"Sí","No")</f>
        <v>No</v>
      </c>
      <c r="AO357" s="102">
        <f t="shared" si="140"/>
        <v>58</v>
      </c>
      <c r="AP357" s="102">
        <f t="shared" si="141"/>
        <v>8</v>
      </c>
      <c r="AQ357" s="102">
        <f>SUMPRODUCT(LEN(E357)-LEN(SUBSTITUTE(E357,{"!","¡","?","¿",":",",",".","%","·","-",";"},"")))</f>
        <v>3</v>
      </c>
      <c r="AR357" s="102" t="str">
        <f t="shared" si="142"/>
        <v>Sí</v>
      </c>
      <c r="AS357" s="102" t="str">
        <f t="shared" si="143"/>
        <v>No</v>
      </c>
      <c r="AT357" s="102" t="str">
        <f>IF(SUMPRODUCT(--ISNUMBER(FIND({"0","1","2","3","4","5","6","7","8","9"},E357)))&gt;0,"Con cifra concreta",IF(OR(ISNUMBER(FIND("?",E357)),ISNUMBER(FIND("¿",E357))),"Pregunta abierta",IF(SUMPRODUCT(--ISNUMBER(SEARCH({" hoy ","horas","tiempo limitado","antes de que","se acab","se agot","finalic","última oportunidad","oportunidad única","relámpago","express","no esperes","no volver","no parpadees"," ya ","últimas horas","últimas unidades"," ahora "},AF357)))&gt;0,"Solo urgencia, sin cifra",IF(SUMPRODUCT(--ISNUMBER(SEARCH({"recompensa","sorpresa","regalo","lealtad","detalle","gracias","pensamos en ti","para ti"},E357)))&gt;0,"Recompensa o sorpresa","Otro: beneficio o novedad"))))</f>
        <v>Recompensa o sorpresa</v>
      </c>
    </row>
    <row r="358" spans="1:46" x14ac:dyDescent="0.2">
      <c r="A358" s="104" t="s">
        <v>1229</v>
      </c>
      <c r="B358" s="104" t="s">
        <v>275</v>
      </c>
      <c r="C358" s="104" t="s">
        <v>928</v>
      </c>
      <c r="D358" s="104" t="s">
        <v>715</v>
      </c>
      <c r="E358" s="104" t="s">
        <v>465</v>
      </c>
      <c r="F358" s="104" t="s">
        <v>466</v>
      </c>
      <c r="G358" s="105">
        <v>490698</v>
      </c>
      <c r="H358" s="105">
        <v>79543</v>
      </c>
      <c r="I358" s="105">
        <v>15024</v>
      </c>
      <c r="J358" s="106">
        <v>5.25</v>
      </c>
      <c r="K358" s="106">
        <v>4.78</v>
      </c>
      <c r="L358" s="107">
        <v>24404.81</v>
      </c>
      <c r="M358" s="108">
        <f t="shared" si="120"/>
        <v>16.210174078557483</v>
      </c>
      <c r="N358" s="108">
        <f t="shared" si="121"/>
        <v>3.0617610016751651</v>
      </c>
      <c r="O358" s="108">
        <f t="shared" si="122"/>
        <v>18.88789711225375</v>
      </c>
      <c r="P358" s="108">
        <f t="shared" si="123"/>
        <v>49.734887853628919</v>
      </c>
      <c r="Q358" s="108">
        <f t="shared" si="124"/>
        <v>33.047230763392911</v>
      </c>
      <c r="R358" s="108">
        <f t="shared" si="125"/>
        <v>27.021447627328243</v>
      </c>
      <c r="S358" s="101">
        <f t="shared" si="126"/>
        <v>45883</v>
      </c>
      <c r="T358" s="102" t="str">
        <f t="shared" si="127"/>
        <v>Agosto</v>
      </c>
      <c r="U358" s="102" t="str">
        <f t="shared" si="128"/>
        <v>Jueves</v>
      </c>
      <c r="V358" s="102">
        <f t="shared" si="129"/>
        <v>11</v>
      </c>
      <c r="W358" s="102" t="str">
        <f t="shared" si="130"/>
        <v>Quincena</v>
      </c>
      <c r="X358" s="102">
        <f t="shared" si="131"/>
        <v>23</v>
      </c>
      <c r="Y358" s="102" t="str">
        <f t="shared" si="132"/>
        <v>Sí</v>
      </c>
      <c r="Z358" s="102" t="str">
        <f>CHOOSE(MATCH(B358,{"Customer Appreciation","Exclusive Offers","Flash Sale","Holiday Discounts","New Product Launch","Newsletter"},0),"Fidelizar","Vender","Vender","Vender","Lanzar","Educar")</f>
        <v>Vender</v>
      </c>
      <c r="AA358" s="102" t="str">
        <f t="shared" si="133"/>
        <v>Más de 400 mil</v>
      </c>
      <c r="AB358" s="102">
        <f>COUNTIFS($E$5:$E$493,E358,$S$5:$S$493,"&lt;"&amp;S358)+COUNTIFS($E$5:E358,E358,$S$5:S358,S358)</f>
        <v>2</v>
      </c>
      <c r="AC358" s="102">
        <f t="shared" si="134"/>
        <v>22</v>
      </c>
      <c r="AD358" s="102" t="str">
        <f t="shared" si="135"/>
        <v>Primer tercio</v>
      </c>
      <c r="AE358" s="103">
        <f t="shared" si="136"/>
        <v>-16.837056684835428</v>
      </c>
      <c r="AF358" s="102" t="str">
        <f t="shared" si="137"/>
        <v xml:space="preserve">  ofertas exclusivas  solo para nuestra comunidad vip </v>
      </c>
      <c r="AG358" s="102" t="str">
        <f t="shared" si="138"/>
        <v xml:space="preserve"> productos premium con descuentos únicos   acceso limitado  </v>
      </c>
      <c r="AH358" s="102" t="str">
        <f>IF(SUMPRODUCT(--(LEFT(IF(LEFT(LOWER(E358),1)="¡",MID(LOWER(E358),2,300),LOWER(E358)),LEN({"actualizaci","el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358" s="102" t="str">
        <f>IF(OR(SUMPRODUCT(--ISNUMBER(SEARCH({"descuento","oferta","ahorr","precio"," sale ","flash","deals"},AF358)))&gt;0,SUMPRODUCT(--ISNUMBER(SEARCH({"descuento","oferta","ahorr","precio"," sale ","flash","deals"},AG358)))&gt;0),"Sí","No")</f>
        <v>Sí</v>
      </c>
      <c r="AJ358" s="102" t="str">
        <f>IF(SUMPRODUCT(--ISNUMBER(SEARCH({" hoy ","horas","tiempo limitado","antes de que","se acab","se agot","finalic","última oportunidad","oportunidad única","relámpago","express","no esperes","no volver","no parpadees"},AF358)))&gt;0,"Sí","No")</f>
        <v>No</v>
      </c>
      <c r="AK358" s="102" t="str">
        <f>IF(SUMPRODUCT(--ISNUMBER(SEARCH({" hoy ","horas","tiempo limitado","antes de que","se acab","se agot","finalic","última oportunidad","oportunidad única","relámpago","express","no esperes","no volver","no parpadees"},AG358)))&gt;0,"Sí","No")</f>
        <v>No</v>
      </c>
      <c r="AL358" s="102" t="str">
        <f t="shared" si="139"/>
        <v>Descuento sin tiempo límite</v>
      </c>
      <c r="AM358" s="102" t="str">
        <f>IF(SUMPRODUCT(--ISNUMBER(SEARCH({"0","1","2","3","4","5","6","7","8","9","favorit","maquillaje","piel","cabello","productos","belleza","regalo"},E358)))&gt;0,"Sí","No")</f>
        <v>No</v>
      </c>
      <c r="AN358" s="102" t="str">
        <f>IF(SUMPRODUCT(--ISNUMBER(SEARCH({"lo que tenemos","estas ofertas","algo especial","ofertas únicas","que preparamos","no te quedes","echa un vistazo"},F358)))&gt;0,"Sí","No")</f>
        <v>No</v>
      </c>
      <c r="AO358" s="102">
        <f t="shared" si="140"/>
        <v>52</v>
      </c>
      <c r="AP358" s="102">
        <f t="shared" si="141"/>
        <v>7</v>
      </c>
      <c r="AQ358" s="102">
        <f>SUMPRODUCT(LEN(E358)-LEN(SUBSTITUTE(E358,{"!","¡","?","¿",":",",",".","%","·","-",";"},"")))</f>
        <v>2</v>
      </c>
      <c r="AR358" s="102" t="str">
        <f t="shared" si="142"/>
        <v>Sí</v>
      </c>
      <c r="AS358" s="102" t="str">
        <f t="shared" si="143"/>
        <v>No</v>
      </c>
      <c r="AT358" s="102" t="str">
        <f>IF(SUMPRODUCT(--ISNUMBER(FIND({"0","1","2","3","4","5","6","7","8","9"},E358)))&gt;0,"Con cifra concreta",IF(OR(ISNUMBER(FIND("?",E358)),ISNUMBER(FIND("¿",E358))),"Pregunta abierta",IF(SUMPRODUCT(--ISNUMBER(SEARCH({" hoy ","horas","tiempo limitado","antes de que","se acab","se agot","finalic","última oportunidad","oportunidad única","relámpago","express","no esperes","no volver","no parpadees"," ya ","últimas horas","últimas unidades"," ahora "},AF358)))&gt;0,"Solo urgencia, sin cifra",IF(SUMPRODUCT(--ISNUMBER(SEARCH({"recompensa","sorpresa","regalo","lealtad","detalle","gracias","pensamos en ti","para ti"},E358)))&gt;0,"Recompensa o sorpresa","Otro: beneficio o novedad"))))</f>
        <v>Otro: beneficio o novedad</v>
      </c>
    </row>
    <row r="359" spans="1:46" x14ac:dyDescent="0.2">
      <c r="A359" s="96" t="s">
        <v>1230</v>
      </c>
      <c r="B359" s="96" t="s">
        <v>277</v>
      </c>
      <c r="C359" s="96" t="s">
        <v>944</v>
      </c>
      <c r="D359" s="96" t="s">
        <v>794</v>
      </c>
      <c r="E359" s="96" t="s">
        <v>476</v>
      </c>
      <c r="F359" s="96" t="s">
        <v>477</v>
      </c>
      <c r="G359" s="97">
        <v>2056</v>
      </c>
      <c r="H359" s="97">
        <v>499</v>
      </c>
      <c r="I359" s="97">
        <v>42</v>
      </c>
      <c r="J359" s="98">
        <v>6.13</v>
      </c>
      <c r="K359" s="98">
        <v>4.37</v>
      </c>
      <c r="L359" s="99">
        <v>49459.42</v>
      </c>
      <c r="M359" s="100">
        <f t="shared" si="120"/>
        <v>24.270428015564203</v>
      </c>
      <c r="N359" s="100">
        <f t="shared" si="121"/>
        <v>2.0428015564202333</v>
      </c>
      <c r="O359" s="100">
        <f t="shared" si="122"/>
        <v>8.4168336673346698</v>
      </c>
      <c r="P359" s="100">
        <f t="shared" si="123"/>
        <v>24056.138132295717</v>
      </c>
      <c r="Q359" s="100">
        <f t="shared" si="124"/>
        <v>21.434915192427972</v>
      </c>
      <c r="R359" s="100">
        <f t="shared" si="125"/>
        <v>30.71114383300629</v>
      </c>
      <c r="S359" s="101">
        <f t="shared" si="126"/>
        <v>45943</v>
      </c>
      <c r="T359" s="102" t="str">
        <f t="shared" si="127"/>
        <v>Octubre</v>
      </c>
      <c r="U359" s="102" t="str">
        <f t="shared" si="128"/>
        <v>Lunes</v>
      </c>
      <c r="V359" s="102">
        <f t="shared" si="129"/>
        <v>12</v>
      </c>
      <c r="W359" s="102" t="str">
        <f t="shared" si="130"/>
        <v>Resto del mes</v>
      </c>
      <c r="X359" s="102">
        <f t="shared" si="131"/>
        <v>23</v>
      </c>
      <c r="Y359" s="102" t="str">
        <f t="shared" si="132"/>
        <v>Sí</v>
      </c>
      <c r="Z359" s="102" t="str">
        <f>CHOOSE(MATCH(B359,{"Customer Appreciation","Exclusive Offers","Flash Sale","Holiday Discounts","New Product Launch","Newsletter"},0),"Fidelizar","Vender","Vender","Vender","Lanzar","Educar")</f>
        <v>Vender</v>
      </c>
      <c r="AA359" s="102" t="str">
        <f t="shared" si="133"/>
        <v>Menos de 100 mil</v>
      </c>
      <c r="AB359" s="102">
        <f>COUNTIFS($E$5:$E$493,E359,$S$5:$S$493,"&lt;"&amp;S359)+COUNTIFS($E$5:E359,E359,$S$5:S359,S359)</f>
        <v>9</v>
      </c>
      <c r="AC359" s="102">
        <f t="shared" si="134"/>
        <v>10</v>
      </c>
      <c r="AD359" s="102" t="str">
        <f t="shared" si="135"/>
        <v>Último tercio</v>
      </c>
      <c r="AE359" s="103">
        <f t="shared" si="136"/>
        <v>2.8355128231362308</v>
      </c>
      <c r="AF359" s="102" t="str">
        <f t="shared" si="137"/>
        <v xml:space="preserve">  ofertas de temporada  listas para ti  regalos perfectos </v>
      </c>
      <c r="AG359" s="102" t="str">
        <f t="shared" si="138"/>
        <v xml:space="preserve"> los mejores productos para tus celebraciones te esperan   descubre  </v>
      </c>
      <c r="AH359" s="102" t="str">
        <f>IF(SUMPRODUCT(--(LEFT(IF(LEFT(LOWER(E359),1)="¡",MID(LOWER(E359),2,300),LOWER(E359)),LEN({"actualizaci","el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Sí</v>
      </c>
      <c r="AI359" s="102" t="str">
        <f>IF(OR(SUMPRODUCT(--ISNUMBER(SEARCH({"descuento","oferta","ahorr","precio"," sale ","flash","deals"},AF359)))&gt;0,SUMPRODUCT(--ISNUMBER(SEARCH({"descuento","oferta","ahorr","precio"," sale ","flash","deals"},AG359)))&gt;0),"Sí","No")</f>
        <v>Sí</v>
      </c>
      <c r="AJ359" s="102" t="str">
        <f>IF(SUMPRODUCT(--ISNUMBER(SEARCH({" hoy ","horas","tiempo limitado","antes de que","se acab","se agot","finalic","última oportunidad","oportunidad única","relámpago","express","no esperes","no volver","no parpadees"},AF359)))&gt;0,"Sí","No")</f>
        <v>No</v>
      </c>
      <c r="AK359" s="102" t="str">
        <f>IF(SUMPRODUCT(--ISNUMBER(SEARCH({" hoy ","horas","tiempo limitado","antes de que","se acab","se agot","finalic","última oportunidad","oportunidad única","relámpago","express","no esperes","no volver","no parpadees"},AG359)))&gt;0,"Sí","No")</f>
        <v>No</v>
      </c>
      <c r="AL359" s="102" t="str">
        <f t="shared" si="139"/>
        <v>Descuento sin tiempo límite</v>
      </c>
      <c r="AM359" s="102" t="str">
        <f>IF(SUMPRODUCT(--ISNUMBER(SEARCH({"0","1","2","3","4","5","6","7","8","9","favorit","maquillaje","piel","cabello","productos","belleza","regalo"},E359)))&gt;0,"Sí","No")</f>
        <v>Sí</v>
      </c>
      <c r="AN359" s="102" t="str">
        <f>IF(SUMPRODUCT(--ISNUMBER(SEARCH({"lo que tenemos","estas ofertas","algo especial","ofertas únicas","que preparamos","no te quedes","echa un vistazo"},F359)))&gt;0,"Sí","No")</f>
        <v>No</v>
      </c>
      <c r="AO359" s="102">
        <f t="shared" si="140"/>
        <v>56</v>
      </c>
      <c r="AP359" s="102">
        <f t="shared" si="141"/>
        <v>8</v>
      </c>
      <c r="AQ359" s="102">
        <f>SUMPRODUCT(LEN(E359)-LEN(SUBSTITUTE(E359,{"!","¡","?","¿",":",",",".","%","·","-",";"},"")))</f>
        <v>3</v>
      </c>
      <c r="AR359" s="102" t="str">
        <f t="shared" si="142"/>
        <v>Sí</v>
      </c>
      <c r="AS359" s="102" t="str">
        <f t="shared" si="143"/>
        <v>No</v>
      </c>
      <c r="AT359" s="102" t="str">
        <f>IF(SUMPRODUCT(--ISNUMBER(FIND({"0","1","2","3","4","5","6","7","8","9"},E359)))&gt;0,"Con cifra concreta",IF(OR(ISNUMBER(FIND("?",E359)),ISNUMBER(FIND("¿",E359))),"Pregunta abierta",IF(SUMPRODUCT(--ISNUMBER(SEARCH({" hoy ","horas","tiempo limitado","antes de que","se acab","se agot","finalic","última oportunidad","oportunidad única","relámpago","express","no esperes","no volver","no parpadees"," ya ","últimas horas","últimas unidades"," ahora "},AF359)))&gt;0,"Solo urgencia, sin cifra",IF(SUMPRODUCT(--ISNUMBER(SEARCH({"recompensa","sorpresa","regalo","lealtad","detalle","gracias","pensamos en ti","para ti"},E359)))&gt;0,"Recompensa o sorpresa","Otro: beneficio o novedad"))))</f>
        <v>Recompensa o sorpresa</v>
      </c>
    </row>
    <row r="360" spans="1:46" x14ac:dyDescent="0.2">
      <c r="A360" s="104" t="s">
        <v>1231</v>
      </c>
      <c r="B360" s="104" t="s">
        <v>276</v>
      </c>
      <c r="C360" s="104" t="s">
        <v>889</v>
      </c>
      <c r="D360" s="104" t="s">
        <v>761</v>
      </c>
      <c r="E360" s="104" t="s">
        <v>450</v>
      </c>
      <c r="F360" s="104" t="s">
        <v>451</v>
      </c>
      <c r="G360" s="105">
        <v>133834</v>
      </c>
      <c r="H360" s="105">
        <v>57999</v>
      </c>
      <c r="I360" s="105">
        <v>20658</v>
      </c>
      <c r="J360" s="106">
        <v>3.96</v>
      </c>
      <c r="K360" s="106">
        <v>4.32</v>
      </c>
      <c r="L360" s="107">
        <v>26821.58</v>
      </c>
      <c r="M360" s="108">
        <f t="shared" si="120"/>
        <v>43.336521362284621</v>
      </c>
      <c r="N360" s="108">
        <f t="shared" si="121"/>
        <v>15.43553954899353</v>
      </c>
      <c r="O360" s="108">
        <f t="shared" si="122"/>
        <v>35.617855480266904</v>
      </c>
      <c r="P360" s="108">
        <f t="shared" si="123"/>
        <v>200.40931302957395</v>
      </c>
      <c r="Q360" s="108">
        <f t="shared" si="124"/>
        <v>41.593592985418489</v>
      </c>
      <c r="R360" s="108">
        <f t="shared" si="125"/>
        <v>29.440902453236173</v>
      </c>
      <c r="S360" s="101">
        <f t="shared" si="126"/>
        <v>45908</v>
      </c>
      <c r="T360" s="102" t="str">
        <f t="shared" si="127"/>
        <v>Septiembre</v>
      </c>
      <c r="U360" s="102" t="str">
        <f t="shared" si="128"/>
        <v>Lunes</v>
      </c>
      <c r="V360" s="102">
        <f t="shared" si="129"/>
        <v>10</v>
      </c>
      <c r="W360" s="102" t="str">
        <f t="shared" si="130"/>
        <v>Resto del mes</v>
      </c>
      <c r="X360" s="102">
        <f t="shared" si="131"/>
        <v>28</v>
      </c>
      <c r="Y360" s="102" t="str">
        <f t="shared" si="132"/>
        <v>Sí</v>
      </c>
      <c r="Z360" s="102" t="str">
        <f>CHOOSE(MATCH(B360,{"Customer Appreciation","Exclusive Offers","Flash Sale","Holiday Discounts","New Product Launch","Newsletter"},0),"Fidelizar","Vender","Vender","Vender","Lanzar","Educar")</f>
        <v>Vender</v>
      </c>
      <c r="AA360" s="102" t="str">
        <f t="shared" si="133"/>
        <v>100 a 200 mil</v>
      </c>
      <c r="AB360" s="102">
        <f>COUNTIFS($E$5:$E$493,E360,$S$5:$S$493,"&lt;"&amp;S360)+COUNTIFS($E$5:E360,E360,$S$5:S360,S360)</f>
        <v>9</v>
      </c>
      <c r="AC360" s="102">
        <f t="shared" si="134"/>
        <v>21</v>
      </c>
      <c r="AD360" s="102" t="str">
        <f t="shared" si="135"/>
        <v>Medio</v>
      </c>
      <c r="AE360" s="103">
        <f t="shared" si="136"/>
        <v>1.7429283768661321</v>
      </c>
      <c r="AF360" s="102" t="str">
        <f t="shared" si="137"/>
        <v xml:space="preserve">  ahorra ya  flash sale  hasta 50% en tus favoritos </v>
      </c>
      <c r="AG360" s="102" t="str">
        <f t="shared" si="138"/>
        <v xml:space="preserve"> edición limitada  maquillaje  cuidado de piel y más   corre  </v>
      </c>
      <c r="AH360" s="102" t="str">
        <f>IF(SUMPRODUCT(--(LEFT(IF(LEFT(LOWER(E360),1)="¡",MID(LOWER(E360),2,300),LOWER(E360)),LEN({"actualizaci","el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360" s="102" t="str">
        <f>IF(OR(SUMPRODUCT(--ISNUMBER(SEARCH({"descuento","oferta","ahorr","precio"," sale ","flash","deals"},AF360)))&gt;0,SUMPRODUCT(--ISNUMBER(SEARCH({"descuento","oferta","ahorr","precio"," sale ","flash","deals"},AG360)))&gt;0),"Sí","No")</f>
        <v>Sí</v>
      </c>
      <c r="AJ360" s="102" t="str">
        <f>IF(SUMPRODUCT(--ISNUMBER(SEARCH({" hoy ","horas","tiempo limitado","antes de que","se acab","se agot","finalic","última oportunidad","oportunidad única","relámpago","express","no esperes","no volver","no parpadees"},AF360)))&gt;0,"Sí","No")</f>
        <v>No</v>
      </c>
      <c r="AK360" s="102" t="str">
        <f>IF(SUMPRODUCT(--ISNUMBER(SEARCH({" hoy ","horas","tiempo limitado","antes de que","se acab","se agot","finalic","última oportunidad","oportunidad única","relámpago","express","no esperes","no volver","no parpadees"},AG360)))&gt;0,"Sí","No")</f>
        <v>No</v>
      </c>
      <c r="AL360" s="102" t="str">
        <f t="shared" si="139"/>
        <v>Descuento sin tiempo límite</v>
      </c>
      <c r="AM360" s="102" t="str">
        <f>IF(SUMPRODUCT(--ISNUMBER(SEARCH({"0","1","2","3","4","5","6","7","8","9","favorit","maquillaje","piel","cabello","productos","belleza","regalo"},E360)))&gt;0,"Sí","No")</f>
        <v>Sí</v>
      </c>
      <c r="AN360" s="102" t="str">
        <f>IF(SUMPRODUCT(--ISNUMBER(SEARCH({"lo que tenemos","estas ofertas","algo especial","ofertas únicas","que preparamos","no te quedes","echa un vistazo"},F360)))&gt;0,"Sí","No")</f>
        <v>No</v>
      </c>
      <c r="AO360" s="102">
        <f t="shared" si="140"/>
        <v>50</v>
      </c>
      <c r="AP360" s="102">
        <f t="shared" si="141"/>
        <v>9</v>
      </c>
      <c r="AQ360" s="102">
        <f>SUMPRODUCT(LEN(E360)-LEN(SUBSTITUTE(E360,{"!","¡","?","¿",":",",",".","%","·","-",";"},"")))</f>
        <v>4</v>
      </c>
      <c r="AR360" s="102" t="str">
        <f t="shared" si="142"/>
        <v>No</v>
      </c>
      <c r="AS360" s="102" t="str">
        <f t="shared" si="143"/>
        <v>No</v>
      </c>
      <c r="AT360" s="102" t="str">
        <f>IF(SUMPRODUCT(--ISNUMBER(FIND({"0","1","2","3","4","5","6","7","8","9"},E360)))&gt;0,"Con cifra concreta",IF(OR(ISNUMBER(FIND("?",E360)),ISNUMBER(FIND("¿",E360))),"Pregunta abierta",IF(SUMPRODUCT(--ISNUMBER(SEARCH({" hoy ","horas","tiempo limitado","antes de que","se acab","se agot","finalic","última oportunidad","oportunidad única","relámpago","express","no esperes","no volver","no parpadees"," ya ","últimas horas","últimas unidades"," ahora "},AF360)))&gt;0,"Solo urgencia, sin cifra",IF(SUMPRODUCT(--ISNUMBER(SEARCH({"recompensa","sorpresa","regalo","lealtad","detalle","gracias","pensamos en ti","para ti"},E360)))&gt;0,"Recompensa o sorpresa","Otro: beneficio o novedad"))))</f>
        <v>Con cifra concreta</v>
      </c>
    </row>
    <row r="361" spans="1:46" x14ac:dyDescent="0.2">
      <c r="A361" s="96" t="s">
        <v>1232</v>
      </c>
      <c r="B361" s="96" t="s">
        <v>277</v>
      </c>
      <c r="C361" s="96" t="s">
        <v>891</v>
      </c>
      <c r="D361" s="96" t="s">
        <v>786</v>
      </c>
      <c r="E361" s="96" t="s">
        <v>461</v>
      </c>
      <c r="F361" s="96" t="s">
        <v>462</v>
      </c>
      <c r="G361" s="97">
        <v>137911</v>
      </c>
      <c r="H361" s="97">
        <v>34057</v>
      </c>
      <c r="I361" s="97">
        <v>15971</v>
      </c>
      <c r="J361" s="98">
        <v>0.86</v>
      </c>
      <c r="K361" s="98">
        <v>3.92</v>
      </c>
      <c r="L361" s="99">
        <v>22237.97</v>
      </c>
      <c r="M361" s="100">
        <f t="shared" si="120"/>
        <v>24.6949119359587</v>
      </c>
      <c r="N361" s="100">
        <f t="shared" si="121"/>
        <v>11.580657090442386</v>
      </c>
      <c r="O361" s="100">
        <f t="shared" si="122"/>
        <v>46.894911471944098</v>
      </c>
      <c r="P361" s="100">
        <f t="shared" si="123"/>
        <v>161.24870387423772</v>
      </c>
      <c r="Q361" s="100">
        <f t="shared" si="124"/>
        <v>35.409886702202286</v>
      </c>
      <c r="R361" s="100">
        <f t="shared" si="125"/>
        <v>30.71114383300629</v>
      </c>
      <c r="S361" s="101">
        <f t="shared" si="126"/>
        <v>45888</v>
      </c>
      <c r="T361" s="102" t="str">
        <f t="shared" si="127"/>
        <v>Agosto</v>
      </c>
      <c r="U361" s="102" t="str">
        <f t="shared" si="128"/>
        <v>Martes</v>
      </c>
      <c r="V361" s="102">
        <f t="shared" si="129"/>
        <v>15</v>
      </c>
      <c r="W361" s="102" t="str">
        <f t="shared" si="130"/>
        <v>Días después del pago</v>
      </c>
      <c r="X361" s="102">
        <f t="shared" si="131"/>
        <v>29</v>
      </c>
      <c r="Y361" s="102" t="str">
        <f t="shared" si="132"/>
        <v>Sí</v>
      </c>
      <c r="Z361" s="102" t="str">
        <f>CHOOSE(MATCH(B361,{"Customer Appreciation","Exclusive Offers","Flash Sale","Holiday Discounts","New Product Launch","Newsletter"},0),"Fidelizar","Vender","Vender","Vender","Lanzar","Educar")</f>
        <v>Vender</v>
      </c>
      <c r="AA361" s="102" t="str">
        <f t="shared" si="133"/>
        <v>100 a 200 mil</v>
      </c>
      <c r="AB361" s="102">
        <f>COUNTIFS($E$5:$E$493,E361,$S$5:$S$493,"&lt;"&amp;S361)+COUNTIFS($E$5:E361,E361,$S$5:S361,S361)</f>
        <v>7</v>
      </c>
      <c r="AC361" s="102">
        <f t="shared" si="134"/>
        <v>30</v>
      </c>
      <c r="AD361" s="102" t="str">
        <f t="shared" si="135"/>
        <v>Primer tercio</v>
      </c>
      <c r="AE361" s="103">
        <f t="shared" si="136"/>
        <v>-10.714974766243586</v>
      </c>
      <c r="AF361" s="102" t="str">
        <f t="shared" si="137"/>
        <v xml:space="preserve">  regalos perfectos te esperan  descuentos de lujo  l'oréal </v>
      </c>
      <c r="AG361" s="102" t="str">
        <f t="shared" si="138"/>
        <v xml:space="preserve"> encuentra ese detalle especial para ti o tus seres queridos   descubre  </v>
      </c>
      <c r="AH361" s="102" t="str">
        <f>IF(SUMPRODUCT(--(LEFT(IF(LEFT(LOWER(E361),1)="¡",MID(LOWER(E361),2,300),LOWER(E361)),LEN({"actualizaci","el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361" s="102" t="str">
        <f>IF(OR(SUMPRODUCT(--ISNUMBER(SEARCH({"descuento","oferta","ahorr","precio"," sale ","flash","deals"},AF361)))&gt;0,SUMPRODUCT(--ISNUMBER(SEARCH({"descuento","oferta","ahorr","precio"," sale ","flash","deals"},AG361)))&gt;0),"Sí","No")</f>
        <v>Sí</v>
      </c>
      <c r="AJ361" s="102" t="str">
        <f>IF(SUMPRODUCT(--ISNUMBER(SEARCH({" hoy ","horas","tiempo limitado","antes de que","se acab","se agot","finalic","última oportunidad","oportunidad única","relámpago","express","no esperes","no volver","no parpadees"},AF361)))&gt;0,"Sí","No")</f>
        <v>No</v>
      </c>
      <c r="AK361" s="102" t="str">
        <f>IF(SUMPRODUCT(--ISNUMBER(SEARCH({" hoy ","horas","tiempo limitado","antes de que","se acab","se agot","finalic","última oportunidad","oportunidad única","relámpago","express","no esperes","no volver","no parpadees"},AG361)))&gt;0,"Sí","No")</f>
        <v>No</v>
      </c>
      <c r="AL361" s="102" t="str">
        <f t="shared" si="139"/>
        <v>Descuento sin tiempo límite</v>
      </c>
      <c r="AM361" s="102" t="str">
        <f>IF(SUMPRODUCT(--ISNUMBER(SEARCH({"0","1","2","3","4","5","6","7","8","9","favorit","maquillaje","piel","cabello","productos","belleza","regalo"},E361)))&gt;0,"Sí","No")</f>
        <v>Sí</v>
      </c>
      <c r="AN361" s="102" t="str">
        <f>IF(SUMPRODUCT(--ISNUMBER(SEARCH({"lo que tenemos","estas ofertas","algo especial","ofertas únicas","que preparamos","no te quedes","echa un vistazo"},F361)))&gt;0,"Sí","No")</f>
        <v>No</v>
      </c>
      <c r="AO361" s="102">
        <f t="shared" si="140"/>
        <v>58</v>
      </c>
      <c r="AP361" s="102">
        <f t="shared" si="141"/>
        <v>8</v>
      </c>
      <c r="AQ361" s="102">
        <f>SUMPRODUCT(LEN(E361)-LEN(SUBSTITUTE(E361,{"!","¡","?","¿",":",",",".","%","·","-",";"},"")))</f>
        <v>3</v>
      </c>
      <c r="AR361" s="102" t="str">
        <f t="shared" si="142"/>
        <v>Sí</v>
      </c>
      <c r="AS361" s="102" t="str">
        <f t="shared" si="143"/>
        <v>No</v>
      </c>
      <c r="AT361" s="102" t="str">
        <f>IF(SUMPRODUCT(--ISNUMBER(FIND({"0","1","2","3","4","5","6","7","8","9"},E361)))&gt;0,"Con cifra concreta",IF(OR(ISNUMBER(FIND("?",E361)),ISNUMBER(FIND("¿",E361))),"Pregunta abierta",IF(SUMPRODUCT(--ISNUMBER(SEARCH({" hoy ","horas","tiempo limitado","antes de que","se acab","se agot","finalic","última oportunidad","oportunidad única","relámpago","express","no esperes","no volver","no parpadees"," ya ","últimas horas","últimas unidades"," ahora "},AF361)))&gt;0,"Solo urgencia, sin cifra",IF(SUMPRODUCT(--ISNUMBER(SEARCH({"recompensa","sorpresa","regalo","lealtad","detalle","gracias","pensamos en ti","para ti"},E361)))&gt;0,"Recompensa o sorpresa","Otro: beneficio o novedad"))))</f>
        <v>Recompensa o sorpresa</v>
      </c>
    </row>
    <row r="362" spans="1:46" x14ac:dyDescent="0.2">
      <c r="A362" s="104" t="s">
        <v>1233</v>
      </c>
      <c r="B362" s="104" t="s">
        <v>279</v>
      </c>
      <c r="C362" s="104" t="s">
        <v>915</v>
      </c>
      <c r="D362" s="104" t="s">
        <v>769</v>
      </c>
      <c r="E362" s="104" t="s">
        <v>472</v>
      </c>
      <c r="F362" s="104" t="s">
        <v>473</v>
      </c>
      <c r="G362" s="105">
        <v>344357</v>
      </c>
      <c r="H362" s="105">
        <v>68393</v>
      </c>
      <c r="I362" s="105">
        <v>41295</v>
      </c>
      <c r="J362" s="106">
        <v>9.6</v>
      </c>
      <c r="K362" s="106">
        <v>4.13</v>
      </c>
      <c r="L362" s="107">
        <v>50990.21</v>
      </c>
      <c r="M362" s="108">
        <f t="shared" si="120"/>
        <v>19.861074408244932</v>
      </c>
      <c r="N362" s="108">
        <f t="shared" si="121"/>
        <v>11.99191536690121</v>
      </c>
      <c r="O362" s="108">
        <f t="shared" si="122"/>
        <v>60.378986153553726</v>
      </c>
      <c r="P362" s="108">
        <f t="shared" si="123"/>
        <v>148.07368515813531</v>
      </c>
      <c r="Q362" s="108">
        <f t="shared" si="124"/>
        <v>22.891293825435607</v>
      </c>
      <c r="R362" s="108">
        <f t="shared" si="125"/>
        <v>27.75136451093497</v>
      </c>
      <c r="S362" s="101">
        <f t="shared" si="126"/>
        <v>45954</v>
      </c>
      <c r="T362" s="102" t="str">
        <f t="shared" si="127"/>
        <v>Octubre</v>
      </c>
      <c r="U362" s="102" t="str">
        <f t="shared" si="128"/>
        <v>Viernes</v>
      </c>
      <c r="V362" s="102">
        <f t="shared" si="129"/>
        <v>13</v>
      </c>
      <c r="W362" s="102" t="str">
        <f t="shared" si="130"/>
        <v>Resto del mes</v>
      </c>
      <c r="X362" s="102">
        <f t="shared" si="131"/>
        <v>29</v>
      </c>
      <c r="Y362" s="102" t="str">
        <f t="shared" si="132"/>
        <v>Sí</v>
      </c>
      <c r="Z362" s="102" t="str">
        <f>CHOOSE(MATCH(B362,{"Customer Appreciation","Exclusive Offers","Flash Sale","Holiday Discounts","New Product Launch","Newsletter"},0),"Fidelizar","Vender","Vender","Vender","Lanzar","Educar")</f>
        <v>Educar</v>
      </c>
      <c r="AA362" s="102" t="str">
        <f t="shared" si="133"/>
        <v>300 a 400 mil</v>
      </c>
      <c r="AB362" s="102">
        <f>COUNTIFS($E$5:$E$493,E362,$S$5:$S$493,"&lt;"&amp;S362)+COUNTIFS($E$5:E362,E362,$S$5:S362,S362)</f>
        <v>19</v>
      </c>
      <c r="AC362" s="102">
        <f t="shared" si="134"/>
        <v>22</v>
      </c>
      <c r="AD362" s="102" t="str">
        <f t="shared" si="135"/>
        <v>Último tercio</v>
      </c>
      <c r="AE362" s="103">
        <f t="shared" si="136"/>
        <v>-3.0302194171906756</v>
      </c>
      <c r="AF362" s="102" t="str">
        <f t="shared" si="137"/>
        <v xml:space="preserve"> tu dosis semanal de belleza  novedades y tips </v>
      </c>
      <c r="AG362" s="102" t="str">
        <f t="shared" si="138"/>
        <v xml:space="preserve"> novedades  tips y más para tu rutina diaria   entra ya  </v>
      </c>
      <c r="AH362" s="102" t="str">
        <f>IF(SUMPRODUCT(--(LEFT(IF(LEFT(LOWER(E362),1)="¡",MID(LOWER(E362),2,300),LOWER(E362)),LEN({"actualizaci","el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362" s="102" t="str">
        <f>IF(OR(SUMPRODUCT(--ISNUMBER(SEARCH({"descuento","oferta","ahorr","precio"," sale ","flash","deals"},AF362)))&gt;0,SUMPRODUCT(--ISNUMBER(SEARCH({"descuento","oferta","ahorr","precio"," sale ","flash","deals"},AG362)))&gt;0),"Sí","No")</f>
        <v>No</v>
      </c>
      <c r="AJ362" s="102" t="str">
        <f>IF(SUMPRODUCT(--ISNUMBER(SEARCH({" hoy ","horas","tiempo limitado","antes de que","se acab","se agot","finalic","última oportunidad","oportunidad única","relámpago","express","no esperes","no volver","no parpadees"},AF362)))&gt;0,"Sí","No")</f>
        <v>No</v>
      </c>
      <c r="AK362" s="102" t="str">
        <f>IF(SUMPRODUCT(--ISNUMBER(SEARCH({" hoy ","horas","tiempo limitado","antes de que","se acab","se agot","finalic","última oportunidad","oportunidad única","relámpago","express","no esperes","no volver","no parpadees"},AG362)))&gt;0,"Sí","No")</f>
        <v>No</v>
      </c>
      <c r="AL362" s="102" t="str">
        <f t="shared" si="139"/>
        <v>Sin descuento</v>
      </c>
      <c r="AM362" s="102" t="str">
        <f>IF(SUMPRODUCT(--ISNUMBER(SEARCH({"0","1","2","3","4","5","6","7","8","9","favorit","maquillaje","piel","cabello","productos","belleza","regalo"},E362)))&gt;0,"Sí","No")</f>
        <v>Sí</v>
      </c>
      <c r="AN362" s="102" t="str">
        <f>IF(SUMPRODUCT(--ISNUMBER(SEARCH({"lo que tenemos","estas ofertas","algo especial","ofertas únicas","que preparamos","no te quedes","echa un vistazo"},F362)))&gt;0,"Sí","No")</f>
        <v>No</v>
      </c>
      <c r="AO362" s="102">
        <f t="shared" si="140"/>
        <v>45</v>
      </c>
      <c r="AP362" s="102">
        <f t="shared" si="141"/>
        <v>8</v>
      </c>
      <c r="AQ362" s="102">
        <f>SUMPRODUCT(LEN(E362)-LEN(SUBSTITUTE(E362,{"!","¡","?","¿",":",",",".","%","·","-",";"},"")))</f>
        <v>1</v>
      </c>
      <c r="AR362" s="102" t="str">
        <f t="shared" si="142"/>
        <v>Sí</v>
      </c>
      <c r="AS362" s="102" t="str">
        <f t="shared" si="143"/>
        <v>No</v>
      </c>
      <c r="AT362" s="102" t="str">
        <f>IF(SUMPRODUCT(--ISNUMBER(FIND({"0","1","2","3","4","5","6","7","8","9"},E362)))&gt;0,"Con cifra concreta",IF(OR(ISNUMBER(FIND("?",E362)),ISNUMBER(FIND("¿",E362))),"Pregunta abierta",IF(SUMPRODUCT(--ISNUMBER(SEARCH({" hoy ","horas","tiempo limitado","antes de que","se acab","se agot","finalic","última oportunidad","oportunidad única","relámpago","express","no esperes","no volver","no parpadees"," ya ","últimas horas","últimas unidades"," ahora "},AF362)))&gt;0,"Solo urgencia, sin cifra",IF(SUMPRODUCT(--ISNUMBER(SEARCH({"recompensa","sorpresa","regalo","lealtad","detalle","gracias","pensamos en ti","para ti"},E362)))&gt;0,"Recompensa o sorpresa","Otro: beneficio o novedad"))))</f>
        <v>Otro: beneficio o novedad</v>
      </c>
    </row>
    <row r="363" spans="1:46" x14ac:dyDescent="0.2">
      <c r="A363" s="96" t="s">
        <v>1234</v>
      </c>
      <c r="B363" s="96" t="s">
        <v>276</v>
      </c>
      <c r="C363" s="96" t="s">
        <v>917</v>
      </c>
      <c r="D363" s="96" t="s">
        <v>774</v>
      </c>
      <c r="E363" s="96" t="s">
        <v>474</v>
      </c>
      <c r="F363" s="96" t="s">
        <v>475</v>
      </c>
      <c r="G363" s="97">
        <v>205456</v>
      </c>
      <c r="H363" s="97">
        <v>18826</v>
      </c>
      <c r="I363" s="97">
        <v>3472</v>
      </c>
      <c r="J363" s="98">
        <v>1.52</v>
      </c>
      <c r="K363" s="98">
        <v>2.78</v>
      </c>
      <c r="L363" s="99">
        <v>20044.75</v>
      </c>
      <c r="M363" s="100">
        <f t="shared" si="120"/>
        <v>9.1630324741063784</v>
      </c>
      <c r="N363" s="100">
        <f t="shared" si="121"/>
        <v>1.6898995405342263</v>
      </c>
      <c r="O363" s="100">
        <f t="shared" si="122"/>
        <v>18.442579411452247</v>
      </c>
      <c r="P363" s="100">
        <f t="shared" si="123"/>
        <v>97.562251771668869</v>
      </c>
      <c r="Q363" s="100">
        <f t="shared" si="124"/>
        <v>22.775066640377752</v>
      </c>
      <c r="R363" s="100">
        <f t="shared" si="125"/>
        <v>29.440902453236173</v>
      </c>
      <c r="S363" s="101">
        <f t="shared" si="126"/>
        <v>45916</v>
      </c>
      <c r="T363" s="102" t="str">
        <f t="shared" si="127"/>
        <v>Septiembre</v>
      </c>
      <c r="U363" s="102" t="str">
        <f t="shared" si="128"/>
        <v>Martes</v>
      </c>
      <c r="V363" s="102">
        <f t="shared" si="129"/>
        <v>11</v>
      </c>
      <c r="W363" s="102" t="str">
        <f t="shared" si="130"/>
        <v>Quincena</v>
      </c>
      <c r="X363" s="102">
        <f t="shared" si="131"/>
        <v>27</v>
      </c>
      <c r="Y363" s="102" t="str">
        <f t="shared" si="132"/>
        <v>Sí</v>
      </c>
      <c r="Z363" s="102" t="str">
        <f>CHOOSE(MATCH(B363,{"Customer Appreciation","Exclusive Offers","Flash Sale","Holiday Discounts","New Product Launch","Newsletter"},0),"Fidelizar","Vender","Vender","Vender","Lanzar","Educar")</f>
        <v>Vender</v>
      </c>
      <c r="AA363" s="102" t="str">
        <f t="shared" si="133"/>
        <v>200 a 300 mil</v>
      </c>
      <c r="AB363" s="102">
        <f>COUNTIFS($E$5:$E$493,E363,$S$5:$S$493,"&lt;"&amp;S363)+COUNTIFS($E$5:E363,E363,$S$5:S363,S363)</f>
        <v>13</v>
      </c>
      <c r="AC363" s="102">
        <f t="shared" si="134"/>
        <v>20</v>
      </c>
      <c r="AD363" s="102" t="str">
        <f t="shared" si="135"/>
        <v>Medio</v>
      </c>
      <c r="AE363" s="103">
        <f t="shared" si="136"/>
        <v>-13.612034166271373</v>
      </c>
      <c r="AF363" s="102" t="str">
        <f t="shared" si="137"/>
        <v xml:space="preserve">  aprovecha antes de que se acabe  oferta flash  productos top </v>
      </c>
      <c r="AG363" s="102" t="str">
        <f t="shared" si="138"/>
        <v xml:space="preserve"> grandes descuentos por tiempo limitado   no te lo pierdas  </v>
      </c>
      <c r="AH363" s="102" t="str">
        <f>IF(SUMPRODUCT(--(LEFT(IF(LEFT(LOWER(E363),1)="¡",MID(LOWER(E363),2,300),LOWER(E363)),LEN({"actualizaci","el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363" s="102" t="str">
        <f>IF(OR(SUMPRODUCT(--ISNUMBER(SEARCH({"descuento","oferta","ahorr","precio"," sale ","flash","deals"},AF363)))&gt;0,SUMPRODUCT(--ISNUMBER(SEARCH({"descuento","oferta","ahorr","precio"," sale ","flash","deals"},AG363)))&gt;0),"Sí","No")</f>
        <v>Sí</v>
      </c>
      <c r="AJ363" s="102" t="str">
        <f>IF(SUMPRODUCT(--ISNUMBER(SEARCH({" hoy ","horas","tiempo limitado","antes de que","se acab","se agot","finalic","última oportunidad","oportunidad única","relámpago","express","no esperes","no volver","no parpadees"},AF363)))&gt;0,"Sí","No")</f>
        <v>Sí</v>
      </c>
      <c r="AK363" s="102" t="str">
        <f>IF(SUMPRODUCT(--ISNUMBER(SEARCH({" hoy ","horas","tiempo limitado","antes de que","se acab","se agot","finalic","última oportunidad","oportunidad única","relámpago","express","no esperes","no volver","no parpadees"},AG363)))&gt;0,"Sí","No")</f>
        <v>Sí</v>
      </c>
      <c r="AL363" s="102" t="str">
        <f t="shared" si="139"/>
        <v>Descuento con tiempo límite en el asunto</v>
      </c>
      <c r="AM363" s="102" t="str">
        <f>IF(SUMPRODUCT(--ISNUMBER(SEARCH({"0","1","2","3","4","5","6","7","8","9","favorit","maquillaje","piel","cabello","productos","belleza","regalo"},E363)))&gt;0,"Sí","No")</f>
        <v>Sí</v>
      </c>
      <c r="AN363" s="102" t="str">
        <f>IF(SUMPRODUCT(--ISNUMBER(SEARCH({"lo que tenemos","estas ofertas","algo especial","ofertas únicas","que preparamos","no te quedes","echa un vistazo"},F363)))&gt;0,"Sí","No")</f>
        <v>No</v>
      </c>
      <c r="AO363" s="102">
        <f t="shared" si="140"/>
        <v>61</v>
      </c>
      <c r="AP363" s="102">
        <f t="shared" si="141"/>
        <v>10</v>
      </c>
      <c r="AQ363" s="102">
        <f>SUMPRODUCT(LEN(E363)-LEN(SUBSTITUTE(E363,{"!","¡","?","¿",":",",",".","%","·","-",";"},"")))</f>
        <v>3</v>
      </c>
      <c r="AR363" s="102" t="str">
        <f t="shared" si="142"/>
        <v>No</v>
      </c>
      <c r="AS363" s="102" t="str">
        <f t="shared" si="143"/>
        <v>No</v>
      </c>
      <c r="AT363" s="102" t="str">
        <f>IF(SUMPRODUCT(--ISNUMBER(FIND({"0","1","2","3","4","5","6","7","8","9"},E363)))&gt;0,"Con cifra concreta",IF(OR(ISNUMBER(FIND("?",E363)),ISNUMBER(FIND("¿",E363))),"Pregunta abierta",IF(SUMPRODUCT(--ISNUMBER(SEARCH({" hoy ","horas","tiempo limitado","antes de que","se acab","se agot","finalic","última oportunidad","oportunidad única","relámpago","express","no esperes","no volver","no parpadees"," ya ","últimas horas","últimas unidades"," ahora "},AF363)))&gt;0,"Solo urgencia, sin cifra",IF(SUMPRODUCT(--ISNUMBER(SEARCH({"recompensa","sorpresa","regalo","lealtad","detalle","gracias","pensamos en ti","para ti"},E363)))&gt;0,"Recompensa o sorpresa","Otro: beneficio o novedad"))))</f>
        <v>Solo urgencia, sin cifra</v>
      </c>
    </row>
    <row r="364" spans="1:46" x14ac:dyDescent="0.2">
      <c r="A364" s="104" t="s">
        <v>1235</v>
      </c>
      <c r="B364" s="104" t="s">
        <v>274</v>
      </c>
      <c r="C364" s="104" t="s">
        <v>923</v>
      </c>
      <c r="D364" s="104" t="s">
        <v>729</v>
      </c>
      <c r="E364" s="104" t="s">
        <v>372</v>
      </c>
      <c r="F364" s="104" t="s">
        <v>480</v>
      </c>
      <c r="G364" s="105">
        <v>320990</v>
      </c>
      <c r="H364" s="105">
        <v>140954</v>
      </c>
      <c r="I364" s="105">
        <v>9811</v>
      </c>
      <c r="J364" s="106">
        <v>7.9</v>
      </c>
      <c r="K364" s="106">
        <v>0.34</v>
      </c>
      <c r="L364" s="107">
        <v>59386.84</v>
      </c>
      <c r="M364" s="108">
        <f t="shared" si="120"/>
        <v>43.912271410324308</v>
      </c>
      <c r="N364" s="108">
        <f t="shared" si="121"/>
        <v>3.0564815103274245</v>
      </c>
      <c r="O364" s="108">
        <f t="shared" si="122"/>
        <v>6.9604268059083108</v>
      </c>
      <c r="P364" s="108">
        <f t="shared" si="123"/>
        <v>185.01149568522382</v>
      </c>
      <c r="Q364" s="108">
        <f t="shared" si="124"/>
        <v>20.724631699294946</v>
      </c>
      <c r="R364" s="108">
        <f t="shared" si="125"/>
        <v>31.113650744455075</v>
      </c>
      <c r="S364" s="101">
        <f t="shared" si="126"/>
        <v>45873</v>
      </c>
      <c r="T364" s="102" t="str">
        <f t="shared" si="127"/>
        <v>Agosto</v>
      </c>
      <c r="U364" s="102" t="str">
        <f t="shared" si="128"/>
        <v>Lunes</v>
      </c>
      <c r="V364" s="102">
        <f t="shared" si="129"/>
        <v>10</v>
      </c>
      <c r="W364" s="102" t="str">
        <f t="shared" si="130"/>
        <v>Días después del pago</v>
      </c>
      <c r="X364" s="102">
        <f t="shared" si="131"/>
        <v>24</v>
      </c>
      <c r="Y364" s="102" t="str">
        <f t="shared" si="132"/>
        <v>Sí</v>
      </c>
      <c r="Z364" s="102" t="str">
        <f>CHOOSE(MATCH(B364,{"Customer Appreciation","Exclusive Offers","Flash Sale","Holiday Discounts","New Product Launch","Newsletter"},0),"Fidelizar","Vender","Vender","Vender","Lanzar","Educar")</f>
        <v>Fidelizar</v>
      </c>
      <c r="AA364" s="102" t="str">
        <f t="shared" si="133"/>
        <v>300 a 400 mil</v>
      </c>
      <c r="AB364" s="102">
        <f>COUNTIFS($E$5:$E$493,E364,$S$5:$S$493,"&lt;"&amp;S364)+COUNTIFS($E$5:E364,E364,$S$5:S364,S364)</f>
        <v>1</v>
      </c>
      <c r="AC364" s="102">
        <f t="shared" si="134"/>
        <v>14</v>
      </c>
      <c r="AD364" s="102" t="str">
        <f t="shared" si="135"/>
        <v>Primer tercio</v>
      </c>
      <c r="AE364" s="103">
        <f t="shared" si="136"/>
        <v>23.187639711029362</v>
      </c>
      <c r="AF364" s="102" t="str">
        <f t="shared" si="137"/>
        <v xml:space="preserve">  un pequeño detalle para agradecerte tu lealtad  l'oréal </v>
      </c>
      <c r="AG364" s="102" t="str">
        <f t="shared" si="138"/>
        <v xml:space="preserve"> echa un vistazo a lo que tenemos para ti   te va a encantar  </v>
      </c>
      <c r="AH364" s="102" t="str">
        <f>IF(SUMPRODUCT(--(LEFT(IF(LEFT(LOWER(E364),1)="¡",MID(LOWER(E364),2,300),LOWER(E364)),LEN({"actualizaci","el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Sí</v>
      </c>
      <c r="AI364" s="102" t="str">
        <f>IF(OR(SUMPRODUCT(--ISNUMBER(SEARCH({"descuento","oferta","ahorr","precio"," sale ","flash","deals"},AF364)))&gt;0,SUMPRODUCT(--ISNUMBER(SEARCH({"descuento","oferta","ahorr","precio"," sale ","flash","deals"},AG364)))&gt;0),"Sí","No")</f>
        <v>No</v>
      </c>
      <c r="AJ364" s="102" t="str">
        <f>IF(SUMPRODUCT(--ISNUMBER(SEARCH({" hoy ","horas","tiempo limitado","antes de que","se acab","se agot","finalic","última oportunidad","oportunidad única","relámpago","express","no esperes","no volver","no parpadees"},AF364)))&gt;0,"Sí","No")</f>
        <v>No</v>
      </c>
      <c r="AK364" s="102" t="str">
        <f>IF(SUMPRODUCT(--ISNUMBER(SEARCH({" hoy ","horas","tiempo limitado","antes de que","se acab","se agot","finalic","última oportunidad","oportunidad única","relámpago","express","no esperes","no volver","no parpadees"},AG364)))&gt;0,"Sí","No")</f>
        <v>No</v>
      </c>
      <c r="AL364" s="102" t="str">
        <f t="shared" si="139"/>
        <v>Sin descuento</v>
      </c>
      <c r="AM364" s="102" t="str">
        <f>IF(SUMPRODUCT(--ISNUMBER(SEARCH({"0","1","2","3","4","5","6","7","8","9","favorit","maquillaje","piel","cabello","productos","belleza","regalo"},E364)))&gt;0,"Sí","No")</f>
        <v>No</v>
      </c>
      <c r="AN364" s="102" t="str">
        <f>IF(SUMPRODUCT(--ISNUMBER(SEARCH({"lo que tenemos","estas ofertas","algo especial","ofertas únicas","que preparamos","no te quedes","echa un vistazo"},F364)))&gt;0,"Sí","No")</f>
        <v>Sí</v>
      </c>
      <c r="AO364" s="102">
        <f t="shared" si="140"/>
        <v>56</v>
      </c>
      <c r="AP364" s="102">
        <f t="shared" si="141"/>
        <v>8</v>
      </c>
      <c r="AQ364" s="102">
        <f>SUMPRODUCT(LEN(E364)-LEN(SUBSTITUTE(E364,{"!","¡","?","¿",":",",",".","%","·","-",";"},"")))</f>
        <v>2</v>
      </c>
      <c r="AR364" s="102" t="str">
        <f t="shared" si="142"/>
        <v>Sí</v>
      </c>
      <c r="AS364" s="102" t="str">
        <f t="shared" si="143"/>
        <v>No</v>
      </c>
      <c r="AT364" s="102" t="str">
        <f>IF(SUMPRODUCT(--ISNUMBER(FIND({"0","1","2","3","4","5","6","7","8","9"},E364)))&gt;0,"Con cifra concreta",IF(OR(ISNUMBER(FIND("?",E364)),ISNUMBER(FIND("¿",E364))),"Pregunta abierta",IF(SUMPRODUCT(--ISNUMBER(SEARCH({" hoy ","horas","tiempo limitado","antes de que","se acab","se agot","finalic","última oportunidad","oportunidad única","relámpago","express","no esperes","no volver","no parpadees"," ya ","últimas horas","últimas unidades"," ahora "},AF364)))&gt;0,"Solo urgencia, sin cifra",IF(SUMPRODUCT(--ISNUMBER(SEARCH({"recompensa","sorpresa","regalo","lealtad","detalle","gracias","pensamos en ti","para ti"},E364)))&gt;0,"Recompensa o sorpresa","Otro: beneficio o novedad"))))</f>
        <v>Recompensa o sorpresa</v>
      </c>
    </row>
    <row r="365" spans="1:46" x14ac:dyDescent="0.2">
      <c r="A365" s="96" t="s">
        <v>1236</v>
      </c>
      <c r="B365" s="96" t="s">
        <v>275</v>
      </c>
      <c r="C365" s="96" t="s">
        <v>793</v>
      </c>
      <c r="D365" s="96" t="s">
        <v>947</v>
      </c>
      <c r="E365" s="96" t="s">
        <v>481</v>
      </c>
      <c r="F365" s="96" t="s">
        <v>482</v>
      </c>
      <c r="G365" s="97">
        <v>21323</v>
      </c>
      <c r="H365" s="97">
        <v>4829</v>
      </c>
      <c r="I365" s="97">
        <v>3055</v>
      </c>
      <c r="J365" s="98">
        <v>9.0399999999999991</v>
      </c>
      <c r="K365" s="98">
        <v>1.31</v>
      </c>
      <c r="L365" s="99">
        <v>79219.360000000001</v>
      </c>
      <c r="M365" s="100">
        <f t="shared" si="120"/>
        <v>22.646907095624442</v>
      </c>
      <c r="N365" s="100">
        <f t="shared" si="121"/>
        <v>14.327252262814802</v>
      </c>
      <c r="O365" s="100">
        <f t="shared" si="122"/>
        <v>63.263615655415194</v>
      </c>
      <c r="P365" s="100">
        <f t="shared" si="123"/>
        <v>3715.2070534164986</v>
      </c>
      <c r="Q365" s="100">
        <f t="shared" si="124"/>
        <v>18.428686186240089</v>
      </c>
      <c r="R365" s="100">
        <f t="shared" si="125"/>
        <v>27.021447627328243</v>
      </c>
      <c r="S365" s="101">
        <f t="shared" si="126"/>
        <v>45939</v>
      </c>
      <c r="T365" s="102" t="str">
        <f t="shared" si="127"/>
        <v>Octubre</v>
      </c>
      <c r="U365" s="102" t="str">
        <f t="shared" si="128"/>
        <v>Jueves</v>
      </c>
      <c r="V365" s="102">
        <f t="shared" si="129"/>
        <v>9</v>
      </c>
      <c r="W365" s="102" t="str">
        <f t="shared" si="130"/>
        <v>Resto del mes</v>
      </c>
      <c r="X365" s="102">
        <f t="shared" si="131"/>
        <v>27</v>
      </c>
      <c r="Y365" s="102" t="str">
        <f t="shared" si="132"/>
        <v>Sí</v>
      </c>
      <c r="Z365" s="102" t="str">
        <f>CHOOSE(MATCH(B365,{"Customer Appreciation","Exclusive Offers","Flash Sale","Holiday Discounts","New Product Launch","Newsletter"},0),"Fidelizar","Vender","Vender","Vender","Lanzar","Educar")</f>
        <v>Vender</v>
      </c>
      <c r="AA365" s="102" t="str">
        <f t="shared" si="133"/>
        <v>Menos de 100 mil</v>
      </c>
      <c r="AB365" s="102">
        <f>COUNTIFS($E$5:$E$493,E365,$S$5:$S$493,"&lt;"&amp;S365)+COUNTIFS($E$5:E365,E365,$S$5:S365,S365)</f>
        <v>7</v>
      </c>
      <c r="AC365" s="102">
        <f t="shared" si="134"/>
        <v>11</v>
      </c>
      <c r="AD365" s="102" t="str">
        <f t="shared" si="135"/>
        <v>Medio</v>
      </c>
      <c r="AE365" s="103">
        <f t="shared" si="136"/>
        <v>4.2182209093843532</v>
      </c>
      <c r="AF365" s="102" t="str">
        <f t="shared" si="137"/>
        <v xml:space="preserve">  oportunidad única  solo por hoy  tus favoritos a un clic </v>
      </c>
      <c r="AG365" s="102" t="str">
        <f t="shared" si="138"/>
        <v xml:space="preserve"> tus productos favoritos con un precio que no volverás a ver   aprovecha  </v>
      </c>
      <c r="AH365" s="102" t="str">
        <f>IF(SUMPRODUCT(--(LEFT(IF(LEFT(LOWER(E365),1)="¡",MID(LOWER(E365),2,300),LOWER(E365)),LEN({"actualizaci","el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Sí</v>
      </c>
      <c r="AI365" s="102" t="str">
        <f>IF(OR(SUMPRODUCT(--ISNUMBER(SEARCH({"descuento","oferta","ahorr","precio"," sale ","flash","deals"},AF365)))&gt;0,SUMPRODUCT(--ISNUMBER(SEARCH({"descuento","oferta","ahorr","precio"," sale ","flash","deals"},AG365)))&gt;0),"Sí","No")</f>
        <v>Sí</v>
      </c>
      <c r="AJ365" s="102" t="str">
        <f>IF(SUMPRODUCT(--ISNUMBER(SEARCH({" hoy ","horas","tiempo limitado","antes de que","se acab","se agot","finalic","última oportunidad","oportunidad única","relámpago","express","no esperes","no volver","no parpadees"},AF365)))&gt;0,"Sí","No")</f>
        <v>Sí</v>
      </c>
      <c r="AK365" s="102" t="str">
        <f>IF(SUMPRODUCT(--ISNUMBER(SEARCH({" hoy ","horas","tiempo limitado","antes de que","se acab","se agot","finalic","última oportunidad","oportunidad única","relámpago","express","no esperes","no volver","no parpadees"},AG365)))&gt;0,"Sí","No")</f>
        <v>Sí</v>
      </c>
      <c r="AL365" s="102" t="str">
        <f t="shared" si="139"/>
        <v>Descuento con tiempo límite en el asunto</v>
      </c>
      <c r="AM365" s="102" t="str">
        <f>IF(SUMPRODUCT(--ISNUMBER(SEARCH({"0","1","2","3","4","5","6","7","8","9","favorit","maquillaje","piel","cabello","productos","belleza","regalo"},E365)))&gt;0,"Sí","No")</f>
        <v>Sí</v>
      </c>
      <c r="AN365" s="102" t="str">
        <f>IF(SUMPRODUCT(--ISNUMBER(SEARCH({"lo que tenemos","estas ofertas","algo especial","ofertas únicas","que preparamos","no te quedes","echa un vistazo"},F365)))&gt;0,"Sí","No")</f>
        <v>No</v>
      </c>
      <c r="AO365" s="102">
        <f t="shared" si="140"/>
        <v>57</v>
      </c>
      <c r="AP365" s="102">
        <f t="shared" si="141"/>
        <v>10</v>
      </c>
      <c r="AQ365" s="102">
        <f>SUMPRODUCT(LEN(E365)-LEN(SUBSTITUTE(E365,{"!","¡","?","¿",":",",",".","%","·","-",";"},"")))</f>
        <v>3</v>
      </c>
      <c r="AR365" s="102" t="str">
        <f t="shared" si="142"/>
        <v>No</v>
      </c>
      <c r="AS365" s="102" t="str">
        <f t="shared" si="143"/>
        <v>No</v>
      </c>
      <c r="AT365" s="102" t="str">
        <f>IF(SUMPRODUCT(--ISNUMBER(FIND({"0","1","2","3","4","5","6","7","8","9"},E365)))&gt;0,"Con cifra concreta",IF(OR(ISNUMBER(FIND("?",E365)),ISNUMBER(FIND("¿",E365))),"Pregunta abierta",IF(SUMPRODUCT(--ISNUMBER(SEARCH({" hoy ","horas","tiempo limitado","antes de que","se acab","se agot","finalic","última oportunidad","oportunidad única","relámpago","express","no esperes","no volver","no parpadees"," ya ","últimas horas","últimas unidades"," ahora "},AF365)))&gt;0,"Solo urgencia, sin cifra",IF(SUMPRODUCT(--ISNUMBER(SEARCH({"recompensa","sorpresa","regalo","lealtad","detalle","gracias","pensamos en ti","para ti"},E365)))&gt;0,"Recompensa o sorpresa","Otro: beneficio o novedad"))))</f>
        <v>Solo urgencia, sin cifra</v>
      </c>
    </row>
    <row r="366" spans="1:46" x14ac:dyDescent="0.2">
      <c r="A366" s="104" t="s">
        <v>1237</v>
      </c>
      <c r="B366" s="104" t="s">
        <v>275</v>
      </c>
      <c r="C366" s="104" t="s">
        <v>976</v>
      </c>
      <c r="D366" s="104" t="s">
        <v>751</v>
      </c>
      <c r="E366" s="104" t="s">
        <v>882</v>
      </c>
      <c r="F366" s="104" t="s">
        <v>883</v>
      </c>
      <c r="G366" s="105">
        <v>190724</v>
      </c>
      <c r="H366" s="105">
        <v>33413</v>
      </c>
      <c r="I366" s="105">
        <v>10279</v>
      </c>
      <c r="J366" s="106">
        <v>5.2</v>
      </c>
      <c r="K366" s="106">
        <v>0.73</v>
      </c>
      <c r="L366" s="107">
        <v>17378.310000000001</v>
      </c>
      <c r="M366" s="108">
        <f t="shared" si="120"/>
        <v>17.519032738407329</v>
      </c>
      <c r="N366" s="108">
        <f t="shared" si="121"/>
        <v>5.3894633082359853</v>
      </c>
      <c r="O366" s="108">
        <f t="shared" si="122"/>
        <v>30.763475294047225</v>
      </c>
      <c r="P366" s="108">
        <f t="shared" si="123"/>
        <v>91.117583523835492</v>
      </c>
      <c r="Q366" s="108">
        <f t="shared" si="124"/>
        <v>19.375383213349011</v>
      </c>
      <c r="R366" s="108">
        <f t="shared" si="125"/>
        <v>27.021447627328243</v>
      </c>
      <c r="S366" s="101">
        <f t="shared" si="126"/>
        <v>45892</v>
      </c>
      <c r="T366" s="102" t="str">
        <f t="shared" si="127"/>
        <v>Agosto</v>
      </c>
      <c r="U366" s="102" t="str">
        <f t="shared" si="128"/>
        <v>Sábado</v>
      </c>
      <c r="V366" s="102">
        <f t="shared" si="129"/>
        <v>11</v>
      </c>
      <c r="W366" s="102" t="str">
        <f t="shared" si="130"/>
        <v>Resto del mes</v>
      </c>
      <c r="X366" s="102">
        <f t="shared" si="131"/>
        <v>25</v>
      </c>
      <c r="Y366" s="102" t="str">
        <f t="shared" si="132"/>
        <v>Sí</v>
      </c>
      <c r="Z366" s="102" t="str">
        <f>CHOOSE(MATCH(B366,{"Customer Appreciation","Exclusive Offers","Flash Sale","Holiday Discounts","New Product Launch","Newsletter"},0),"Fidelizar","Vender","Vender","Vender","Lanzar","Educar")</f>
        <v>Vender</v>
      </c>
      <c r="AA366" s="102" t="str">
        <f t="shared" si="133"/>
        <v>100 a 200 mil</v>
      </c>
      <c r="AB366" s="102">
        <f>COUNTIFS($E$5:$E$493,E366,$S$5:$S$493,"&lt;"&amp;S366)+COUNTIFS($E$5:E366,E366,$S$5:S366,S366)</f>
        <v>4</v>
      </c>
      <c r="AC366" s="102">
        <f t="shared" si="134"/>
        <v>5</v>
      </c>
      <c r="AD366" s="102" t="str">
        <f t="shared" si="135"/>
        <v/>
      </c>
      <c r="AE366" s="103">
        <f t="shared" si="136"/>
        <v>-1.8563504749416815</v>
      </c>
      <c r="AF366" s="102" t="str">
        <f t="shared" si="137"/>
        <v xml:space="preserve">  descuentos que no querrás perderte  l'oréal para ti </v>
      </c>
      <c r="AG366" s="102" t="str">
        <f t="shared" si="138"/>
        <v xml:space="preserve"> solo para nuestra comunidad más fiel   acceso limitado  </v>
      </c>
      <c r="AH366" s="102" t="str">
        <f>IF(SUMPRODUCT(--(LEFT(IF(LEFT(LOWER(E366),1)="¡",MID(LOWER(E366),2,300),LOWER(E366)),LEN({"actualizaci","el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Sí</v>
      </c>
      <c r="AI366" s="102" t="str">
        <f>IF(OR(SUMPRODUCT(--ISNUMBER(SEARCH({"descuento","oferta","ahorr","precio"," sale ","flash","deals"},AF366)))&gt;0,SUMPRODUCT(--ISNUMBER(SEARCH({"descuento","oferta","ahorr","precio"," sale ","flash","deals"},AG366)))&gt;0),"Sí","No")</f>
        <v>Sí</v>
      </c>
      <c r="AJ366" s="102" t="str">
        <f>IF(SUMPRODUCT(--ISNUMBER(SEARCH({" hoy ","horas","tiempo limitado","antes de que","se acab","se agot","finalic","última oportunidad","oportunidad única","relámpago","express","no esperes","no volver","no parpadees"},AF366)))&gt;0,"Sí","No")</f>
        <v>No</v>
      </c>
      <c r="AK366" s="102" t="str">
        <f>IF(SUMPRODUCT(--ISNUMBER(SEARCH({" hoy ","horas","tiempo limitado","antes de que","se acab","se agot","finalic","última oportunidad","oportunidad única","relámpago","express","no esperes","no volver","no parpadees"},AG366)))&gt;0,"Sí","No")</f>
        <v>No</v>
      </c>
      <c r="AL366" s="102" t="str">
        <f t="shared" si="139"/>
        <v>Descuento sin tiempo límite</v>
      </c>
      <c r="AM366" s="102" t="str">
        <f>IF(SUMPRODUCT(--ISNUMBER(SEARCH({"0","1","2","3","4","5","6","7","8","9","favorit","maquillaje","piel","cabello","productos","belleza","regalo"},E366)))&gt;0,"Sí","No")</f>
        <v>No</v>
      </c>
      <c r="AN366" s="102" t="str">
        <f>IF(SUMPRODUCT(--ISNUMBER(SEARCH({"lo que tenemos","estas ofertas","algo especial","ofertas únicas","que preparamos","no te quedes","echa un vistazo"},F366)))&gt;0,"Sí","No")</f>
        <v>No</v>
      </c>
      <c r="AO366" s="102">
        <f t="shared" si="140"/>
        <v>52</v>
      </c>
      <c r="AP366" s="102">
        <f t="shared" si="141"/>
        <v>8</v>
      </c>
      <c r="AQ366" s="102">
        <f>SUMPRODUCT(LEN(E366)-LEN(SUBSTITUTE(E366,{"!","¡","?","¿",":",",",".","%","·","-",";"},"")))</f>
        <v>2</v>
      </c>
      <c r="AR366" s="102" t="str">
        <f t="shared" si="142"/>
        <v>Sí</v>
      </c>
      <c r="AS366" s="102" t="str">
        <f t="shared" si="143"/>
        <v>No</v>
      </c>
      <c r="AT366" s="102" t="str">
        <f>IF(SUMPRODUCT(--ISNUMBER(FIND({"0","1","2","3","4","5","6","7","8","9"},E366)))&gt;0,"Con cifra concreta",IF(OR(ISNUMBER(FIND("?",E366)),ISNUMBER(FIND("¿",E366))),"Pregunta abierta",IF(SUMPRODUCT(--ISNUMBER(SEARCH({" hoy ","horas","tiempo limitado","antes de que","se acab","se agot","finalic","última oportunidad","oportunidad única","relámpago","express","no esperes","no volver","no parpadees"," ya ","últimas horas","últimas unidades"," ahora "},AF366)))&gt;0,"Solo urgencia, sin cifra",IF(SUMPRODUCT(--ISNUMBER(SEARCH({"recompensa","sorpresa","regalo","lealtad","detalle","gracias","pensamos en ti","para ti"},E366)))&gt;0,"Recompensa o sorpresa","Otro: beneficio o novedad"))))</f>
        <v>Recompensa o sorpresa</v>
      </c>
    </row>
    <row r="367" spans="1:46" x14ac:dyDescent="0.2">
      <c r="A367" s="96" t="s">
        <v>1238</v>
      </c>
      <c r="B367" s="96" t="s">
        <v>279</v>
      </c>
      <c r="C367" s="96" t="s">
        <v>742</v>
      </c>
      <c r="D367" s="96" t="s">
        <v>702</v>
      </c>
      <c r="E367" s="96" t="s">
        <v>463</v>
      </c>
      <c r="F367" s="96" t="s">
        <v>464</v>
      </c>
      <c r="G367" s="97">
        <v>362165</v>
      </c>
      <c r="H367" s="97">
        <v>132009</v>
      </c>
      <c r="I367" s="97">
        <v>12388</v>
      </c>
      <c r="J367" s="98">
        <v>2.69</v>
      </c>
      <c r="K367" s="98">
        <v>1.47</v>
      </c>
      <c r="L367" s="99">
        <v>52975.3</v>
      </c>
      <c r="M367" s="100">
        <f t="shared" si="120"/>
        <v>36.449960653293388</v>
      </c>
      <c r="N367" s="100">
        <f t="shared" si="121"/>
        <v>3.4205403614374665</v>
      </c>
      <c r="O367" s="100">
        <f t="shared" si="122"/>
        <v>9.3842086524403641</v>
      </c>
      <c r="P367" s="100">
        <f t="shared" si="123"/>
        <v>146.27393591318875</v>
      </c>
      <c r="Q367" s="100">
        <f t="shared" si="124"/>
        <v>33.412775116147934</v>
      </c>
      <c r="R367" s="100">
        <f t="shared" si="125"/>
        <v>27.75136451093497</v>
      </c>
      <c r="S367" s="101">
        <f t="shared" si="126"/>
        <v>45948</v>
      </c>
      <c r="T367" s="102" t="str">
        <f t="shared" si="127"/>
        <v>Octubre</v>
      </c>
      <c r="U367" s="102" t="str">
        <f t="shared" si="128"/>
        <v>Sábado</v>
      </c>
      <c r="V367" s="102">
        <f t="shared" si="129"/>
        <v>16</v>
      </c>
      <c r="W367" s="102" t="str">
        <f t="shared" si="130"/>
        <v>Días después del pago</v>
      </c>
      <c r="X367" s="102">
        <f t="shared" si="131"/>
        <v>27</v>
      </c>
      <c r="Y367" s="102" t="str">
        <f t="shared" si="132"/>
        <v>Sí</v>
      </c>
      <c r="Z367" s="102" t="str">
        <f>CHOOSE(MATCH(B367,{"Customer Appreciation","Exclusive Offers","Flash Sale","Holiday Discounts","New Product Launch","Newsletter"},0),"Fidelizar","Vender","Vender","Vender","Lanzar","Educar")</f>
        <v>Educar</v>
      </c>
      <c r="AA367" s="102" t="str">
        <f t="shared" si="133"/>
        <v>300 a 400 mil</v>
      </c>
      <c r="AB367" s="102">
        <f>COUNTIFS($E$5:$E$493,E367,$S$5:$S$493,"&lt;"&amp;S367)+COUNTIFS($E$5:E367,E367,$S$5:S367,S367)</f>
        <v>22</v>
      </c>
      <c r="AC367" s="102">
        <f t="shared" si="134"/>
        <v>25</v>
      </c>
      <c r="AD367" s="102" t="str">
        <f t="shared" si="135"/>
        <v>Último tercio</v>
      </c>
      <c r="AE367" s="103">
        <f t="shared" si="136"/>
        <v>3.0371855371454544</v>
      </c>
      <c r="AF367" s="102" t="str">
        <f t="shared" si="137"/>
        <v xml:space="preserve"> tu dosis de belleza   no te lo pierdas  tips y trucos </v>
      </c>
      <c r="AG367" s="102" t="str">
        <f t="shared" si="138"/>
        <v xml:space="preserve"> consejos expertos  tendencias y más en tu bandeja de entrada   descúbrelo  </v>
      </c>
      <c r="AH367" s="102" t="str">
        <f>IF(SUMPRODUCT(--(LEFT(IF(LEFT(LOWER(E367),1)="¡",MID(LOWER(E367),2,300),LOWER(E367)),LEN({"actualizaci","el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367" s="102" t="str">
        <f>IF(OR(SUMPRODUCT(--ISNUMBER(SEARCH({"descuento","oferta","ahorr","precio"," sale ","flash","deals"},AF367)))&gt;0,SUMPRODUCT(--ISNUMBER(SEARCH({"descuento","oferta","ahorr","precio"," sale ","flash","deals"},AG367)))&gt;0),"Sí","No")</f>
        <v>No</v>
      </c>
      <c r="AJ367" s="102" t="str">
        <f>IF(SUMPRODUCT(--ISNUMBER(SEARCH({" hoy ","horas","tiempo limitado","antes de que","se acab","se agot","finalic","última oportunidad","oportunidad única","relámpago","express","no esperes","no volver","no parpadees"},AF367)))&gt;0,"Sí","No")</f>
        <v>No</v>
      </c>
      <c r="AK367" s="102" t="str">
        <f>IF(SUMPRODUCT(--ISNUMBER(SEARCH({" hoy ","horas","tiempo limitado","antes de que","se acab","se agot","finalic","última oportunidad","oportunidad única","relámpago","express","no esperes","no volver","no parpadees"},AG367)))&gt;0,"Sí","No")</f>
        <v>No</v>
      </c>
      <c r="AL367" s="102" t="str">
        <f t="shared" si="139"/>
        <v>Sin descuento</v>
      </c>
      <c r="AM367" s="102" t="str">
        <f>IF(SUMPRODUCT(--ISNUMBER(SEARCH({"0","1","2","3","4","5","6","7","8","9","favorit","maquillaje","piel","cabello","productos","belleza","regalo"},E367)))&gt;0,"Sí","No")</f>
        <v>Sí</v>
      </c>
      <c r="AN367" s="102" t="str">
        <f>IF(SUMPRODUCT(--ISNUMBER(SEARCH({"lo que tenemos","estas ofertas","algo especial","ofertas únicas","que preparamos","no te quedes","echa un vistazo"},F367)))&gt;0,"Sí","No")</f>
        <v>No</v>
      </c>
      <c r="AO367" s="102">
        <f t="shared" si="140"/>
        <v>53</v>
      </c>
      <c r="AP367" s="102">
        <f t="shared" si="141"/>
        <v>11</v>
      </c>
      <c r="AQ367" s="102">
        <f>SUMPRODUCT(LEN(E367)-LEN(SUBSTITUTE(E367,{"!","¡","?","¿",":",",",".","%","·","-",";"},"")))</f>
        <v>3</v>
      </c>
      <c r="AR367" s="102" t="str">
        <f t="shared" si="142"/>
        <v>No</v>
      </c>
      <c r="AS367" s="102" t="str">
        <f t="shared" si="143"/>
        <v>No</v>
      </c>
      <c r="AT367" s="102" t="str">
        <f>IF(SUMPRODUCT(--ISNUMBER(FIND({"0","1","2","3","4","5","6","7","8","9"},E367)))&gt;0,"Con cifra concreta",IF(OR(ISNUMBER(FIND("?",E367)),ISNUMBER(FIND("¿",E367))),"Pregunta abierta",IF(SUMPRODUCT(--ISNUMBER(SEARCH({" hoy ","horas","tiempo limitado","antes de que","se acab","se agot","finalic","última oportunidad","oportunidad única","relámpago","express","no esperes","no volver","no parpadees"," ya ","últimas horas","últimas unidades"," ahora "},AF367)))&gt;0,"Solo urgencia, sin cifra",IF(SUMPRODUCT(--ISNUMBER(SEARCH({"recompensa","sorpresa","regalo","lealtad","detalle","gracias","pensamos en ti","para ti"},E367)))&gt;0,"Recompensa o sorpresa","Otro: beneficio o novedad"))))</f>
        <v>Otro: beneficio o novedad</v>
      </c>
    </row>
    <row r="368" spans="1:46" x14ac:dyDescent="0.2">
      <c r="A368" s="104" t="s">
        <v>1239</v>
      </c>
      <c r="B368" s="104" t="s">
        <v>276</v>
      </c>
      <c r="C368" s="104" t="s">
        <v>773</v>
      </c>
      <c r="D368" s="104" t="s">
        <v>707</v>
      </c>
      <c r="E368" s="104" t="s">
        <v>474</v>
      </c>
      <c r="F368" s="104" t="s">
        <v>475</v>
      </c>
      <c r="G368" s="105">
        <v>264283</v>
      </c>
      <c r="H368" s="105">
        <v>32646</v>
      </c>
      <c r="I368" s="105">
        <v>9191</v>
      </c>
      <c r="J368" s="106">
        <v>7.51</v>
      </c>
      <c r="K368" s="106">
        <v>3.63</v>
      </c>
      <c r="L368" s="107">
        <v>65956.160000000003</v>
      </c>
      <c r="M368" s="108">
        <f t="shared" si="120"/>
        <v>12.352667405773357</v>
      </c>
      <c r="N368" s="108">
        <f t="shared" si="121"/>
        <v>3.4777113927116008</v>
      </c>
      <c r="O368" s="108">
        <f t="shared" si="122"/>
        <v>28.153525699932608</v>
      </c>
      <c r="P368" s="108">
        <f t="shared" si="123"/>
        <v>249.56641176314784</v>
      </c>
      <c r="Q368" s="108">
        <f t="shared" si="124"/>
        <v>22.775066640377752</v>
      </c>
      <c r="R368" s="108">
        <f t="shared" si="125"/>
        <v>29.440902453236173</v>
      </c>
      <c r="S368" s="101">
        <f t="shared" si="126"/>
        <v>45909</v>
      </c>
      <c r="T368" s="102" t="str">
        <f t="shared" si="127"/>
        <v>Septiembre</v>
      </c>
      <c r="U368" s="102" t="str">
        <f t="shared" si="128"/>
        <v>Martes</v>
      </c>
      <c r="V368" s="102">
        <f t="shared" si="129"/>
        <v>13</v>
      </c>
      <c r="W368" s="102" t="str">
        <f t="shared" si="130"/>
        <v>Resto del mes</v>
      </c>
      <c r="X368" s="102">
        <f t="shared" si="131"/>
        <v>28</v>
      </c>
      <c r="Y368" s="102" t="str">
        <f t="shared" si="132"/>
        <v>Sí</v>
      </c>
      <c r="Z368" s="102" t="str">
        <f>CHOOSE(MATCH(B368,{"Customer Appreciation","Exclusive Offers","Flash Sale","Holiday Discounts","New Product Launch","Newsletter"},0),"Fidelizar","Vender","Vender","Vender","Lanzar","Educar")</f>
        <v>Vender</v>
      </c>
      <c r="AA368" s="102" t="str">
        <f t="shared" si="133"/>
        <v>200 a 300 mil</v>
      </c>
      <c r="AB368" s="102">
        <f>COUNTIFS($E$5:$E$493,E368,$S$5:$S$493,"&lt;"&amp;S368)+COUNTIFS($E$5:E368,E368,$S$5:S368,S368)</f>
        <v>11</v>
      </c>
      <c r="AC368" s="102">
        <f t="shared" si="134"/>
        <v>20</v>
      </c>
      <c r="AD368" s="102" t="str">
        <f t="shared" si="135"/>
        <v>Medio</v>
      </c>
      <c r="AE368" s="103">
        <f t="shared" si="136"/>
        <v>-10.422399234604395</v>
      </c>
      <c r="AF368" s="102" t="str">
        <f t="shared" si="137"/>
        <v xml:space="preserve">  aprovecha antes de que se acabe  oferta flash  productos top </v>
      </c>
      <c r="AG368" s="102" t="str">
        <f t="shared" si="138"/>
        <v xml:space="preserve"> grandes descuentos por tiempo limitado   no te lo pierdas  </v>
      </c>
      <c r="AH368" s="102" t="str">
        <f>IF(SUMPRODUCT(--(LEFT(IF(LEFT(LOWER(E368),1)="¡",MID(LOWER(E368),2,300),LOWER(E368)),LEN({"actualizaci","el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368" s="102" t="str">
        <f>IF(OR(SUMPRODUCT(--ISNUMBER(SEARCH({"descuento","oferta","ahorr","precio"," sale ","flash","deals"},AF368)))&gt;0,SUMPRODUCT(--ISNUMBER(SEARCH({"descuento","oferta","ahorr","precio"," sale ","flash","deals"},AG368)))&gt;0),"Sí","No")</f>
        <v>Sí</v>
      </c>
      <c r="AJ368" s="102" t="str">
        <f>IF(SUMPRODUCT(--ISNUMBER(SEARCH({" hoy ","horas","tiempo limitado","antes de que","se acab","se agot","finalic","última oportunidad","oportunidad única","relámpago","express","no esperes","no volver","no parpadees"},AF368)))&gt;0,"Sí","No")</f>
        <v>Sí</v>
      </c>
      <c r="AK368" s="102" t="str">
        <f>IF(SUMPRODUCT(--ISNUMBER(SEARCH({" hoy ","horas","tiempo limitado","antes de que","se acab","se agot","finalic","última oportunidad","oportunidad única","relámpago","express","no esperes","no volver","no parpadees"},AG368)))&gt;0,"Sí","No")</f>
        <v>Sí</v>
      </c>
      <c r="AL368" s="102" t="str">
        <f t="shared" si="139"/>
        <v>Descuento con tiempo límite en el asunto</v>
      </c>
      <c r="AM368" s="102" t="str">
        <f>IF(SUMPRODUCT(--ISNUMBER(SEARCH({"0","1","2","3","4","5","6","7","8","9","favorit","maquillaje","piel","cabello","productos","belleza","regalo"},E368)))&gt;0,"Sí","No")</f>
        <v>Sí</v>
      </c>
      <c r="AN368" s="102" t="str">
        <f>IF(SUMPRODUCT(--ISNUMBER(SEARCH({"lo que tenemos","estas ofertas","algo especial","ofertas únicas","que preparamos","no te quedes","echa un vistazo"},F368)))&gt;0,"Sí","No")</f>
        <v>No</v>
      </c>
      <c r="AO368" s="102">
        <f t="shared" si="140"/>
        <v>61</v>
      </c>
      <c r="AP368" s="102">
        <f t="shared" si="141"/>
        <v>10</v>
      </c>
      <c r="AQ368" s="102">
        <f>SUMPRODUCT(LEN(E368)-LEN(SUBSTITUTE(E368,{"!","¡","?","¿",":",",",".","%","·","-",";"},"")))</f>
        <v>3</v>
      </c>
      <c r="AR368" s="102" t="str">
        <f t="shared" si="142"/>
        <v>No</v>
      </c>
      <c r="AS368" s="102" t="str">
        <f t="shared" si="143"/>
        <v>No</v>
      </c>
      <c r="AT368" s="102" t="str">
        <f>IF(SUMPRODUCT(--ISNUMBER(FIND({"0","1","2","3","4","5","6","7","8","9"},E368)))&gt;0,"Con cifra concreta",IF(OR(ISNUMBER(FIND("?",E368)),ISNUMBER(FIND("¿",E368))),"Pregunta abierta",IF(SUMPRODUCT(--ISNUMBER(SEARCH({" hoy ","horas","tiempo limitado","antes de que","se acab","se agot","finalic","última oportunidad","oportunidad única","relámpago","express","no esperes","no volver","no parpadees"," ya ","últimas horas","últimas unidades"," ahora "},AF368)))&gt;0,"Solo urgencia, sin cifra",IF(SUMPRODUCT(--ISNUMBER(SEARCH({"recompensa","sorpresa","regalo","lealtad","detalle","gracias","pensamos en ti","para ti"},E368)))&gt;0,"Recompensa o sorpresa","Otro: beneficio o novedad"))))</f>
        <v>Solo urgencia, sin cifra</v>
      </c>
    </row>
    <row r="369" spans="1:46" x14ac:dyDescent="0.2">
      <c r="A369" s="96" t="s">
        <v>1240</v>
      </c>
      <c r="B369" s="96" t="s">
        <v>279</v>
      </c>
      <c r="C369" s="96" t="s">
        <v>815</v>
      </c>
      <c r="D369" s="96" t="s">
        <v>764</v>
      </c>
      <c r="E369" s="96" t="s">
        <v>369</v>
      </c>
      <c r="F369" s="96" t="s">
        <v>457</v>
      </c>
      <c r="G369" s="97">
        <v>102823</v>
      </c>
      <c r="H369" s="97">
        <v>46536</v>
      </c>
      <c r="I369" s="97">
        <v>19564</v>
      </c>
      <c r="J369" s="98">
        <v>0.67</v>
      </c>
      <c r="K369" s="98">
        <v>1.1299999999999999</v>
      </c>
      <c r="L369" s="99">
        <v>59105.98</v>
      </c>
      <c r="M369" s="100">
        <f t="shared" si="120"/>
        <v>45.258356593369186</v>
      </c>
      <c r="N369" s="100">
        <f t="shared" si="121"/>
        <v>19.026871419818523</v>
      </c>
      <c r="O369" s="100">
        <f t="shared" si="122"/>
        <v>42.040570740931756</v>
      </c>
      <c r="P369" s="100">
        <f t="shared" si="123"/>
        <v>574.83228460558428</v>
      </c>
      <c r="Q369" s="100">
        <f t="shared" si="124"/>
        <v>36.827379346292652</v>
      </c>
      <c r="R369" s="100">
        <f t="shared" si="125"/>
        <v>27.75136451093497</v>
      </c>
      <c r="S369" s="101">
        <f t="shared" si="126"/>
        <v>45959</v>
      </c>
      <c r="T369" s="102" t="str">
        <f t="shared" si="127"/>
        <v>Octubre</v>
      </c>
      <c r="U369" s="102" t="str">
        <f t="shared" si="128"/>
        <v>Miércoles</v>
      </c>
      <c r="V369" s="102">
        <f t="shared" si="129"/>
        <v>15</v>
      </c>
      <c r="W369" s="102" t="str">
        <f t="shared" si="130"/>
        <v>Resto del mes</v>
      </c>
      <c r="X369" s="102">
        <f t="shared" si="131"/>
        <v>27</v>
      </c>
      <c r="Y369" s="102" t="str">
        <f t="shared" si="132"/>
        <v>Sí</v>
      </c>
      <c r="Z369" s="102" t="str">
        <f>CHOOSE(MATCH(B369,{"Customer Appreciation","Exclusive Offers","Flash Sale","Holiday Discounts","New Product Launch","Newsletter"},0),"Fidelizar","Vender","Vender","Vender","Lanzar","Educar")</f>
        <v>Educar</v>
      </c>
      <c r="AA369" s="102" t="str">
        <f t="shared" si="133"/>
        <v>100 a 200 mil</v>
      </c>
      <c r="AB369" s="102">
        <f>COUNTIFS($E$5:$E$493,E369,$S$5:$S$493,"&lt;"&amp;S369)+COUNTIFS($E$5:E369,E369,$S$5:S369,S369)</f>
        <v>19</v>
      </c>
      <c r="AC369" s="102">
        <f t="shared" si="134"/>
        <v>19</v>
      </c>
      <c r="AD369" s="102" t="str">
        <f t="shared" si="135"/>
        <v>Último tercio</v>
      </c>
      <c r="AE369" s="103">
        <f t="shared" si="136"/>
        <v>8.4309772470765338</v>
      </c>
      <c r="AF369" s="102" t="str">
        <f t="shared" si="137"/>
        <v xml:space="preserve"> lo último en l'oréal  mantente informad@ de las novedades </v>
      </c>
      <c r="AG369" s="102" t="str">
        <f t="shared" si="138"/>
        <v xml:space="preserve"> descubre las novedades y tips de la semana   entra ya  </v>
      </c>
      <c r="AH369" s="102" t="str">
        <f>IF(SUMPRODUCT(--(LEFT(IF(LEFT(LOWER(E369),1)="¡",MID(LOWER(E369),2,300),LOWER(E369)),LEN({"actualizaci","el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369" s="102" t="str">
        <f>IF(OR(SUMPRODUCT(--ISNUMBER(SEARCH({"descuento","oferta","ahorr","precio"," sale ","flash","deals"},AF369)))&gt;0,SUMPRODUCT(--ISNUMBER(SEARCH({"descuento","oferta","ahorr","precio"," sale ","flash","deals"},AG369)))&gt;0),"Sí","No")</f>
        <v>No</v>
      </c>
      <c r="AJ369" s="102" t="str">
        <f>IF(SUMPRODUCT(--ISNUMBER(SEARCH({" hoy ","horas","tiempo limitado","antes de que","se acab","se agot","finalic","última oportunidad","oportunidad única","relámpago","express","no esperes","no volver","no parpadees"},AF369)))&gt;0,"Sí","No")</f>
        <v>No</v>
      </c>
      <c r="AK369" s="102" t="str">
        <f>IF(SUMPRODUCT(--ISNUMBER(SEARCH({" hoy ","horas","tiempo limitado","antes de que","se acab","se agot","finalic","última oportunidad","oportunidad única","relámpago","express","no esperes","no volver","no parpadees"},AG369)))&gt;0,"Sí","No")</f>
        <v>No</v>
      </c>
      <c r="AL369" s="102" t="str">
        <f t="shared" si="139"/>
        <v>Sin descuento</v>
      </c>
      <c r="AM369" s="102" t="str">
        <f>IF(SUMPRODUCT(--ISNUMBER(SEARCH({"0","1","2","3","4","5","6","7","8","9","favorit","maquillaje","piel","cabello","productos","belleza","regalo"},E369)))&gt;0,"Sí","No")</f>
        <v>No</v>
      </c>
      <c r="AN369" s="102" t="str">
        <f>IF(SUMPRODUCT(--ISNUMBER(SEARCH({"lo que tenemos","estas ofertas","algo especial","ofertas únicas","que preparamos","no te quedes","echa un vistazo"},F369)))&gt;0,"Sí","No")</f>
        <v>No</v>
      </c>
      <c r="AO369" s="102">
        <f t="shared" si="140"/>
        <v>57</v>
      </c>
      <c r="AP369" s="102">
        <f t="shared" si="141"/>
        <v>9</v>
      </c>
      <c r="AQ369" s="102">
        <f>SUMPRODUCT(LEN(E369)-LEN(SUBSTITUTE(E369,{"!","¡","?","¿",":",",",".","%","·","-",";"},"")))</f>
        <v>1</v>
      </c>
      <c r="AR369" s="102" t="str">
        <f t="shared" si="142"/>
        <v>Sí</v>
      </c>
      <c r="AS369" s="102" t="str">
        <f t="shared" si="143"/>
        <v>No</v>
      </c>
      <c r="AT369" s="102" t="str">
        <f>IF(SUMPRODUCT(--ISNUMBER(FIND({"0","1","2","3","4","5","6","7","8","9"},E369)))&gt;0,"Con cifra concreta",IF(OR(ISNUMBER(FIND("?",E369)),ISNUMBER(FIND("¿",E369))),"Pregunta abierta",IF(SUMPRODUCT(--ISNUMBER(SEARCH({" hoy ","horas","tiempo limitado","antes de que","se acab","se agot","finalic","última oportunidad","oportunidad única","relámpago","express","no esperes","no volver","no parpadees"," ya ","últimas horas","últimas unidades"," ahora "},AF369)))&gt;0,"Solo urgencia, sin cifra",IF(SUMPRODUCT(--ISNUMBER(SEARCH({"recompensa","sorpresa","regalo","lealtad","detalle","gracias","pensamos en ti","para ti"},E369)))&gt;0,"Recompensa o sorpresa","Otro: beneficio o novedad"))))</f>
        <v>Otro: beneficio o novedad</v>
      </c>
    </row>
    <row r="370" spans="1:46" x14ac:dyDescent="0.2">
      <c r="A370" s="104" t="s">
        <v>1241</v>
      </c>
      <c r="B370" s="104" t="s">
        <v>275</v>
      </c>
      <c r="C370" s="104" t="s">
        <v>869</v>
      </c>
      <c r="D370" s="104" t="s">
        <v>821</v>
      </c>
      <c r="E370" s="104" t="s">
        <v>481</v>
      </c>
      <c r="F370" s="104" t="s">
        <v>482</v>
      </c>
      <c r="G370" s="105">
        <v>289989</v>
      </c>
      <c r="H370" s="105">
        <v>29057</v>
      </c>
      <c r="I370" s="105">
        <v>6177</v>
      </c>
      <c r="J370" s="106">
        <v>9.64</v>
      </c>
      <c r="K370" s="106">
        <v>2.0299999999999998</v>
      </c>
      <c r="L370" s="107">
        <v>96562.93</v>
      </c>
      <c r="M370" s="108">
        <f t="shared" si="120"/>
        <v>10.020035242716103</v>
      </c>
      <c r="N370" s="108">
        <f t="shared" si="121"/>
        <v>2.1300807961681305</v>
      </c>
      <c r="O370" s="108">
        <f t="shared" si="122"/>
        <v>21.258216608734557</v>
      </c>
      <c r="P370" s="108">
        <f t="shared" si="123"/>
        <v>332.98825127849676</v>
      </c>
      <c r="Q370" s="108">
        <f t="shared" si="124"/>
        <v>18.428686186240089</v>
      </c>
      <c r="R370" s="108">
        <f t="shared" si="125"/>
        <v>27.021447627328243</v>
      </c>
      <c r="S370" s="101">
        <f t="shared" si="126"/>
        <v>45917</v>
      </c>
      <c r="T370" s="102" t="str">
        <f t="shared" si="127"/>
        <v>Septiembre</v>
      </c>
      <c r="U370" s="102" t="str">
        <f t="shared" si="128"/>
        <v>Miércoles</v>
      </c>
      <c r="V370" s="102">
        <f t="shared" si="129"/>
        <v>8</v>
      </c>
      <c r="W370" s="102" t="str">
        <f t="shared" si="130"/>
        <v>Días después del pago</v>
      </c>
      <c r="X370" s="102">
        <f t="shared" si="131"/>
        <v>26</v>
      </c>
      <c r="Y370" s="102" t="str">
        <f t="shared" si="132"/>
        <v>Sí</v>
      </c>
      <c r="Z370" s="102" t="str">
        <f>CHOOSE(MATCH(B370,{"Customer Appreciation","Exclusive Offers","Flash Sale","Holiday Discounts","New Product Launch","Newsletter"},0),"Fidelizar","Vender","Vender","Vender","Lanzar","Educar")</f>
        <v>Vender</v>
      </c>
      <c r="AA370" s="102" t="str">
        <f t="shared" si="133"/>
        <v>200 a 300 mil</v>
      </c>
      <c r="AB370" s="102">
        <f>COUNTIFS($E$5:$E$493,E370,$S$5:$S$493,"&lt;"&amp;S370)+COUNTIFS($E$5:E370,E370,$S$5:S370,S370)</f>
        <v>5</v>
      </c>
      <c r="AC370" s="102">
        <f t="shared" si="134"/>
        <v>11</v>
      </c>
      <c r="AD370" s="102" t="str">
        <f t="shared" si="135"/>
        <v>Medio</v>
      </c>
      <c r="AE370" s="103">
        <f t="shared" si="136"/>
        <v>-8.4086509435239858</v>
      </c>
      <c r="AF370" s="102" t="str">
        <f t="shared" si="137"/>
        <v xml:space="preserve">  oportunidad única  solo por hoy  tus favoritos a un clic </v>
      </c>
      <c r="AG370" s="102" t="str">
        <f t="shared" si="138"/>
        <v xml:space="preserve"> tus productos favoritos con un precio que no volverás a ver   aprovecha  </v>
      </c>
      <c r="AH370" s="102" t="str">
        <f>IF(SUMPRODUCT(--(LEFT(IF(LEFT(LOWER(E370),1)="¡",MID(LOWER(E370),2,300),LOWER(E370)),LEN({"actualizaci","el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Sí</v>
      </c>
      <c r="AI370" s="102" t="str">
        <f>IF(OR(SUMPRODUCT(--ISNUMBER(SEARCH({"descuento","oferta","ahorr","precio"," sale ","flash","deals"},AF370)))&gt;0,SUMPRODUCT(--ISNUMBER(SEARCH({"descuento","oferta","ahorr","precio"," sale ","flash","deals"},AG370)))&gt;0),"Sí","No")</f>
        <v>Sí</v>
      </c>
      <c r="AJ370" s="102" t="str">
        <f>IF(SUMPRODUCT(--ISNUMBER(SEARCH({" hoy ","horas","tiempo limitado","antes de que","se acab","se agot","finalic","última oportunidad","oportunidad única","relámpago","express","no esperes","no volver","no parpadees"},AF370)))&gt;0,"Sí","No")</f>
        <v>Sí</v>
      </c>
      <c r="AK370" s="102" t="str">
        <f>IF(SUMPRODUCT(--ISNUMBER(SEARCH({" hoy ","horas","tiempo limitado","antes de que","se acab","se agot","finalic","última oportunidad","oportunidad única","relámpago","express","no esperes","no volver","no parpadees"},AG370)))&gt;0,"Sí","No")</f>
        <v>Sí</v>
      </c>
      <c r="AL370" s="102" t="str">
        <f t="shared" si="139"/>
        <v>Descuento con tiempo límite en el asunto</v>
      </c>
      <c r="AM370" s="102" t="str">
        <f>IF(SUMPRODUCT(--ISNUMBER(SEARCH({"0","1","2","3","4","5","6","7","8","9","favorit","maquillaje","piel","cabello","productos","belleza","regalo"},E370)))&gt;0,"Sí","No")</f>
        <v>Sí</v>
      </c>
      <c r="AN370" s="102" t="str">
        <f>IF(SUMPRODUCT(--ISNUMBER(SEARCH({"lo que tenemos","estas ofertas","algo especial","ofertas únicas","que preparamos","no te quedes","echa un vistazo"},F370)))&gt;0,"Sí","No")</f>
        <v>No</v>
      </c>
      <c r="AO370" s="102">
        <f t="shared" si="140"/>
        <v>57</v>
      </c>
      <c r="AP370" s="102">
        <f t="shared" si="141"/>
        <v>10</v>
      </c>
      <c r="AQ370" s="102">
        <f>SUMPRODUCT(LEN(E370)-LEN(SUBSTITUTE(E370,{"!","¡","?","¿",":",",",".","%","·","-",";"},"")))</f>
        <v>3</v>
      </c>
      <c r="AR370" s="102" t="str">
        <f t="shared" si="142"/>
        <v>No</v>
      </c>
      <c r="AS370" s="102" t="str">
        <f t="shared" si="143"/>
        <v>No</v>
      </c>
      <c r="AT370" s="102" t="str">
        <f>IF(SUMPRODUCT(--ISNUMBER(FIND({"0","1","2","3","4","5","6","7","8","9"},E370)))&gt;0,"Con cifra concreta",IF(OR(ISNUMBER(FIND("?",E370)),ISNUMBER(FIND("¿",E370))),"Pregunta abierta",IF(SUMPRODUCT(--ISNUMBER(SEARCH({" hoy ","horas","tiempo limitado","antes de que","se acab","se agot","finalic","última oportunidad","oportunidad única","relámpago","express","no esperes","no volver","no parpadees"," ya ","últimas horas","últimas unidades"," ahora "},AF370)))&gt;0,"Solo urgencia, sin cifra",IF(SUMPRODUCT(--ISNUMBER(SEARCH({"recompensa","sorpresa","regalo","lealtad","detalle","gracias","pensamos en ti","para ti"},E370)))&gt;0,"Recompensa o sorpresa","Otro: beneficio o novedad"))))</f>
        <v>Solo urgencia, sin cifra</v>
      </c>
    </row>
    <row r="371" spans="1:46" x14ac:dyDescent="0.2">
      <c r="A371" s="96" t="s">
        <v>1242</v>
      </c>
      <c r="B371" s="96" t="s">
        <v>277</v>
      </c>
      <c r="C371" s="96" t="s">
        <v>928</v>
      </c>
      <c r="D371" s="96" t="s">
        <v>715</v>
      </c>
      <c r="E371" s="96" t="s">
        <v>461</v>
      </c>
      <c r="F371" s="96" t="s">
        <v>462</v>
      </c>
      <c r="G371" s="97">
        <v>180139</v>
      </c>
      <c r="H371" s="97">
        <v>72608</v>
      </c>
      <c r="I371" s="97">
        <v>2216</v>
      </c>
      <c r="J371" s="98">
        <v>4.12</v>
      </c>
      <c r="K371" s="98">
        <v>4.59</v>
      </c>
      <c r="L371" s="99">
        <v>70279.41</v>
      </c>
      <c r="M371" s="100">
        <f t="shared" si="120"/>
        <v>40.306652085334107</v>
      </c>
      <c r="N371" s="100">
        <f t="shared" si="121"/>
        <v>1.2301611533315939</v>
      </c>
      <c r="O371" s="100">
        <f t="shared" si="122"/>
        <v>3.0520052886734246</v>
      </c>
      <c r="P371" s="100">
        <f t="shared" si="123"/>
        <v>390.13989197231029</v>
      </c>
      <c r="Q371" s="100">
        <f t="shared" si="124"/>
        <v>35.409886702202286</v>
      </c>
      <c r="R371" s="100">
        <f t="shared" si="125"/>
        <v>30.71114383300629</v>
      </c>
      <c r="S371" s="101">
        <f t="shared" si="126"/>
        <v>45883</v>
      </c>
      <c r="T371" s="102" t="str">
        <f t="shared" si="127"/>
        <v>Agosto</v>
      </c>
      <c r="U371" s="102" t="str">
        <f t="shared" si="128"/>
        <v>Jueves</v>
      </c>
      <c r="V371" s="102">
        <f t="shared" si="129"/>
        <v>11</v>
      </c>
      <c r="W371" s="102" t="str">
        <f t="shared" si="130"/>
        <v>Quincena</v>
      </c>
      <c r="X371" s="102">
        <f t="shared" si="131"/>
        <v>23</v>
      </c>
      <c r="Y371" s="102" t="str">
        <f t="shared" si="132"/>
        <v>Sí</v>
      </c>
      <c r="Z371" s="102" t="str">
        <f>CHOOSE(MATCH(B371,{"Customer Appreciation","Exclusive Offers","Flash Sale","Holiday Discounts","New Product Launch","Newsletter"},0),"Fidelizar","Vender","Vender","Vender","Lanzar","Educar")</f>
        <v>Vender</v>
      </c>
      <c r="AA371" s="102" t="str">
        <f t="shared" si="133"/>
        <v>100 a 200 mil</v>
      </c>
      <c r="AB371" s="102">
        <f>COUNTIFS($E$5:$E$493,E371,$S$5:$S$493,"&lt;"&amp;S371)+COUNTIFS($E$5:E371,E371,$S$5:S371,S371)</f>
        <v>4</v>
      </c>
      <c r="AC371" s="102">
        <f t="shared" si="134"/>
        <v>30</v>
      </c>
      <c r="AD371" s="102" t="str">
        <f t="shared" si="135"/>
        <v>Primer tercio</v>
      </c>
      <c r="AE371" s="103">
        <f t="shared" si="136"/>
        <v>4.8967653831318216</v>
      </c>
      <c r="AF371" s="102" t="str">
        <f t="shared" si="137"/>
        <v xml:space="preserve">  regalos perfectos te esperan  descuentos de lujo  l'oréal </v>
      </c>
      <c r="AG371" s="102" t="str">
        <f t="shared" si="138"/>
        <v xml:space="preserve"> encuentra ese detalle especial para ti o tus seres queridos   descubre  </v>
      </c>
      <c r="AH371" s="102" t="str">
        <f>IF(SUMPRODUCT(--(LEFT(IF(LEFT(LOWER(E371),1)="¡",MID(LOWER(E371),2,300),LOWER(E371)),LEN({"actualizaci","el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371" s="102" t="str">
        <f>IF(OR(SUMPRODUCT(--ISNUMBER(SEARCH({"descuento","oferta","ahorr","precio"," sale ","flash","deals"},AF371)))&gt;0,SUMPRODUCT(--ISNUMBER(SEARCH({"descuento","oferta","ahorr","precio"," sale ","flash","deals"},AG371)))&gt;0),"Sí","No")</f>
        <v>Sí</v>
      </c>
      <c r="AJ371" s="102" t="str">
        <f>IF(SUMPRODUCT(--ISNUMBER(SEARCH({" hoy ","horas","tiempo limitado","antes de que","se acab","se agot","finalic","última oportunidad","oportunidad única","relámpago","express","no esperes","no volver","no parpadees"},AF371)))&gt;0,"Sí","No")</f>
        <v>No</v>
      </c>
      <c r="AK371" s="102" t="str">
        <f>IF(SUMPRODUCT(--ISNUMBER(SEARCH({" hoy ","horas","tiempo limitado","antes de que","se acab","se agot","finalic","última oportunidad","oportunidad única","relámpago","express","no esperes","no volver","no parpadees"},AG371)))&gt;0,"Sí","No")</f>
        <v>No</v>
      </c>
      <c r="AL371" s="102" t="str">
        <f t="shared" si="139"/>
        <v>Descuento sin tiempo límite</v>
      </c>
      <c r="AM371" s="102" t="str">
        <f>IF(SUMPRODUCT(--ISNUMBER(SEARCH({"0","1","2","3","4","5","6","7","8","9","favorit","maquillaje","piel","cabello","productos","belleza","regalo"},E371)))&gt;0,"Sí","No")</f>
        <v>Sí</v>
      </c>
      <c r="AN371" s="102" t="str">
        <f>IF(SUMPRODUCT(--ISNUMBER(SEARCH({"lo que tenemos","estas ofertas","algo especial","ofertas únicas","que preparamos","no te quedes","echa un vistazo"},F371)))&gt;0,"Sí","No")</f>
        <v>No</v>
      </c>
      <c r="AO371" s="102">
        <f t="shared" si="140"/>
        <v>58</v>
      </c>
      <c r="AP371" s="102">
        <f t="shared" si="141"/>
        <v>8</v>
      </c>
      <c r="AQ371" s="102">
        <f>SUMPRODUCT(LEN(E371)-LEN(SUBSTITUTE(E371,{"!","¡","?","¿",":",",",".","%","·","-",";"},"")))</f>
        <v>3</v>
      </c>
      <c r="AR371" s="102" t="str">
        <f t="shared" si="142"/>
        <v>Sí</v>
      </c>
      <c r="AS371" s="102" t="str">
        <f t="shared" si="143"/>
        <v>No</v>
      </c>
      <c r="AT371" s="102" t="str">
        <f>IF(SUMPRODUCT(--ISNUMBER(FIND({"0","1","2","3","4","5","6","7","8","9"},E371)))&gt;0,"Con cifra concreta",IF(OR(ISNUMBER(FIND("?",E371)),ISNUMBER(FIND("¿",E371))),"Pregunta abierta",IF(SUMPRODUCT(--ISNUMBER(SEARCH({" hoy ","horas","tiempo limitado","antes de que","se acab","se agot","finalic","última oportunidad","oportunidad única","relámpago","express","no esperes","no volver","no parpadees"," ya ","últimas horas","últimas unidades"," ahora "},AF371)))&gt;0,"Solo urgencia, sin cifra",IF(SUMPRODUCT(--ISNUMBER(SEARCH({"recompensa","sorpresa","regalo","lealtad","detalle","gracias","pensamos en ti","para ti"},E371)))&gt;0,"Recompensa o sorpresa","Otro: beneficio o novedad"))))</f>
        <v>Recompensa o sorpresa</v>
      </c>
    </row>
    <row r="372" spans="1:46" x14ac:dyDescent="0.2">
      <c r="A372" s="104" t="s">
        <v>1243</v>
      </c>
      <c r="B372" s="104" t="s">
        <v>275</v>
      </c>
      <c r="C372" s="104" t="s">
        <v>944</v>
      </c>
      <c r="D372" s="104" t="s">
        <v>794</v>
      </c>
      <c r="E372" s="104" t="s">
        <v>465</v>
      </c>
      <c r="F372" s="104" t="s">
        <v>466</v>
      </c>
      <c r="G372" s="105">
        <v>193337</v>
      </c>
      <c r="H372" s="105">
        <v>79491</v>
      </c>
      <c r="I372" s="105">
        <v>5820</v>
      </c>
      <c r="J372" s="106">
        <v>4.1900000000000004</v>
      </c>
      <c r="K372" s="106">
        <v>1.79</v>
      </c>
      <c r="L372" s="107">
        <v>52708.12</v>
      </c>
      <c r="M372" s="108">
        <f t="shared" si="120"/>
        <v>41.115254710686521</v>
      </c>
      <c r="N372" s="108">
        <f t="shared" si="121"/>
        <v>3.0102877359222497</v>
      </c>
      <c r="O372" s="108">
        <f t="shared" si="122"/>
        <v>7.3215835754991136</v>
      </c>
      <c r="P372" s="108">
        <f t="shared" si="123"/>
        <v>272.62303645965335</v>
      </c>
      <c r="Q372" s="108">
        <f t="shared" si="124"/>
        <v>33.047230763392911</v>
      </c>
      <c r="R372" s="108">
        <f t="shared" si="125"/>
        <v>27.021447627328243</v>
      </c>
      <c r="S372" s="101">
        <f t="shared" si="126"/>
        <v>45943</v>
      </c>
      <c r="T372" s="102" t="str">
        <f t="shared" si="127"/>
        <v>Octubre</v>
      </c>
      <c r="U372" s="102" t="str">
        <f t="shared" si="128"/>
        <v>Lunes</v>
      </c>
      <c r="V372" s="102">
        <f t="shared" si="129"/>
        <v>12</v>
      </c>
      <c r="W372" s="102" t="str">
        <f t="shared" si="130"/>
        <v>Resto del mes</v>
      </c>
      <c r="X372" s="102">
        <f t="shared" si="131"/>
        <v>23</v>
      </c>
      <c r="Y372" s="102" t="str">
        <f t="shared" si="132"/>
        <v>Sí</v>
      </c>
      <c r="Z372" s="102" t="str">
        <f>CHOOSE(MATCH(B372,{"Customer Appreciation","Exclusive Offers","Flash Sale","Holiday Discounts","New Product Launch","Newsletter"},0),"Fidelizar","Vender","Vender","Vender","Lanzar","Educar")</f>
        <v>Vender</v>
      </c>
      <c r="AA372" s="102" t="str">
        <f t="shared" si="133"/>
        <v>100 a 200 mil</v>
      </c>
      <c r="AB372" s="102">
        <f>COUNTIFS($E$5:$E$493,E372,$S$5:$S$493,"&lt;"&amp;S372)+COUNTIFS($E$5:E372,E372,$S$5:S372,S372)</f>
        <v>18</v>
      </c>
      <c r="AC372" s="102">
        <f t="shared" si="134"/>
        <v>22</v>
      </c>
      <c r="AD372" s="102" t="str">
        <f t="shared" si="135"/>
        <v>Último tercio</v>
      </c>
      <c r="AE372" s="103">
        <f t="shared" si="136"/>
        <v>8.0680239472936108</v>
      </c>
      <c r="AF372" s="102" t="str">
        <f t="shared" si="137"/>
        <v xml:space="preserve">  ofertas exclusivas  solo para nuestra comunidad vip </v>
      </c>
      <c r="AG372" s="102" t="str">
        <f t="shared" si="138"/>
        <v xml:space="preserve"> productos premium con descuentos únicos   acceso limitado  </v>
      </c>
      <c r="AH372" s="102" t="str">
        <f>IF(SUMPRODUCT(--(LEFT(IF(LEFT(LOWER(E372),1)="¡",MID(LOWER(E372),2,300),LOWER(E372)),LEN({"actualizaci","el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372" s="102" t="str">
        <f>IF(OR(SUMPRODUCT(--ISNUMBER(SEARCH({"descuento","oferta","ahorr","precio"," sale ","flash","deals"},AF372)))&gt;0,SUMPRODUCT(--ISNUMBER(SEARCH({"descuento","oferta","ahorr","precio"," sale ","flash","deals"},AG372)))&gt;0),"Sí","No")</f>
        <v>Sí</v>
      </c>
      <c r="AJ372" s="102" t="str">
        <f>IF(SUMPRODUCT(--ISNUMBER(SEARCH({" hoy ","horas","tiempo limitado","antes de que","se acab","se agot","finalic","última oportunidad","oportunidad única","relámpago","express","no esperes","no volver","no parpadees"},AF372)))&gt;0,"Sí","No")</f>
        <v>No</v>
      </c>
      <c r="AK372" s="102" t="str">
        <f>IF(SUMPRODUCT(--ISNUMBER(SEARCH({" hoy ","horas","tiempo limitado","antes de que","se acab","se agot","finalic","última oportunidad","oportunidad única","relámpago","express","no esperes","no volver","no parpadees"},AG372)))&gt;0,"Sí","No")</f>
        <v>No</v>
      </c>
      <c r="AL372" s="102" t="str">
        <f t="shared" si="139"/>
        <v>Descuento sin tiempo límite</v>
      </c>
      <c r="AM372" s="102" t="str">
        <f>IF(SUMPRODUCT(--ISNUMBER(SEARCH({"0","1","2","3","4","5","6","7","8","9","favorit","maquillaje","piel","cabello","productos","belleza","regalo"},E372)))&gt;0,"Sí","No")</f>
        <v>No</v>
      </c>
      <c r="AN372" s="102" t="str">
        <f>IF(SUMPRODUCT(--ISNUMBER(SEARCH({"lo que tenemos","estas ofertas","algo especial","ofertas únicas","que preparamos","no te quedes","echa un vistazo"},F372)))&gt;0,"Sí","No")</f>
        <v>No</v>
      </c>
      <c r="AO372" s="102">
        <f t="shared" si="140"/>
        <v>52</v>
      </c>
      <c r="AP372" s="102">
        <f t="shared" si="141"/>
        <v>7</v>
      </c>
      <c r="AQ372" s="102">
        <f>SUMPRODUCT(LEN(E372)-LEN(SUBSTITUTE(E372,{"!","¡","?","¿",":",",",".","%","·","-",";"},"")))</f>
        <v>2</v>
      </c>
      <c r="AR372" s="102" t="str">
        <f t="shared" si="142"/>
        <v>Sí</v>
      </c>
      <c r="AS372" s="102" t="str">
        <f t="shared" si="143"/>
        <v>No</v>
      </c>
      <c r="AT372" s="102" t="str">
        <f>IF(SUMPRODUCT(--ISNUMBER(FIND({"0","1","2","3","4","5","6","7","8","9"},E372)))&gt;0,"Con cifra concreta",IF(OR(ISNUMBER(FIND("?",E372)),ISNUMBER(FIND("¿",E372))),"Pregunta abierta",IF(SUMPRODUCT(--ISNUMBER(SEARCH({" hoy ","horas","tiempo limitado","antes de que","se acab","se agot","finalic","última oportunidad","oportunidad única","relámpago","express","no esperes","no volver","no parpadees"," ya ","últimas horas","últimas unidades"," ahora "},AF372)))&gt;0,"Solo urgencia, sin cifra",IF(SUMPRODUCT(--ISNUMBER(SEARCH({"recompensa","sorpresa","regalo","lealtad","detalle","gracias","pensamos en ti","para ti"},E372)))&gt;0,"Recompensa o sorpresa","Otro: beneficio o novedad"))))</f>
        <v>Otro: beneficio o novedad</v>
      </c>
    </row>
    <row r="373" spans="1:46" x14ac:dyDescent="0.2">
      <c r="A373" s="96" t="s">
        <v>1244</v>
      </c>
      <c r="B373" s="96" t="s">
        <v>275</v>
      </c>
      <c r="C373" s="96" t="s">
        <v>889</v>
      </c>
      <c r="D373" s="96" t="s">
        <v>761</v>
      </c>
      <c r="E373" s="96" t="s">
        <v>455</v>
      </c>
      <c r="F373" s="96" t="s">
        <v>456</v>
      </c>
      <c r="G373" s="97">
        <v>390894</v>
      </c>
      <c r="H373" s="97">
        <v>146714</v>
      </c>
      <c r="I373" s="97">
        <v>67406</v>
      </c>
      <c r="J373" s="98">
        <v>5.22</v>
      </c>
      <c r="K373" s="98">
        <v>4.8099999999999996</v>
      </c>
      <c r="L373" s="99">
        <v>96248.35</v>
      </c>
      <c r="M373" s="100">
        <f t="shared" si="120"/>
        <v>37.532937318045299</v>
      </c>
      <c r="N373" s="100">
        <f t="shared" si="121"/>
        <v>17.244061049798667</v>
      </c>
      <c r="O373" s="100">
        <f t="shared" si="122"/>
        <v>45.943809043445071</v>
      </c>
      <c r="P373" s="100">
        <f t="shared" si="123"/>
        <v>246.22621477945427</v>
      </c>
      <c r="Q373" s="100">
        <f t="shared" si="124"/>
        <v>38.720231784441999</v>
      </c>
      <c r="R373" s="100">
        <f t="shared" si="125"/>
        <v>27.021447627328243</v>
      </c>
      <c r="S373" s="101">
        <f t="shared" si="126"/>
        <v>45908</v>
      </c>
      <c r="T373" s="102" t="str">
        <f t="shared" si="127"/>
        <v>Septiembre</v>
      </c>
      <c r="U373" s="102" t="str">
        <f t="shared" si="128"/>
        <v>Lunes</v>
      </c>
      <c r="V373" s="102">
        <f t="shared" si="129"/>
        <v>10</v>
      </c>
      <c r="W373" s="102" t="str">
        <f t="shared" si="130"/>
        <v>Resto del mes</v>
      </c>
      <c r="X373" s="102">
        <f t="shared" si="131"/>
        <v>28</v>
      </c>
      <c r="Y373" s="102" t="str">
        <f t="shared" si="132"/>
        <v>Sí</v>
      </c>
      <c r="Z373" s="102" t="str">
        <f>CHOOSE(MATCH(B373,{"Customer Appreciation","Exclusive Offers","Flash Sale","Holiday Discounts","New Product Launch","Newsletter"},0),"Fidelizar","Vender","Vender","Vender","Lanzar","Educar")</f>
        <v>Vender</v>
      </c>
      <c r="AA373" s="102" t="str">
        <f t="shared" si="133"/>
        <v>300 a 400 mil</v>
      </c>
      <c r="AB373" s="102">
        <f>COUNTIFS($E$5:$E$493,E373,$S$5:$S$493,"&lt;"&amp;S373)+COUNTIFS($E$5:E373,E373,$S$5:S373,S373)</f>
        <v>8</v>
      </c>
      <c r="AC373" s="102">
        <f t="shared" si="134"/>
        <v>15</v>
      </c>
      <c r="AD373" s="102" t="str">
        <f t="shared" si="135"/>
        <v>Medio</v>
      </c>
      <c r="AE373" s="103">
        <f t="shared" si="136"/>
        <v>-1.1872944663967004</v>
      </c>
      <c r="AF373" s="102" t="str">
        <f t="shared" si="137"/>
        <v xml:space="preserve">  solo un clic te separa de estas ofertas  l'oréal paris </v>
      </c>
      <c r="AG373" s="102" t="str">
        <f t="shared" si="138"/>
        <v xml:space="preserve"> descuentos irresistibles en productos seleccionados   últimas horas  </v>
      </c>
      <c r="AH373" s="102" t="str">
        <f>IF(SUMPRODUCT(--(LEFT(IF(LEFT(LOWER(E373),1)="¡",MID(LOWER(E373),2,300),LOWER(E373)),LEN({"actualizaci","el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373" s="102" t="str">
        <f>IF(OR(SUMPRODUCT(--ISNUMBER(SEARCH({"descuento","oferta","ahorr","precio"," sale ","flash","deals"},AF373)))&gt;0,SUMPRODUCT(--ISNUMBER(SEARCH({"descuento","oferta","ahorr","precio"," sale ","flash","deals"},AG373)))&gt;0),"Sí","No")</f>
        <v>Sí</v>
      </c>
      <c r="AJ373" s="102" t="str">
        <f>IF(SUMPRODUCT(--ISNUMBER(SEARCH({" hoy ","horas","tiempo limitado","antes de que","se acab","se agot","finalic","última oportunidad","oportunidad única","relámpago","express","no esperes","no volver","no parpadees"},AF373)))&gt;0,"Sí","No")</f>
        <v>No</v>
      </c>
      <c r="AK373" s="102" t="str">
        <f>IF(SUMPRODUCT(--ISNUMBER(SEARCH({" hoy ","horas","tiempo limitado","antes de que","se acab","se agot","finalic","última oportunidad","oportunidad única","relámpago","express","no esperes","no volver","no parpadees"},AG373)))&gt;0,"Sí","No")</f>
        <v>Sí</v>
      </c>
      <c r="AL373" s="102" t="str">
        <f t="shared" si="139"/>
        <v>Descuento con tiempo límite solo en el preheader</v>
      </c>
      <c r="AM373" s="102" t="str">
        <f>IF(SUMPRODUCT(--ISNUMBER(SEARCH({"0","1","2","3","4","5","6","7","8","9","favorit","maquillaje","piel","cabello","productos","belleza","regalo"},E373)))&gt;0,"Sí","No")</f>
        <v>No</v>
      </c>
      <c r="AN373" s="102" t="str">
        <f>IF(SUMPRODUCT(--ISNUMBER(SEARCH({"lo que tenemos","estas ofertas","algo especial","ofertas únicas","que preparamos","no te quedes","echa un vistazo"},F373)))&gt;0,"Sí","No")</f>
        <v>No</v>
      </c>
      <c r="AO373" s="102">
        <f t="shared" si="140"/>
        <v>55</v>
      </c>
      <c r="AP373" s="102">
        <f t="shared" si="141"/>
        <v>10</v>
      </c>
      <c r="AQ373" s="102">
        <f>SUMPRODUCT(LEN(E373)-LEN(SUBSTITUTE(E373,{"!","¡","?","¿",":",",",".","%","·","-",";"},"")))</f>
        <v>2</v>
      </c>
      <c r="AR373" s="102" t="str">
        <f t="shared" si="142"/>
        <v>No</v>
      </c>
      <c r="AS373" s="102" t="str">
        <f t="shared" si="143"/>
        <v>No</v>
      </c>
      <c r="AT373" s="102" t="str">
        <f>IF(SUMPRODUCT(--ISNUMBER(FIND({"0","1","2","3","4","5","6","7","8","9"},E373)))&gt;0,"Con cifra concreta",IF(OR(ISNUMBER(FIND("?",E373)),ISNUMBER(FIND("¿",E373))),"Pregunta abierta",IF(SUMPRODUCT(--ISNUMBER(SEARCH({" hoy ","horas","tiempo limitado","antes de que","se acab","se agot","finalic","última oportunidad","oportunidad única","relámpago","express","no esperes","no volver","no parpadees"," ya ","últimas horas","últimas unidades"," ahora "},AF373)))&gt;0,"Solo urgencia, sin cifra",IF(SUMPRODUCT(--ISNUMBER(SEARCH({"recompensa","sorpresa","regalo","lealtad","detalle","gracias","pensamos en ti","para ti"},E373)))&gt;0,"Recompensa o sorpresa","Otro: beneficio o novedad"))))</f>
        <v>Otro: beneficio o novedad</v>
      </c>
    </row>
    <row r="374" spans="1:46" x14ac:dyDescent="0.2">
      <c r="A374" s="104" t="s">
        <v>1245</v>
      </c>
      <c r="B374" s="104" t="s">
        <v>276</v>
      </c>
      <c r="C374" s="104" t="s">
        <v>891</v>
      </c>
      <c r="D374" s="104" t="s">
        <v>786</v>
      </c>
      <c r="E374" s="104" t="s">
        <v>474</v>
      </c>
      <c r="F374" s="104" t="s">
        <v>475</v>
      </c>
      <c r="G374" s="105">
        <v>220248</v>
      </c>
      <c r="H374" s="105">
        <v>16565</v>
      </c>
      <c r="I374" s="105">
        <v>7973</v>
      </c>
      <c r="J374" s="106">
        <v>6.16</v>
      </c>
      <c r="K374" s="106">
        <v>0.6</v>
      </c>
      <c r="L374" s="107">
        <v>17298.97</v>
      </c>
      <c r="M374" s="108">
        <f t="shared" si="120"/>
        <v>7.521067160655261</v>
      </c>
      <c r="N374" s="108">
        <f t="shared" si="121"/>
        <v>3.6200101703534195</v>
      </c>
      <c r="O374" s="108">
        <f t="shared" si="122"/>
        <v>48.131602776939332</v>
      </c>
      <c r="P374" s="108">
        <f t="shared" si="123"/>
        <v>78.543142275979804</v>
      </c>
      <c r="Q374" s="108">
        <f t="shared" si="124"/>
        <v>22.775066640377752</v>
      </c>
      <c r="R374" s="108">
        <f t="shared" si="125"/>
        <v>29.440902453236173</v>
      </c>
      <c r="S374" s="101">
        <f t="shared" si="126"/>
        <v>45888</v>
      </c>
      <c r="T374" s="102" t="str">
        <f t="shared" si="127"/>
        <v>Agosto</v>
      </c>
      <c r="U374" s="102" t="str">
        <f t="shared" si="128"/>
        <v>Martes</v>
      </c>
      <c r="V374" s="102">
        <f t="shared" si="129"/>
        <v>15</v>
      </c>
      <c r="W374" s="102" t="str">
        <f t="shared" si="130"/>
        <v>Días después del pago</v>
      </c>
      <c r="X374" s="102">
        <f t="shared" si="131"/>
        <v>29</v>
      </c>
      <c r="Y374" s="102" t="str">
        <f t="shared" si="132"/>
        <v>Sí</v>
      </c>
      <c r="Z374" s="102" t="str">
        <f>CHOOSE(MATCH(B374,{"Customer Appreciation","Exclusive Offers","Flash Sale","Holiday Discounts","New Product Launch","Newsletter"},0),"Fidelizar","Vender","Vender","Vender","Lanzar","Educar")</f>
        <v>Vender</v>
      </c>
      <c r="AA374" s="102" t="str">
        <f t="shared" si="133"/>
        <v>200 a 300 mil</v>
      </c>
      <c r="AB374" s="102">
        <f>COUNTIFS($E$5:$E$493,E374,$S$5:$S$493,"&lt;"&amp;S374)+COUNTIFS($E$5:E374,E374,$S$5:S374,S374)</f>
        <v>5</v>
      </c>
      <c r="AC374" s="102">
        <f t="shared" si="134"/>
        <v>20</v>
      </c>
      <c r="AD374" s="102" t="str">
        <f t="shared" si="135"/>
        <v>Primer tercio</v>
      </c>
      <c r="AE374" s="103">
        <f t="shared" si="136"/>
        <v>-15.253999479722491</v>
      </c>
      <c r="AF374" s="102" t="str">
        <f t="shared" si="137"/>
        <v xml:space="preserve">  aprovecha antes de que se acabe  oferta flash  productos top </v>
      </c>
      <c r="AG374" s="102" t="str">
        <f t="shared" si="138"/>
        <v xml:space="preserve"> grandes descuentos por tiempo limitado   no te lo pierdas  </v>
      </c>
      <c r="AH374" s="102" t="str">
        <f>IF(SUMPRODUCT(--(LEFT(IF(LEFT(LOWER(E374),1)="¡",MID(LOWER(E374),2,300),LOWER(E374)),LEN({"actualizaci","el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374" s="102" t="str">
        <f>IF(OR(SUMPRODUCT(--ISNUMBER(SEARCH({"descuento","oferta","ahorr","precio"," sale ","flash","deals"},AF374)))&gt;0,SUMPRODUCT(--ISNUMBER(SEARCH({"descuento","oferta","ahorr","precio"," sale ","flash","deals"},AG374)))&gt;0),"Sí","No")</f>
        <v>Sí</v>
      </c>
      <c r="AJ374" s="102" t="str">
        <f>IF(SUMPRODUCT(--ISNUMBER(SEARCH({" hoy ","horas","tiempo limitado","antes de que","se acab","se agot","finalic","última oportunidad","oportunidad única","relámpago","express","no esperes","no volver","no parpadees"},AF374)))&gt;0,"Sí","No")</f>
        <v>Sí</v>
      </c>
      <c r="AK374" s="102" t="str">
        <f>IF(SUMPRODUCT(--ISNUMBER(SEARCH({" hoy ","horas","tiempo limitado","antes de que","se acab","se agot","finalic","última oportunidad","oportunidad única","relámpago","express","no esperes","no volver","no parpadees"},AG374)))&gt;0,"Sí","No")</f>
        <v>Sí</v>
      </c>
      <c r="AL374" s="102" t="str">
        <f t="shared" si="139"/>
        <v>Descuento con tiempo límite en el asunto</v>
      </c>
      <c r="AM374" s="102" t="str">
        <f>IF(SUMPRODUCT(--ISNUMBER(SEARCH({"0","1","2","3","4","5","6","7","8","9","favorit","maquillaje","piel","cabello","productos","belleza","regalo"},E374)))&gt;0,"Sí","No")</f>
        <v>Sí</v>
      </c>
      <c r="AN374" s="102" t="str">
        <f>IF(SUMPRODUCT(--ISNUMBER(SEARCH({"lo que tenemos","estas ofertas","algo especial","ofertas únicas","que preparamos","no te quedes","echa un vistazo"},F374)))&gt;0,"Sí","No")</f>
        <v>No</v>
      </c>
      <c r="AO374" s="102">
        <f t="shared" si="140"/>
        <v>61</v>
      </c>
      <c r="AP374" s="102">
        <f t="shared" si="141"/>
        <v>10</v>
      </c>
      <c r="AQ374" s="102">
        <f>SUMPRODUCT(LEN(E374)-LEN(SUBSTITUTE(E374,{"!","¡","?","¿",":",",",".","%","·","-",";"},"")))</f>
        <v>3</v>
      </c>
      <c r="AR374" s="102" t="str">
        <f t="shared" si="142"/>
        <v>No</v>
      </c>
      <c r="AS374" s="102" t="str">
        <f t="shared" si="143"/>
        <v>No</v>
      </c>
      <c r="AT374" s="102" t="str">
        <f>IF(SUMPRODUCT(--ISNUMBER(FIND({"0","1","2","3","4","5","6","7","8","9"},E374)))&gt;0,"Con cifra concreta",IF(OR(ISNUMBER(FIND("?",E374)),ISNUMBER(FIND("¿",E374))),"Pregunta abierta",IF(SUMPRODUCT(--ISNUMBER(SEARCH({" hoy ","horas","tiempo limitado","antes de que","se acab","se agot","finalic","última oportunidad","oportunidad única","relámpago","express","no esperes","no volver","no parpadees"," ya ","últimas horas","últimas unidades"," ahora "},AF374)))&gt;0,"Solo urgencia, sin cifra",IF(SUMPRODUCT(--ISNUMBER(SEARCH({"recompensa","sorpresa","regalo","lealtad","detalle","gracias","pensamos en ti","para ti"},E374)))&gt;0,"Recompensa o sorpresa","Otro: beneficio o novedad"))))</f>
        <v>Solo urgencia, sin cifra</v>
      </c>
    </row>
    <row r="375" spans="1:46" x14ac:dyDescent="0.2">
      <c r="A375" s="96" t="s">
        <v>1246</v>
      </c>
      <c r="B375" s="96" t="s">
        <v>278</v>
      </c>
      <c r="C375" s="96" t="s">
        <v>915</v>
      </c>
      <c r="D375" s="96" t="s">
        <v>769</v>
      </c>
      <c r="E375" s="96" t="s">
        <v>367</v>
      </c>
      <c r="F375" s="96" t="s">
        <v>458</v>
      </c>
      <c r="G375" s="97">
        <v>482669</v>
      </c>
      <c r="H375" s="97">
        <v>137021</v>
      </c>
      <c r="I375" s="97">
        <v>46675</v>
      </c>
      <c r="J375" s="98">
        <v>9.4700000000000006</v>
      </c>
      <c r="K375" s="98">
        <v>1.56</v>
      </c>
      <c r="L375" s="99">
        <v>70643.179999999993</v>
      </c>
      <c r="M375" s="100">
        <f t="shared" si="120"/>
        <v>28.388191493549407</v>
      </c>
      <c r="N375" s="100">
        <f t="shared" si="121"/>
        <v>9.6701880584831414</v>
      </c>
      <c r="O375" s="100">
        <f t="shared" si="122"/>
        <v>34.064121558009361</v>
      </c>
      <c r="P375" s="100">
        <f t="shared" si="123"/>
        <v>146.35947201912697</v>
      </c>
      <c r="Q375" s="100">
        <f t="shared" si="124"/>
        <v>36.132518317209367</v>
      </c>
      <c r="R375" s="100">
        <f t="shared" si="125"/>
        <v>29.458247936272421</v>
      </c>
      <c r="S375" s="101">
        <f t="shared" si="126"/>
        <v>45954</v>
      </c>
      <c r="T375" s="102" t="str">
        <f t="shared" si="127"/>
        <v>Octubre</v>
      </c>
      <c r="U375" s="102" t="str">
        <f t="shared" si="128"/>
        <v>Viernes</v>
      </c>
      <c r="V375" s="102">
        <f t="shared" si="129"/>
        <v>13</v>
      </c>
      <c r="W375" s="102" t="str">
        <f t="shared" si="130"/>
        <v>Resto del mes</v>
      </c>
      <c r="X375" s="102">
        <f t="shared" si="131"/>
        <v>29</v>
      </c>
      <c r="Y375" s="102" t="str">
        <f t="shared" si="132"/>
        <v>Sí</v>
      </c>
      <c r="Z375" s="102" t="str">
        <f>CHOOSE(MATCH(B375,{"Customer Appreciation","Exclusive Offers","Flash Sale","Holiday Discounts","New Product Launch","Newsletter"},0),"Fidelizar","Vender","Vender","Vender","Lanzar","Educar")</f>
        <v>Lanzar</v>
      </c>
      <c r="AA375" s="102" t="str">
        <f t="shared" si="133"/>
        <v>Más de 400 mil</v>
      </c>
      <c r="AB375" s="102">
        <f>COUNTIFS($E$5:$E$493,E375,$S$5:$S$493,"&lt;"&amp;S375)+COUNTIFS($E$5:E375,E375,$S$5:S375,S375)</f>
        <v>22</v>
      </c>
      <c r="AC375" s="102">
        <f t="shared" si="134"/>
        <v>25</v>
      </c>
      <c r="AD375" s="102" t="str">
        <f t="shared" si="135"/>
        <v>Último tercio</v>
      </c>
      <c r="AE375" s="103">
        <f t="shared" si="136"/>
        <v>-7.7443268236599607</v>
      </c>
      <c r="AF375" s="102" t="str">
        <f t="shared" si="137"/>
        <v xml:space="preserve">  el futuro de tu piel ha llegado  nuevo producto revolucionario </v>
      </c>
      <c r="AG375" s="102" t="str">
        <f t="shared" si="138"/>
        <v xml:space="preserve"> una fórmula revolucionaria para resultados visibles   compruébalo  </v>
      </c>
      <c r="AH375" s="102" t="str">
        <f>IF(SUMPRODUCT(--(LEFT(IF(LEFT(LOWER(E375),1)="¡",MID(LOWER(E375),2,300),LOWER(E375)),LEN({"actualizaci","el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375" s="102" t="str">
        <f>IF(OR(SUMPRODUCT(--ISNUMBER(SEARCH({"descuento","oferta","ahorr","precio"," sale ","flash","deals"},AF375)))&gt;0,SUMPRODUCT(--ISNUMBER(SEARCH({"descuento","oferta","ahorr","precio"," sale ","flash","deals"},AG375)))&gt;0),"Sí","No")</f>
        <v>No</v>
      </c>
      <c r="AJ375" s="102" t="str">
        <f>IF(SUMPRODUCT(--ISNUMBER(SEARCH({" hoy ","horas","tiempo limitado","antes de que","se acab","se agot","finalic","última oportunidad","oportunidad única","relámpago","express","no esperes","no volver","no parpadees"},AF375)))&gt;0,"Sí","No")</f>
        <v>No</v>
      </c>
      <c r="AK375" s="102" t="str">
        <f>IF(SUMPRODUCT(--ISNUMBER(SEARCH({" hoy ","horas","tiempo limitado","antes de que","se acab","se agot","finalic","última oportunidad","oportunidad única","relámpago","express","no esperes","no volver","no parpadees"},AG375)))&gt;0,"Sí","No")</f>
        <v>No</v>
      </c>
      <c r="AL375" s="102" t="str">
        <f t="shared" si="139"/>
        <v>Sin descuento</v>
      </c>
      <c r="AM375" s="102" t="str">
        <f>IF(SUMPRODUCT(--ISNUMBER(SEARCH({"0","1","2","3","4","5","6","7","8","9","favorit","maquillaje","piel","cabello","productos","belleza","regalo"},E375)))&gt;0,"Sí","No")</f>
        <v>Sí</v>
      </c>
      <c r="AN375" s="102" t="str">
        <f>IF(SUMPRODUCT(--ISNUMBER(SEARCH({"lo que tenemos","estas ofertas","algo especial","ofertas únicas","que preparamos","no te quedes","echa un vistazo"},F375)))&gt;0,"Sí","No")</f>
        <v>No</v>
      </c>
      <c r="AO375" s="102">
        <f t="shared" si="140"/>
        <v>63</v>
      </c>
      <c r="AP375" s="102">
        <f t="shared" si="141"/>
        <v>10</v>
      </c>
      <c r="AQ375" s="102">
        <f>SUMPRODUCT(LEN(E375)-LEN(SUBSTITUTE(E375,{"!","¡","?","¿",":",",",".","%","·","-",";"},"")))</f>
        <v>2</v>
      </c>
      <c r="AR375" s="102" t="str">
        <f t="shared" si="142"/>
        <v>No</v>
      </c>
      <c r="AS375" s="102" t="str">
        <f t="shared" si="143"/>
        <v>No</v>
      </c>
      <c r="AT375" s="102" t="str">
        <f>IF(SUMPRODUCT(--ISNUMBER(FIND({"0","1","2","3","4","5","6","7","8","9"},E375)))&gt;0,"Con cifra concreta",IF(OR(ISNUMBER(FIND("?",E375)),ISNUMBER(FIND("¿",E375))),"Pregunta abierta",IF(SUMPRODUCT(--ISNUMBER(SEARCH({" hoy ","horas","tiempo limitado","antes de que","se acab","se agot","finalic","última oportunidad","oportunidad única","relámpago","express","no esperes","no volver","no parpadees"," ya ","últimas horas","últimas unidades"," ahora "},AF375)))&gt;0,"Solo urgencia, sin cifra",IF(SUMPRODUCT(--ISNUMBER(SEARCH({"recompensa","sorpresa","regalo","lealtad","detalle","gracias","pensamos en ti","para ti"},E375)))&gt;0,"Recompensa o sorpresa","Otro: beneficio o novedad"))))</f>
        <v>Otro: beneficio o novedad</v>
      </c>
    </row>
    <row r="376" spans="1:46" x14ac:dyDescent="0.2">
      <c r="A376" s="104" t="s">
        <v>1247</v>
      </c>
      <c r="B376" s="104" t="s">
        <v>276</v>
      </c>
      <c r="C376" s="104" t="s">
        <v>917</v>
      </c>
      <c r="D376" s="104" t="s">
        <v>774</v>
      </c>
      <c r="E376" s="104" t="s">
        <v>450</v>
      </c>
      <c r="F376" s="104" t="s">
        <v>451</v>
      </c>
      <c r="G376" s="105">
        <v>154094</v>
      </c>
      <c r="H376" s="105">
        <v>76140</v>
      </c>
      <c r="I376" s="105">
        <v>10708</v>
      </c>
      <c r="J376" s="106">
        <v>2.15</v>
      </c>
      <c r="K376" s="106">
        <v>1.41</v>
      </c>
      <c r="L376" s="107">
        <v>12796.48</v>
      </c>
      <c r="M376" s="108">
        <f t="shared" si="120"/>
        <v>49.411398237439485</v>
      </c>
      <c r="N376" s="108">
        <f t="shared" si="121"/>
        <v>6.9490051526990015</v>
      </c>
      <c r="O376" s="108">
        <f t="shared" si="122"/>
        <v>14.063567113212502</v>
      </c>
      <c r="P376" s="108">
        <f t="shared" si="123"/>
        <v>83.043337183796908</v>
      </c>
      <c r="Q376" s="108">
        <f t="shared" si="124"/>
        <v>41.593592985418489</v>
      </c>
      <c r="R376" s="108">
        <f t="shared" si="125"/>
        <v>29.440902453236173</v>
      </c>
      <c r="S376" s="101">
        <f t="shared" si="126"/>
        <v>45916</v>
      </c>
      <c r="T376" s="102" t="str">
        <f t="shared" si="127"/>
        <v>Septiembre</v>
      </c>
      <c r="U376" s="102" t="str">
        <f t="shared" si="128"/>
        <v>Martes</v>
      </c>
      <c r="V376" s="102">
        <f t="shared" si="129"/>
        <v>11</v>
      </c>
      <c r="W376" s="102" t="str">
        <f t="shared" si="130"/>
        <v>Quincena</v>
      </c>
      <c r="X376" s="102">
        <f t="shared" si="131"/>
        <v>27</v>
      </c>
      <c r="Y376" s="102" t="str">
        <f t="shared" si="132"/>
        <v>Sí</v>
      </c>
      <c r="Z376" s="102" t="str">
        <f>CHOOSE(MATCH(B376,{"Customer Appreciation","Exclusive Offers","Flash Sale","Holiday Discounts","New Product Launch","Newsletter"},0),"Fidelizar","Vender","Vender","Vender","Lanzar","Educar")</f>
        <v>Vender</v>
      </c>
      <c r="AA376" s="102" t="str">
        <f t="shared" si="133"/>
        <v>100 a 200 mil</v>
      </c>
      <c r="AB376" s="102">
        <f>COUNTIFS($E$5:$E$493,E376,$S$5:$S$493,"&lt;"&amp;S376)+COUNTIFS($E$5:E376,E376,$S$5:S376,S376)</f>
        <v>12</v>
      </c>
      <c r="AC376" s="102">
        <f t="shared" si="134"/>
        <v>21</v>
      </c>
      <c r="AD376" s="102" t="str">
        <f t="shared" si="135"/>
        <v>Medio</v>
      </c>
      <c r="AE376" s="103">
        <f t="shared" si="136"/>
        <v>7.817805252020996</v>
      </c>
      <c r="AF376" s="102" t="str">
        <f t="shared" si="137"/>
        <v xml:space="preserve">  ahorra ya  flash sale  hasta 50% en tus favoritos </v>
      </c>
      <c r="AG376" s="102" t="str">
        <f t="shared" si="138"/>
        <v xml:space="preserve"> edición limitada  maquillaje  cuidado de piel y más   corre  </v>
      </c>
      <c r="AH376" s="102" t="str">
        <f>IF(SUMPRODUCT(--(LEFT(IF(LEFT(LOWER(E376),1)="¡",MID(LOWER(E376),2,300),LOWER(E376)),LEN({"actualizaci","el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376" s="102" t="str">
        <f>IF(OR(SUMPRODUCT(--ISNUMBER(SEARCH({"descuento","oferta","ahorr","precio"," sale ","flash","deals"},AF376)))&gt;0,SUMPRODUCT(--ISNUMBER(SEARCH({"descuento","oferta","ahorr","precio"," sale ","flash","deals"},AG376)))&gt;0),"Sí","No")</f>
        <v>Sí</v>
      </c>
      <c r="AJ376" s="102" t="str">
        <f>IF(SUMPRODUCT(--ISNUMBER(SEARCH({" hoy ","horas","tiempo limitado","antes de que","se acab","se agot","finalic","última oportunidad","oportunidad única","relámpago","express","no esperes","no volver","no parpadees"},AF376)))&gt;0,"Sí","No")</f>
        <v>No</v>
      </c>
      <c r="AK376" s="102" t="str">
        <f>IF(SUMPRODUCT(--ISNUMBER(SEARCH({" hoy ","horas","tiempo limitado","antes de que","se acab","se agot","finalic","última oportunidad","oportunidad única","relámpago","express","no esperes","no volver","no parpadees"},AG376)))&gt;0,"Sí","No")</f>
        <v>No</v>
      </c>
      <c r="AL376" s="102" t="str">
        <f t="shared" si="139"/>
        <v>Descuento sin tiempo límite</v>
      </c>
      <c r="AM376" s="102" t="str">
        <f>IF(SUMPRODUCT(--ISNUMBER(SEARCH({"0","1","2","3","4","5","6","7","8","9","favorit","maquillaje","piel","cabello","productos","belleza","regalo"},E376)))&gt;0,"Sí","No")</f>
        <v>Sí</v>
      </c>
      <c r="AN376" s="102" t="str">
        <f>IF(SUMPRODUCT(--ISNUMBER(SEARCH({"lo que tenemos","estas ofertas","algo especial","ofertas únicas","que preparamos","no te quedes","echa un vistazo"},F376)))&gt;0,"Sí","No")</f>
        <v>No</v>
      </c>
      <c r="AO376" s="102">
        <f t="shared" si="140"/>
        <v>50</v>
      </c>
      <c r="AP376" s="102">
        <f t="shared" si="141"/>
        <v>9</v>
      </c>
      <c r="AQ376" s="102">
        <f>SUMPRODUCT(LEN(E376)-LEN(SUBSTITUTE(E376,{"!","¡","?","¿",":",",",".","%","·","-",";"},"")))</f>
        <v>4</v>
      </c>
      <c r="AR376" s="102" t="str">
        <f t="shared" si="142"/>
        <v>No</v>
      </c>
      <c r="AS376" s="102" t="str">
        <f t="shared" si="143"/>
        <v>No</v>
      </c>
      <c r="AT376" s="102" t="str">
        <f>IF(SUMPRODUCT(--ISNUMBER(FIND({"0","1","2","3","4","5","6","7","8","9"},E376)))&gt;0,"Con cifra concreta",IF(OR(ISNUMBER(FIND("?",E376)),ISNUMBER(FIND("¿",E376))),"Pregunta abierta",IF(SUMPRODUCT(--ISNUMBER(SEARCH({" hoy ","horas","tiempo limitado","antes de que","se acab","se agot","finalic","última oportunidad","oportunidad única","relámpago","express","no esperes","no volver","no parpadees"," ya ","últimas horas","últimas unidades"," ahora "},AF376)))&gt;0,"Solo urgencia, sin cifra",IF(SUMPRODUCT(--ISNUMBER(SEARCH({"recompensa","sorpresa","regalo","lealtad","detalle","gracias","pensamos en ti","para ti"},E376)))&gt;0,"Recompensa o sorpresa","Otro: beneficio o novedad"))))</f>
        <v>Con cifra concreta</v>
      </c>
    </row>
    <row r="377" spans="1:46" x14ac:dyDescent="0.2">
      <c r="A377" s="96" t="s">
        <v>1248</v>
      </c>
      <c r="B377" s="96" t="s">
        <v>278</v>
      </c>
      <c r="C377" s="96" t="s">
        <v>923</v>
      </c>
      <c r="D377" s="96" t="s">
        <v>729</v>
      </c>
      <c r="E377" s="96" t="s">
        <v>467</v>
      </c>
      <c r="F377" s="96" t="s">
        <v>468</v>
      </c>
      <c r="G377" s="97">
        <v>2275</v>
      </c>
      <c r="H377" s="97">
        <v>1004</v>
      </c>
      <c r="I377" s="97">
        <v>208</v>
      </c>
      <c r="J377" s="98">
        <v>9.8000000000000007</v>
      </c>
      <c r="K377" s="98">
        <v>0.42</v>
      </c>
      <c r="L377" s="99">
        <v>24137.200000000001</v>
      </c>
      <c r="M377" s="100">
        <f t="shared" si="120"/>
        <v>44.131868131868131</v>
      </c>
      <c r="N377" s="100">
        <f t="shared" si="121"/>
        <v>9.1428571428571423</v>
      </c>
      <c r="O377" s="100">
        <f t="shared" si="122"/>
        <v>20.717131474103585</v>
      </c>
      <c r="P377" s="100">
        <f t="shared" si="123"/>
        <v>10609.758241758242</v>
      </c>
      <c r="Q377" s="100">
        <f t="shared" si="124"/>
        <v>30.93688234168668</v>
      </c>
      <c r="R377" s="100">
        <f t="shared" si="125"/>
        <v>29.458247936272421</v>
      </c>
      <c r="S377" s="101">
        <f t="shared" si="126"/>
        <v>45873</v>
      </c>
      <c r="T377" s="102" t="str">
        <f t="shared" si="127"/>
        <v>Agosto</v>
      </c>
      <c r="U377" s="102" t="str">
        <f t="shared" si="128"/>
        <v>Lunes</v>
      </c>
      <c r="V377" s="102">
        <f t="shared" si="129"/>
        <v>10</v>
      </c>
      <c r="W377" s="102" t="str">
        <f t="shared" si="130"/>
        <v>Días después del pago</v>
      </c>
      <c r="X377" s="102">
        <f t="shared" si="131"/>
        <v>24</v>
      </c>
      <c r="Y377" s="102" t="str">
        <f t="shared" si="132"/>
        <v>Sí</v>
      </c>
      <c r="Z377" s="102" t="str">
        <f>CHOOSE(MATCH(B377,{"Customer Appreciation","Exclusive Offers","Flash Sale","Holiday Discounts","New Product Launch","Newsletter"},0),"Fidelizar","Vender","Vender","Vender","Lanzar","Educar")</f>
        <v>Lanzar</v>
      </c>
      <c r="AA377" s="102" t="str">
        <f t="shared" si="133"/>
        <v>Menos de 100 mil</v>
      </c>
      <c r="AB377" s="102">
        <f>COUNTIFS($E$5:$E$493,E377,$S$5:$S$493,"&lt;"&amp;S377)+COUNTIFS($E$5:E377,E377,$S$5:S377,S377)</f>
        <v>3</v>
      </c>
      <c r="AC377" s="102">
        <f t="shared" si="134"/>
        <v>22</v>
      </c>
      <c r="AD377" s="102" t="str">
        <f t="shared" si="135"/>
        <v>Primer tercio</v>
      </c>
      <c r="AE377" s="103">
        <f t="shared" si="136"/>
        <v>13.194985790181452</v>
      </c>
      <c r="AF377" s="102" t="str">
        <f t="shared" si="137"/>
        <v xml:space="preserve">  lo nuevo de l'oréal  te va a encantar  innovación en belleza </v>
      </c>
      <c r="AG377" s="102" t="str">
        <f t="shared" si="138"/>
        <v xml:space="preserve"> prepárate para experimentar la innovación en tu belleza   descúbrela  </v>
      </c>
      <c r="AH377" s="102" t="str">
        <f>IF(SUMPRODUCT(--(LEFT(IF(LEFT(LOWER(E377),1)="¡",MID(LOWER(E377),2,300),LOWER(E377)),LEN({"actualizaci","el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377" s="102" t="str">
        <f>IF(OR(SUMPRODUCT(--ISNUMBER(SEARCH({"descuento","oferta","ahorr","precio"," sale ","flash","deals"},AF377)))&gt;0,SUMPRODUCT(--ISNUMBER(SEARCH({"descuento","oferta","ahorr","precio"," sale ","flash","deals"},AG377)))&gt;0),"Sí","No")</f>
        <v>No</v>
      </c>
      <c r="AJ377" s="102" t="str">
        <f>IF(SUMPRODUCT(--ISNUMBER(SEARCH({" hoy ","horas","tiempo limitado","antes de que","se acab","se agot","finalic","última oportunidad","oportunidad única","relámpago","express","no esperes","no volver","no parpadees"},AF377)))&gt;0,"Sí","No")</f>
        <v>No</v>
      </c>
      <c r="AK377" s="102" t="str">
        <f>IF(SUMPRODUCT(--ISNUMBER(SEARCH({" hoy ","horas","tiempo limitado","antes de que","se acab","se agot","finalic","última oportunidad","oportunidad única","relámpago","express","no esperes","no volver","no parpadees"},AG377)))&gt;0,"Sí","No")</f>
        <v>No</v>
      </c>
      <c r="AL377" s="102" t="str">
        <f t="shared" si="139"/>
        <v>Sin descuento</v>
      </c>
      <c r="AM377" s="102" t="str">
        <f>IF(SUMPRODUCT(--ISNUMBER(SEARCH({"0","1","2","3","4","5","6","7","8","9","favorit","maquillaje","piel","cabello","productos","belleza","regalo"},E377)))&gt;0,"Sí","No")</f>
        <v>Sí</v>
      </c>
      <c r="AN377" s="102" t="str">
        <f>IF(SUMPRODUCT(--ISNUMBER(SEARCH({"lo que tenemos","estas ofertas","algo especial","ofertas únicas","que preparamos","no te quedes","echa un vistazo"},F377)))&gt;0,"Sí","No")</f>
        <v>No</v>
      </c>
      <c r="AO377" s="102">
        <f t="shared" si="140"/>
        <v>61</v>
      </c>
      <c r="AP377" s="102">
        <f t="shared" si="141"/>
        <v>11</v>
      </c>
      <c r="AQ377" s="102">
        <f>SUMPRODUCT(LEN(E377)-LEN(SUBSTITUTE(E377,{"!","¡","?","¿",":",",",".","%","·","-",";"},"")))</f>
        <v>3</v>
      </c>
      <c r="AR377" s="102" t="str">
        <f t="shared" si="142"/>
        <v>No</v>
      </c>
      <c r="AS377" s="102" t="str">
        <f t="shared" si="143"/>
        <v>No</v>
      </c>
      <c r="AT377" s="102" t="str">
        <f>IF(SUMPRODUCT(--ISNUMBER(FIND({"0","1","2","3","4","5","6","7","8","9"},E377)))&gt;0,"Con cifra concreta",IF(OR(ISNUMBER(FIND("?",E377)),ISNUMBER(FIND("¿",E377))),"Pregunta abierta",IF(SUMPRODUCT(--ISNUMBER(SEARCH({" hoy ","horas","tiempo limitado","antes de que","se acab","se agot","finalic","última oportunidad","oportunidad única","relámpago","express","no esperes","no volver","no parpadees"," ya ","últimas horas","últimas unidades"," ahora "},AF377)))&gt;0,"Solo urgencia, sin cifra",IF(SUMPRODUCT(--ISNUMBER(SEARCH({"recompensa","sorpresa","regalo","lealtad","detalle","gracias","pensamos en ti","para ti"},E377)))&gt;0,"Recompensa o sorpresa","Otro: beneficio o novedad"))))</f>
        <v>Otro: beneficio o novedad</v>
      </c>
    </row>
    <row r="378" spans="1:46" x14ac:dyDescent="0.2">
      <c r="A378" s="104" t="s">
        <v>1249</v>
      </c>
      <c r="B378" s="104" t="s">
        <v>276</v>
      </c>
      <c r="C378" s="104" t="s">
        <v>793</v>
      </c>
      <c r="D378" s="104" t="s">
        <v>947</v>
      </c>
      <c r="E378" s="104" t="s">
        <v>474</v>
      </c>
      <c r="F378" s="104" t="s">
        <v>475</v>
      </c>
      <c r="G378" s="105">
        <v>477440</v>
      </c>
      <c r="H378" s="105">
        <v>178712</v>
      </c>
      <c r="I378" s="105">
        <v>29642</v>
      </c>
      <c r="J378" s="106">
        <v>7.71</v>
      </c>
      <c r="K378" s="106">
        <v>4.5199999999999996</v>
      </c>
      <c r="L378" s="107">
        <v>9382.36</v>
      </c>
      <c r="M378" s="108">
        <f t="shared" si="120"/>
        <v>37.431300268096514</v>
      </c>
      <c r="N378" s="108">
        <f t="shared" si="121"/>
        <v>6.208528820375335</v>
      </c>
      <c r="O378" s="108">
        <f t="shared" si="122"/>
        <v>16.586463136219169</v>
      </c>
      <c r="P378" s="108">
        <f t="shared" si="123"/>
        <v>19.651390750670242</v>
      </c>
      <c r="Q378" s="108">
        <f t="shared" si="124"/>
        <v>22.775066640377752</v>
      </c>
      <c r="R378" s="108">
        <f t="shared" si="125"/>
        <v>29.440902453236173</v>
      </c>
      <c r="S378" s="101">
        <f t="shared" si="126"/>
        <v>45939</v>
      </c>
      <c r="T378" s="102" t="str">
        <f t="shared" si="127"/>
        <v>Octubre</v>
      </c>
      <c r="U378" s="102" t="str">
        <f t="shared" si="128"/>
        <v>Jueves</v>
      </c>
      <c r="V378" s="102">
        <f t="shared" si="129"/>
        <v>9</v>
      </c>
      <c r="W378" s="102" t="str">
        <f t="shared" si="130"/>
        <v>Resto del mes</v>
      </c>
      <c r="X378" s="102">
        <f t="shared" si="131"/>
        <v>27</v>
      </c>
      <c r="Y378" s="102" t="str">
        <f t="shared" si="132"/>
        <v>Sí</v>
      </c>
      <c r="Z378" s="102" t="str">
        <f>CHOOSE(MATCH(B378,{"Customer Appreciation","Exclusive Offers","Flash Sale","Holiday Discounts","New Product Launch","Newsletter"},0),"Fidelizar","Vender","Vender","Vender","Lanzar","Educar")</f>
        <v>Vender</v>
      </c>
      <c r="AA378" s="102" t="str">
        <f t="shared" si="133"/>
        <v>Más de 400 mil</v>
      </c>
      <c r="AB378" s="102">
        <f>COUNTIFS($E$5:$E$493,E378,$S$5:$S$493,"&lt;"&amp;S378)+COUNTIFS($E$5:E378,E378,$S$5:S378,S378)</f>
        <v>15</v>
      </c>
      <c r="AC378" s="102">
        <f t="shared" si="134"/>
        <v>20</v>
      </c>
      <c r="AD378" s="102" t="str">
        <f t="shared" si="135"/>
        <v>Último tercio</v>
      </c>
      <c r="AE378" s="103">
        <f t="shared" si="136"/>
        <v>14.656233627718763</v>
      </c>
      <c r="AF378" s="102" t="str">
        <f t="shared" si="137"/>
        <v xml:space="preserve">  aprovecha antes de que se acabe  oferta flash  productos top </v>
      </c>
      <c r="AG378" s="102" t="str">
        <f t="shared" si="138"/>
        <v xml:space="preserve"> grandes descuentos por tiempo limitado   no te lo pierdas  </v>
      </c>
      <c r="AH378" s="102" t="str">
        <f>IF(SUMPRODUCT(--(LEFT(IF(LEFT(LOWER(E378),1)="¡",MID(LOWER(E378),2,300),LOWER(E378)),LEN({"actualizaci","el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378" s="102" t="str">
        <f>IF(OR(SUMPRODUCT(--ISNUMBER(SEARCH({"descuento","oferta","ahorr","precio"," sale ","flash","deals"},AF378)))&gt;0,SUMPRODUCT(--ISNUMBER(SEARCH({"descuento","oferta","ahorr","precio"," sale ","flash","deals"},AG378)))&gt;0),"Sí","No")</f>
        <v>Sí</v>
      </c>
      <c r="AJ378" s="102" t="str">
        <f>IF(SUMPRODUCT(--ISNUMBER(SEARCH({" hoy ","horas","tiempo limitado","antes de que","se acab","se agot","finalic","última oportunidad","oportunidad única","relámpago","express","no esperes","no volver","no parpadees"},AF378)))&gt;0,"Sí","No")</f>
        <v>Sí</v>
      </c>
      <c r="AK378" s="102" t="str">
        <f>IF(SUMPRODUCT(--ISNUMBER(SEARCH({" hoy ","horas","tiempo limitado","antes de que","se acab","se agot","finalic","última oportunidad","oportunidad única","relámpago","express","no esperes","no volver","no parpadees"},AG378)))&gt;0,"Sí","No")</f>
        <v>Sí</v>
      </c>
      <c r="AL378" s="102" t="str">
        <f t="shared" si="139"/>
        <v>Descuento con tiempo límite en el asunto</v>
      </c>
      <c r="AM378" s="102" t="str">
        <f>IF(SUMPRODUCT(--ISNUMBER(SEARCH({"0","1","2","3","4","5","6","7","8","9","favorit","maquillaje","piel","cabello","productos","belleza","regalo"},E378)))&gt;0,"Sí","No")</f>
        <v>Sí</v>
      </c>
      <c r="AN378" s="102" t="str">
        <f>IF(SUMPRODUCT(--ISNUMBER(SEARCH({"lo que tenemos","estas ofertas","algo especial","ofertas únicas","que preparamos","no te quedes","echa un vistazo"},F378)))&gt;0,"Sí","No")</f>
        <v>No</v>
      </c>
      <c r="AO378" s="102">
        <f t="shared" si="140"/>
        <v>61</v>
      </c>
      <c r="AP378" s="102">
        <f t="shared" si="141"/>
        <v>10</v>
      </c>
      <c r="AQ378" s="102">
        <f>SUMPRODUCT(LEN(E378)-LEN(SUBSTITUTE(E378,{"!","¡","?","¿",":",",",".","%","·","-",";"},"")))</f>
        <v>3</v>
      </c>
      <c r="AR378" s="102" t="str">
        <f t="shared" si="142"/>
        <v>No</v>
      </c>
      <c r="AS378" s="102" t="str">
        <f t="shared" si="143"/>
        <v>No</v>
      </c>
      <c r="AT378" s="102" t="str">
        <f>IF(SUMPRODUCT(--ISNUMBER(FIND({"0","1","2","3","4","5","6","7","8","9"},E378)))&gt;0,"Con cifra concreta",IF(OR(ISNUMBER(FIND("?",E378)),ISNUMBER(FIND("¿",E378))),"Pregunta abierta",IF(SUMPRODUCT(--ISNUMBER(SEARCH({" hoy ","horas","tiempo limitado","antes de que","se acab","se agot","finalic","última oportunidad","oportunidad única","relámpago","express","no esperes","no volver","no parpadees"," ya ","últimas horas","últimas unidades"," ahora "},AF378)))&gt;0,"Solo urgencia, sin cifra",IF(SUMPRODUCT(--ISNUMBER(SEARCH({"recompensa","sorpresa","regalo","lealtad","detalle","gracias","pensamos en ti","para ti"},E378)))&gt;0,"Recompensa o sorpresa","Otro: beneficio o novedad"))))</f>
        <v>Solo urgencia, sin cifra</v>
      </c>
    </row>
    <row r="379" spans="1:46" x14ac:dyDescent="0.2">
      <c r="A379" s="96" t="s">
        <v>1250</v>
      </c>
      <c r="B379" s="96" t="s">
        <v>279</v>
      </c>
      <c r="C379" s="96" t="s">
        <v>830</v>
      </c>
      <c r="D379" s="96" t="s">
        <v>950</v>
      </c>
      <c r="E379" s="96" t="s">
        <v>472</v>
      </c>
      <c r="F379" s="96" t="s">
        <v>473</v>
      </c>
      <c r="G379" s="97">
        <v>463604</v>
      </c>
      <c r="H379" s="97">
        <v>61600</v>
      </c>
      <c r="I379" s="97">
        <v>53920</v>
      </c>
      <c r="J379" s="98">
        <v>0.8</v>
      </c>
      <c r="K379" s="98">
        <v>3.13</v>
      </c>
      <c r="L379" s="99">
        <v>69759.81</v>
      </c>
      <c r="M379" s="100">
        <f t="shared" si="120"/>
        <v>13.287202008610796</v>
      </c>
      <c r="N379" s="100">
        <f t="shared" si="121"/>
        <v>11.63061578416062</v>
      </c>
      <c r="O379" s="100">
        <f t="shared" si="122"/>
        <v>87.532467532467535</v>
      </c>
      <c r="P379" s="100">
        <f t="shared" si="123"/>
        <v>150.47283888836159</v>
      </c>
      <c r="Q379" s="100">
        <f t="shared" si="124"/>
        <v>22.891293825435607</v>
      </c>
      <c r="R379" s="100">
        <f t="shared" si="125"/>
        <v>27.75136451093497</v>
      </c>
      <c r="S379" s="101">
        <f t="shared" si="126"/>
        <v>45901</v>
      </c>
      <c r="T379" s="102" t="str">
        <f t="shared" si="127"/>
        <v>Septiembre</v>
      </c>
      <c r="U379" s="102" t="str">
        <f t="shared" si="128"/>
        <v>Lunes</v>
      </c>
      <c r="V379" s="102">
        <f t="shared" si="129"/>
        <v>14</v>
      </c>
      <c r="W379" s="102" t="str">
        <f t="shared" si="130"/>
        <v>Quincena</v>
      </c>
      <c r="X379" s="102">
        <f t="shared" si="131"/>
        <v>29</v>
      </c>
      <c r="Y379" s="102" t="str">
        <f t="shared" si="132"/>
        <v>Sí</v>
      </c>
      <c r="Z379" s="102" t="str">
        <f>CHOOSE(MATCH(B379,{"Customer Appreciation","Exclusive Offers","Flash Sale","Holiday Discounts","New Product Launch","Newsletter"},0),"Fidelizar","Vender","Vender","Vender","Lanzar","Educar")</f>
        <v>Educar</v>
      </c>
      <c r="AA379" s="102" t="str">
        <f t="shared" si="133"/>
        <v>Más de 400 mil</v>
      </c>
      <c r="AB379" s="102">
        <f>COUNTIFS($E$5:$E$493,E379,$S$5:$S$493,"&lt;"&amp;S379)+COUNTIFS($E$5:E379,E379,$S$5:S379,S379)</f>
        <v>8</v>
      </c>
      <c r="AC379" s="102">
        <f t="shared" si="134"/>
        <v>22</v>
      </c>
      <c r="AD379" s="102" t="str">
        <f t="shared" si="135"/>
        <v>Medio</v>
      </c>
      <c r="AE379" s="103">
        <f t="shared" si="136"/>
        <v>-9.6040918168248108</v>
      </c>
      <c r="AF379" s="102" t="str">
        <f t="shared" si="137"/>
        <v xml:space="preserve"> tu dosis semanal de belleza  novedades y tips </v>
      </c>
      <c r="AG379" s="102" t="str">
        <f t="shared" si="138"/>
        <v xml:space="preserve"> novedades  tips y más para tu rutina diaria   entra ya  </v>
      </c>
      <c r="AH379" s="102" t="str">
        <f>IF(SUMPRODUCT(--(LEFT(IF(LEFT(LOWER(E379),1)="¡",MID(LOWER(E379),2,300),LOWER(E379)),LEN({"actualizaci","el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379" s="102" t="str">
        <f>IF(OR(SUMPRODUCT(--ISNUMBER(SEARCH({"descuento","oferta","ahorr","precio"," sale ","flash","deals"},AF379)))&gt;0,SUMPRODUCT(--ISNUMBER(SEARCH({"descuento","oferta","ahorr","precio"," sale ","flash","deals"},AG379)))&gt;0),"Sí","No")</f>
        <v>No</v>
      </c>
      <c r="AJ379" s="102" t="str">
        <f>IF(SUMPRODUCT(--ISNUMBER(SEARCH({" hoy ","horas","tiempo limitado","antes de que","se acab","se agot","finalic","última oportunidad","oportunidad única","relámpago","express","no esperes","no volver","no parpadees"},AF379)))&gt;0,"Sí","No")</f>
        <v>No</v>
      </c>
      <c r="AK379" s="102" t="str">
        <f>IF(SUMPRODUCT(--ISNUMBER(SEARCH({" hoy ","horas","tiempo limitado","antes de que","se acab","se agot","finalic","última oportunidad","oportunidad única","relámpago","express","no esperes","no volver","no parpadees"},AG379)))&gt;0,"Sí","No")</f>
        <v>No</v>
      </c>
      <c r="AL379" s="102" t="str">
        <f t="shared" si="139"/>
        <v>Sin descuento</v>
      </c>
      <c r="AM379" s="102" t="str">
        <f>IF(SUMPRODUCT(--ISNUMBER(SEARCH({"0","1","2","3","4","5","6","7","8","9","favorit","maquillaje","piel","cabello","productos","belleza","regalo"},E379)))&gt;0,"Sí","No")</f>
        <v>Sí</v>
      </c>
      <c r="AN379" s="102" t="str">
        <f>IF(SUMPRODUCT(--ISNUMBER(SEARCH({"lo que tenemos","estas ofertas","algo especial","ofertas únicas","que preparamos","no te quedes","echa un vistazo"},F379)))&gt;0,"Sí","No")</f>
        <v>No</v>
      </c>
      <c r="AO379" s="102">
        <f t="shared" si="140"/>
        <v>45</v>
      </c>
      <c r="AP379" s="102">
        <f t="shared" si="141"/>
        <v>8</v>
      </c>
      <c r="AQ379" s="102">
        <f>SUMPRODUCT(LEN(E379)-LEN(SUBSTITUTE(E379,{"!","¡","?","¿",":",",",".","%","·","-",";"},"")))</f>
        <v>1</v>
      </c>
      <c r="AR379" s="102" t="str">
        <f t="shared" si="142"/>
        <v>Sí</v>
      </c>
      <c r="AS379" s="102" t="str">
        <f t="shared" si="143"/>
        <v>No</v>
      </c>
      <c r="AT379" s="102" t="str">
        <f>IF(SUMPRODUCT(--ISNUMBER(FIND({"0","1","2","3","4","5","6","7","8","9"},E379)))&gt;0,"Con cifra concreta",IF(OR(ISNUMBER(FIND("?",E379)),ISNUMBER(FIND("¿",E379))),"Pregunta abierta",IF(SUMPRODUCT(--ISNUMBER(SEARCH({" hoy ","horas","tiempo limitado","antes de que","se acab","se agot","finalic","última oportunidad","oportunidad única","relámpago","express","no esperes","no volver","no parpadees"," ya ","últimas horas","últimas unidades"," ahora "},AF379)))&gt;0,"Solo urgencia, sin cifra",IF(SUMPRODUCT(--ISNUMBER(SEARCH({"recompensa","sorpresa","regalo","lealtad","detalle","gracias","pensamos en ti","para ti"},E379)))&gt;0,"Recompensa o sorpresa","Otro: beneficio o novedad"))))</f>
        <v>Otro: beneficio o novedad</v>
      </c>
    </row>
    <row r="380" spans="1:46" x14ac:dyDescent="0.2">
      <c r="A380" s="104" t="s">
        <v>1251</v>
      </c>
      <c r="B380" s="104" t="s">
        <v>275</v>
      </c>
      <c r="C380" s="104" t="s">
        <v>976</v>
      </c>
      <c r="D380" s="104" t="s">
        <v>751</v>
      </c>
      <c r="E380" s="104" t="s">
        <v>465</v>
      </c>
      <c r="F380" s="104" t="s">
        <v>466</v>
      </c>
      <c r="G380" s="105">
        <v>352523</v>
      </c>
      <c r="H380" s="105">
        <v>102927</v>
      </c>
      <c r="I380" s="105">
        <v>26757</v>
      </c>
      <c r="J380" s="106">
        <v>9.2799999999999994</v>
      </c>
      <c r="K380" s="106">
        <v>1.61</v>
      </c>
      <c r="L380" s="107">
        <v>85776.71</v>
      </c>
      <c r="M380" s="108">
        <f t="shared" si="120"/>
        <v>29.197243867776002</v>
      </c>
      <c r="N380" s="108">
        <f t="shared" si="121"/>
        <v>7.5901430544957353</v>
      </c>
      <c r="O380" s="108">
        <f t="shared" si="122"/>
        <v>25.996094319274825</v>
      </c>
      <c r="P380" s="108">
        <f t="shared" si="123"/>
        <v>243.32230804798556</v>
      </c>
      <c r="Q380" s="108">
        <f t="shared" si="124"/>
        <v>33.047230763392911</v>
      </c>
      <c r="R380" s="108">
        <f t="shared" si="125"/>
        <v>27.021447627328243</v>
      </c>
      <c r="S380" s="101">
        <f t="shared" si="126"/>
        <v>45892</v>
      </c>
      <c r="T380" s="102" t="str">
        <f t="shared" si="127"/>
        <v>Agosto</v>
      </c>
      <c r="U380" s="102" t="str">
        <f t="shared" si="128"/>
        <v>Sábado</v>
      </c>
      <c r="V380" s="102">
        <f t="shared" si="129"/>
        <v>11</v>
      </c>
      <c r="W380" s="102" t="str">
        <f t="shared" si="130"/>
        <v>Resto del mes</v>
      </c>
      <c r="X380" s="102">
        <f t="shared" si="131"/>
        <v>25</v>
      </c>
      <c r="Y380" s="102" t="str">
        <f t="shared" si="132"/>
        <v>Sí</v>
      </c>
      <c r="Z380" s="102" t="str">
        <f>CHOOSE(MATCH(B380,{"Customer Appreciation","Exclusive Offers","Flash Sale","Holiday Discounts","New Product Launch","Newsletter"},0),"Fidelizar","Vender","Vender","Vender","Lanzar","Educar")</f>
        <v>Vender</v>
      </c>
      <c r="AA380" s="102" t="str">
        <f t="shared" si="133"/>
        <v>300 a 400 mil</v>
      </c>
      <c r="AB380" s="102">
        <f>COUNTIFS($E$5:$E$493,E380,$S$5:$S$493,"&lt;"&amp;S380)+COUNTIFS($E$5:E380,E380,$S$5:S380,S380)</f>
        <v>5</v>
      </c>
      <c r="AC380" s="102">
        <f t="shared" si="134"/>
        <v>22</v>
      </c>
      <c r="AD380" s="102" t="str">
        <f t="shared" si="135"/>
        <v>Primer tercio</v>
      </c>
      <c r="AE380" s="103">
        <f t="shared" si="136"/>
        <v>-3.8499868956169081</v>
      </c>
      <c r="AF380" s="102" t="str">
        <f t="shared" si="137"/>
        <v xml:space="preserve">  ofertas exclusivas  solo para nuestra comunidad vip </v>
      </c>
      <c r="AG380" s="102" t="str">
        <f t="shared" si="138"/>
        <v xml:space="preserve"> productos premium con descuentos únicos   acceso limitado  </v>
      </c>
      <c r="AH380" s="102" t="str">
        <f>IF(SUMPRODUCT(--(LEFT(IF(LEFT(LOWER(E380),1)="¡",MID(LOWER(E380),2,300),LOWER(E380)),LEN({"actualizaci","el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380" s="102" t="str">
        <f>IF(OR(SUMPRODUCT(--ISNUMBER(SEARCH({"descuento","oferta","ahorr","precio"," sale ","flash","deals"},AF380)))&gt;0,SUMPRODUCT(--ISNUMBER(SEARCH({"descuento","oferta","ahorr","precio"," sale ","flash","deals"},AG380)))&gt;0),"Sí","No")</f>
        <v>Sí</v>
      </c>
      <c r="AJ380" s="102" t="str">
        <f>IF(SUMPRODUCT(--ISNUMBER(SEARCH({" hoy ","horas","tiempo limitado","antes de que","se acab","se agot","finalic","última oportunidad","oportunidad única","relámpago","express","no esperes","no volver","no parpadees"},AF380)))&gt;0,"Sí","No")</f>
        <v>No</v>
      </c>
      <c r="AK380" s="102" t="str">
        <f>IF(SUMPRODUCT(--ISNUMBER(SEARCH({" hoy ","horas","tiempo limitado","antes de que","se acab","se agot","finalic","última oportunidad","oportunidad única","relámpago","express","no esperes","no volver","no parpadees"},AG380)))&gt;0,"Sí","No")</f>
        <v>No</v>
      </c>
      <c r="AL380" s="102" t="str">
        <f t="shared" si="139"/>
        <v>Descuento sin tiempo límite</v>
      </c>
      <c r="AM380" s="102" t="str">
        <f>IF(SUMPRODUCT(--ISNUMBER(SEARCH({"0","1","2","3","4","5","6","7","8","9","favorit","maquillaje","piel","cabello","productos","belleza","regalo"},E380)))&gt;0,"Sí","No")</f>
        <v>No</v>
      </c>
      <c r="AN380" s="102" t="str">
        <f>IF(SUMPRODUCT(--ISNUMBER(SEARCH({"lo que tenemos","estas ofertas","algo especial","ofertas únicas","que preparamos","no te quedes","echa un vistazo"},F380)))&gt;0,"Sí","No")</f>
        <v>No</v>
      </c>
      <c r="AO380" s="102">
        <f t="shared" si="140"/>
        <v>52</v>
      </c>
      <c r="AP380" s="102">
        <f t="shared" si="141"/>
        <v>7</v>
      </c>
      <c r="AQ380" s="102">
        <f>SUMPRODUCT(LEN(E380)-LEN(SUBSTITUTE(E380,{"!","¡","?","¿",":",",",".","%","·","-",";"},"")))</f>
        <v>2</v>
      </c>
      <c r="AR380" s="102" t="str">
        <f t="shared" si="142"/>
        <v>Sí</v>
      </c>
      <c r="AS380" s="102" t="str">
        <f t="shared" si="143"/>
        <v>No</v>
      </c>
      <c r="AT380" s="102" t="str">
        <f>IF(SUMPRODUCT(--ISNUMBER(FIND({"0","1","2","3","4","5","6","7","8","9"},E380)))&gt;0,"Con cifra concreta",IF(OR(ISNUMBER(FIND("?",E380)),ISNUMBER(FIND("¿",E380))),"Pregunta abierta",IF(SUMPRODUCT(--ISNUMBER(SEARCH({" hoy ","horas","tiempo limitado","antes de que","se acab","se agot","finalic","última oportunidad","oportunidad única","relámpago","express","no esperes","no volver","no parpadees"," ya ","últimas horas","últimas unidades"," ahora "},AF380)))&gt;0,"Solo urgencia, sin cifra",IF(SUMPRODUCT(--ISNUMBER(SEARCH({"recompensa","sorpresa","regalo","lealtad","detalle","gracias","pensamos en ti","para ti"},E380)))&gt;0,"Recompensa o sorpresa","Otro: beneficio o novedad"))))</f>
        <v>Otro: beneficio o novedad</v>
      </c>
    </row>
    <row r="381" spans="1:46" x14ac:dyDescent="0.2">
      <c r="A381" s="96" t="s">
        <v>1252</v>
      </c>
      <c r="B381" s="96" t="s">
        <v>279</v>
      </c>
      <c r="C381" s="96" t="s">
        <v>742</v>
      </c>
      <c r="D381" s="96" t="s">
        <v>702</v>
      </c>
      <c r="E381" s="96" t="s">
        <v>463</v>
      </c>
      <c r="F381" s="96" t="s">
        <v>464</v>
      </c>
      <c r="G381" s="97">
        <v>330929</v>
      </c>
      <c r="H381" s="97">
        <v>41505</v>
      </c>
      <c r="I381" s="97">
        <v>39877</v>
      </c>
      <c r="J381" s="98">
        <v>7.24</v>
      </c>
      <c r="K381" s="98">
        <v>0.91</v>
      </c>
      <c r="L381" s="99">
        <v>40955.129999999997</v>
      </c>
      <c r="M381" s="100">
        <f t="shared" si="120"/>
        <v>12.541965194951182</v>
      </c>
      <c r="N381" s="100">
        <f t="shared" si="121"/>
        <v>12.050016770969</v>
      </c>
      <c r="O381" s="100">
        <f t="shared" si="122"/>
        <v>96.077581014335621</v>
      </c>
      <c r="P381" s="100">
        <f t="shared" si="123"/>
        <v>123.75805686416119</v>
      </c>
      <c r="Q381" s="100">
        <f t="shared" si="124"/>
        <v>33.412775116147934</v>
      </c>
      <c r="R381" s="100">
        <f t="shared" si="125"/>
        <v>27.75136451093497</v>
      </c>
      <c r="S381" s="101">
        <f t="shared" si="126"/>
        <v>45948</v>
      </c>
      <c r="T381" s="102" t="str">
        <f t="shared" si="127"/>
        <v>Octubre</v>
      </c>
      <c r="U381" s="102" t="str">
        <f t="shared" si="128"/>
        <v>Sábado</v>
      </c>
      <c r="V381" s="102">
        <f t="shared" si="129"/>
        <v>16</v>
      </c>
      <c r="W381" s="102" t="str">
        <f t="shared" si="130"/>
        <v>Días después del pago</v>
      </c>
      <c r="X381" s="102">
        <f t="shared" si="131"/>
        <v>27</v>
      </c>
      <c r="Y381" s="102" t="str">
        <f t="shared" si="132"/>
        <v>Sí</v>
      </c>
      <c r="Z381" s="102" t="str">
        <f>CHOOSE(MATCH(B381,{"Customer Appreciation","Exclusive Offers","Flash Sale","Holiday Discounts","New Product Launch","Newsletter"},0),"Fidelizar","Vender","Vender","Vender","Lanzar","Educar")</f>
        <v>Educar</v>
      </c>
      <c r="AA381" s="102" t="str">
        <f t="shared" si="133"/>
        <v>300 a 400 mil</v>
      </c>
      <c r="AB381" s="102">
        <f>COUNTIFS($E$5:$E$493,E381,$S$5:$S$493,"&lt;"&amp;S381)+COUNTIFS($E$5:E381,E381,$S$5:S381,S381)</f>
        <v>23</v>
      </c>
      <c r="AC381" s="102">
        <f t="shared" si="134"/>
        <v>25</v>
      </c>
      <c r="AD381" s="102" t="str">
        <f t="shared" si="135"/>
        <v>Último tercio</v>
      </c>
      <c r="AE381" s="103">
        <f t="shared" si="136"/>
        <v>-20.870809921196752</v>
      </c>
      <c r="AF381" s="102" t="str">
        <f t="shared" si="137"/>
        <v xml:space="preserve"> tu dosis de belleza   no te lo pierdas  tips y trucos </v>
      </c>
      <c r="AG381" s="102" t="str">
        <f t="shared" si="138"/>
        <v xml:space="preserve"> consejos expertos  tendencias y más en tu bandeja de entrada   descúbrelo  </v>
      </c>
      <c r="AH381" s="102" t="str">
        <f>IF(SUMPRODUCT(--(LEFT(IF(LEFT(LOWER(E381),1)="¡",MID(LOWER(E381),2,300),LOWER(E381)),LEN({"actualizaci","el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381" s="102" t="str">
        <f>IF(OR(SUMPRODUCT(--ISNUMBER(SEARCH({"descuento","oferta","ahorr","precio"," sale ","flash","deals"},AF381)))&gt;0,SUMPRODUCT(--ISNUMBER(SEARCH({"descuento","oferta","ahorr","precio"," sale ","flash","deals"},AG381)))&gt;0),"Sí","No")</f>
        <v>No</v>
      </c>
      <c r="AJ381" s="102" t="str">
        <f>IF(SUMPRODUCT(--ISNUMBER(SEARCH({" hoy ","horas","tiempo limitado","antes de que","se acab","se agot","finalic","última oportunidad","oportunidad única","relámpago","express","no esperes","no volver","no parpadees"},AF381)))&gt;0,"Sí","No")</f>
        <v>No</v>
      </c>
      <c r="AK381" s="102" t="str">
        <f>IF(SUMPRODUCT(--ISNUMBER(SEARCH({" hoy ","horas","tiempo limitado","antes de que","se acab","se agot","finalic","última oportunidad","oportunidad única","relámpago","express","no esperes","no volver","no parpadees"},AG381)))&gt;0,"Sí","No")</f>
        <v>No</v>
      </c>
      <c r="AL381" s="102" t="str">
        <f t="shared" si="139"/>
        <v>Sin descuento</v>
      </c>
      <c r="AM381" s="102" t="str">
        <f>IF(SUMPRODUCT(--ISNUMBER(SEARCH({"0","1","2","3","4","5","6","7","8","9","favorit","maquillaje","piel","cabello","productos","belleza","regalo"},E381)))&gt;0,"Sí","No")</f>
        <v>Sí</v>
      </c>
      <c r="AN381" s="102" t="str">
        <f>IF(SUMPRODUCT(--ISNUMBER(SEARCH({"lo que tenemos","estas ofertas","algo especial","ofertas únicas","que preparamos","no te quedes","echa un vistazo"},F381)))&gt;0,"Sí","No")</f>
        <v>No</v>
      </c>
      <c r="AO381" s="102">
        <f t="shared" si="140"/>
        <v>53</v>
      </c>
      <c r="AP381" s="102">
        <f t="shared" si="141"/>
        <v>11</v>
      </c>
      <c r="AQ381" s="102">
        <f>SUMPRODUCT(LEN(E381)-LEN(SUBSTITUTE(E381,{"!","¡","?","¿",":",",",".","%","·","-",";"},"")))</f>
        <v>3</v>
      </c>
      <c r="AR381" s="102" t="str">
        <f t="shared" si="142"/>
        <v>No</v>
      </c>
      <c r="AS381" s="102" t="str">
        <f t="shared" si="143"/>
        <v>No</v>
      </c>
      <c r="AT381" s="102" t="str">
        <f>IF(SUMPRODUCT(--ISNUMBER(FIND({"0","1","2","3","4","5","6","7","8","9"},E381)))&gt;0,"Con cifra concreta",IF(OR(ISNUMBER(FIND("?",E381)),ISNUMBER(FIND("¿",E381))),"Pregunta abierta",IF(SUMPRODUCT(--ISNUMBER(SEARCH({" hoy ","horas","tiempo limitado","antes de que","se acab","se agot","finalic","última oportunidad","oportunidad única","relámpago","express","no esperes","no volver","no parpadees"," ya ","últimas horas","últimas unidades"," ahora "},AF381)))&gt;0,"Solo urgencia, sin cifra",IF(SUMPRODUCT(--ISNUMBER(SEARCH({"recompensa","sorpresa","regalo","lealtad","detalle","gracias","pensamos en ti","para ti"},E381)))&gt;0,"Recompensa o sorpresa","Otro: beneficio o novedad"))))</f>
        <v>Otro: beneficio o novedad</v>
      </c>
    </row>
    <row r="382" spans="1:46" x14ac:dyDescent="0.2">
      <c r="A382" s="104" t="s">
        <v>1253</v>
      </c>
      <c r="B382" s="104" t="s">
        <v>277</v>
      </c>
      <c r="C382" s="104" t="s">
        <v>980</v>
      </c>
      <c r="D382" s="104" t="s">
        <v>824</v>
      </c>
      <c r="E382" s="104" t="s">
        <v>461</v>
      </c>
      <c r="F382" s="104" t="s">
        <v>462</v>
      </c>
      <c r="G382" s="105">
        <v>391504</v>
      </c>
      <c r="H382" s="105">
        <v>124619</v>
      </c>
      <c r="I382" s="105">
        <v>32532</v>
      </c>
      <c r="J382" s="106">
        <v>4.1900000000000004</v>
      </c>
      <c r="K382" s="106">
        <v>3.52</v>
      </c>
      <c r="L382" s="107">
        <v>5795.58</v>
      </c>
      <c r="M382" s="108">
        <f t="shared" si="120"/>
        <v>31.830836977399972</v>
      </c>
      <c r="N382" s="108">
        <f t="shared" si="121"/>
        <v>8.3094936450202308</v>
      </c>
      <c r="O382" s="108">
        <f t="shared" si="122"/>
        <v>26.105168553751835</v>
      </c>
      <c r="P382" s="108">
        <f t="shared" si="123"/>
        <v>14.803373656463279</v>
      </c>
      <c r="Q382" s="108">
        <f t="shared" si="124"/>
        <v>35.409886702202286</v>
      </c>
      <c r="R382" s="108">
        <f t="shared" si="125"/>
        <v>30.71114383300629</v>
      </c>
      <c r="S382" s="101">
        <f t="shared" si="126"/>
        <v>45875</v>
      </c>
      <c r="T382" s="102" t="str">
        <f t="shared" si="127"/>
        <v>Agosto</v>
      </c>
      <c r="U382" s="102" t="str">
        <f t="shared" si="128"/>
        <v>Miércoles</v>
      </c>
      <c r="V382" s="102">
        <f t="shared" si="129"/>
        <v>10</v>
      </c>
      <c r="W382" s="102" t="str">
        <f t="shared" si="130"/>
        <v>Resto del mes</v>
      </c>
      <c r="X382" s="102">
        <f t="shared" si="131"/>
        <v>28</v>
      </c>
      <c r="Y382" s="102" t="str">
        <f t="shared" si="132"/>
        <v>Sí</v>
      </c>
      <c r="Z382" s="102" t="str">
        <f>CHOOSE(MATCH(B382,{"Customer Appreciation","Exclusive Offers","Flash Sale","Holiday Discounts","New Product Launch","Newsletter"},0),"Fidelizar","Vender","Vender","Vender","Lanzar","Educar")</f>
        <v>Vender</v>
      </c>
      <c r="AA382" s="102" t="str">
        <f t="shared" si="133"/>
        <v>300 a 400 mil</v>
      </c>
      <c r="AB382" s="102">
        <f>COUNTIFS($E$5:$E$493,E382,$S$5:$S$493,"&lt;"&amp;S382)+COUNTIFS($E$5:E382,E382,$S$5:S382,S382)</f>
        <v>3</v>
      </c>
      <c r="AC382" s="102">
        <f t="shared" si="134"/>
        <v>30</v>
      </c>
      <c r="AD382" s="102" t="str">
        <f t="shared" si="135"/>
        <v>Primer tercio</v>
      </c>
      <c r="AE382" s="103">
        <f t="shared" si="136"/>
        <v>-3.5790497248023136</v>
      </c>
      <c r="AF382" s="102" t="str">
        <f t="shared" si="137"/>
        <v xml:space="preserve">  regalos perfectos te esperan  descuentos de lujo  l'oréal </v>
      </c>
      <c r="AG382" s="102" t="str">
        <f t="shared" si="138"/>
        <v xml:space="preserve"> encuentra ese detalle especial para ti o tus seres queridos   descubre  </v>
      </c>
      <c r="AH382" s="102" t="str">
        <f>IF(SUMPRODUCT(--(LEFT(IF(LEFT(LOWER(E382),1)="¡",MID(LOWER(E382),2,300),LOWER(E382)),LEN({"actualizaci","el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382" s="102" t="str">
        <f>IF(OR(SUMPRODUCT(--ISNUMBER(SEARCH({"descuento","oferta","ahorr","precio"," sale ","flash","deals"},AF382)))&gt;0,SUMPRODUCT(--ISNUMBER(SEARCH({"descuento","oferta","ahorr","precio"," sale ","flash","deals"},AG382)))&gt;0),"Sí","No")</f>
        <v>Sí</v>
      </c>
      <c r="AJ382" s="102" t="str">
        <f>IF(SUMPRODUCT(--ISNUMBER(SEARCH({" hoy ","horas","tiempo limitado","antes de que","se acab","se agot","finalic","última oportunidad","oportunidad única","relámpago","express","no esperes","no volver","no parpadees"},AF382)))&gt;0,"Sí","No")</f>
        <v>No</v>
      </c>
      <c r="AK382" s="102" t="str">
        <f>IF(SUMPRODUCT(--ISNUMBER(SEARCH({" hoy ","horas","tiempo limitado","antes de que","se acab","se agot","finalic","última oportunidad","oportunidad única","relámpago","express","no esperes","no volver","no parpadees"},AG382)))&gt;0,"Sí","No")</f>
        <v>No</v>
      </c>
      <c r="AL382" s="102" t="str">
        <f t="shared" si="139"/>
        <v>Descuento sin tiempo límite</v>
      </c>
      <c r="AM382" s="102" t="str">
        <f>IF(SUMPRODUCT(--ISNUMBER(SEARCH({"0","1","2","3","4","5","6","7","8","9","favorit","maquillaje","piel","cabello","productos","belleza","regalo"},E382)))&gt;0,"Sí","No")</f>
        <v>Sí</v>
      </c>
      <c r="AN382" s="102" t="str">
        <f>IF(SUMPRODUCT(--ISNUMBER(SEARCH({"lo que tenemos","estas ofertas","algo especial","ofertas únicas","que preparamos","no te quedes","echa un vistazo"},F382)))&gt;0,"Sí","No")</f>
        <v>No</v>
      </c>
      <c r="AO382" s="102">
        <f t="shared" si="140"/>
        <v>58</v>
      </c>
      <c r="AP382" s="102">
        <f t="shared" si="141"/>
        <v>8</v>
      </c>
      <c r="AQ382" s="102">
        <f>SUMPRODUCT(LEN(E382)-LEN(SUBSTITUTE(E382,{"!","¡","?","¿",":",",",".","%","·","-",";"},"")))</f>
        <v>3</v>
      </c>
      <c r="AR382" s="102" t="str">
        <f t="shared" si="142"/>
        <v>Sí</v>
      </c>
      <c r="AS382" s="102" t="str">
        <f t="shared" si="143"/>
        <v>No</v>
      </c>
      <c r="AT382" s="102" t="str">
        <f>IF(SUMPRODUCT(--ISNUMBER(FIND({"0","1","2","3","4","5","6","7","8","9"},E382)))&gt;0,"Con cifra concreta",IF(OR(ISNUMBER(FIND("?",E382)),ISNUMBER(FIND("¿",E382))),"Pregunta abierta",IF(SUMPRODUCT(--ISNUMBER(SEARCH({" hoy ","horas","tiempo limitado","antes de que","se acab","se agot","finalic","última oportunidad","oportunidad única","relámpago","express","no esperes","no volver","no parpadees"," ya ","últimas horas","últimas unidades"," ahora "},AF382)))&gt;0,"Solo urgencia, sin cifra",IF(SUMPRODUCT(--ISNUMBER(SEARCH({"recompensa","sorpresa","regalo","lealtad","detalle","gracias","pensamos en ti","para ti"},E382)))&gt;0,"Recompensa o sorpresa","Otro: beneficio o novedad"))))</f>
        <v>Recompensa o sorpresa</v>
      </c>
    </row>
    <row r="383" spans="1:46" x14ac:dyDescent="0.2">
      <c r="A383" s="96" t="s">
        <v>1254</v>
      </c>
      <c r="B383" s="96" t="s">
        <v>275</v>
      </c>
      <c r="C383" s="96" t="s">
        <v>815</v>
      </c>
      <c r="D383" s="96" t="s">
        <v>764</v>
      </c>
      <c r="E383" s="96" t="s">
        <v>455</v>
      </c>
      <c r="F383" s="96" t="s">
        <v>456</v>
      </c>
      <c r="G383" s="97">
        <v>62754</v>
      </c>
      <c r="H383" s="97">
        <v>22634</v>
      </c>
      <c r="I383" s="97">
        <v>2543</v>
      </c>
      <c r="J383" s="98">
        <v>7.54</v>
      </c>
      <c r="K383" s="98">
        <v>3.8</v>
      </c>
      <c r="L383" s="99">
        <v>79795.63</v>
      </c>
      <c r="M383" s="100">
        <f t="shared" si="120"/>
        <v>36.067820377983871</v>
      </c>
      <c r="N383" s="100">
        <f t="shared" si="121"/>
        <v>4.0523313254931956</v>
      </c>
      <c r="O383" s="100">
        <f t="shared" si="122"/>
        <v>11.235309711054166</v>
      </c>
      <c r="P383" s="100">
        <f t="shared" si="123"/>
        <v>1271.5624502023777</v>
      </c>
      <c r="Q383" s="100">
        <f t="shared" si="124"/>
        <v>38.720231784441999</v>
      </c>
      <c r="R383" s="100">
        <f t="shared" si="125"/>
        <v>27.021447627328243</v>
      </c>
      <c r="S383" s="101">
        <f t="shared" si="126"/>
        <v>45959</v>
      </c>
      <c r="T383" s="102" t="str">
        <f t="shared" si="127"/>
        <v>Octubre</v>
      </c>
      <c r="U383" s="102" t="str">
        <f t="shared" si="128"/>
        <v>Miércoles</v>
      </c>
      <c r="V383" s="102">
        <f t="shared" si="129"/>
        <v>15</v>
      </c>
      <c r="W383" s="102" t="str">
        <f t="shared" si="130"/>
        <v>Resto del mes</v>
      </c>
      <c r="X383" s="102">
        <f t="shared" si="131"/>
        <v>27</v>
      </c>
      <c r="Y383" s="102" t="str">
        <f t="shared" si="132"/>
        <v>Sí</v>
      </c>
      <c r="Z383" s="102" t="str">
        <f>CHOOSE(MATCH(B383,{"Customer Appreciation","Exclusive Offers","Flash Sale","Holiday Discounts","New Product Launch","Newsletter"},0),"Fidelizar","Vender","Vender","Vender","Lanzar","Educar")</f>
        <v>Vender</v>
      </c>
      <c r="AA383" s="102" t="str">
        <f t="shared" si="133"/>
        <v>Menos de 100 mil</v>
      </c>
      <c r="AB383" s="102">
        <f>COUNTIFS($E$5:$E$493,E383,$S$5:$S$493,"&lt;"&amp;S383)+COUNTIFS($E$5:E383,E383,$S$5:S383,S383)</f>
        <v>15</v>
      </c>
      <c r="AC383" s="102">
        <f t="shared" si="134"/>
        <v>15</v>
      </c>
      <c r="AD383" s="102" t="str">
        <f t="shared" si="135"/>
        <v>Último tercio</v>
      </c>
      <c r="AE383" s="103">
        <f t="shared" si="136"/>
        <v>-2.6524114064581283</v>
      </c>
      <c r="AF383" s="102" t="str">
        <f t="shared" si="137"/>
        <v xml:space="preserve">  solo un clic te separa de estas ofertas  l'oréal paris </v>
      </c>
      <c r="AG383" s="102" t="str">
        <f t="shared" si="138"/>
        <v xml:space="preserve"> descuentos irresistibles en productos seleccionados   últimas horas  </v>
      </c>
      <c r="AH383" s="102" t="str">
        <f>IF(SUMPRODUCT(--(LEFT(IF(LEFT(LOWER(E383),1)="¡",MID(LOWER(E383),2,300),LOWER(E383)),LEN({"actualizaci","el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383" s="102" t="str">
        <f>IF(OR(SUMPRODUCT(--ISNUMBER(SEARCH({"descuento","oferta","ahorr","precio"," sale ","flash","deals"},AF383)))&gt;0,SUMPRODUCT(--ISNUMBER(SEARCH({"descuento","oferta","ahorr","precio"," sale ","flash","deals"},AG383)))&gt;0),"Sí","No")</f>
        <v>Sí</v>
      </c>
      <c r="AJ383" s="102" t="str">
        <f>IF(SUMPRODUCT(--ISNUMBER(SEARCH({" hoy ","horas","tiempo limitado","antes de que","se acab","se agot","finalic","última oportunidad","oportunidad única","relámpago","express","no esperes","no volver","no parpadees"},AF383)))&gt;0,"Sí","No")</f>
        <v>No</v>
      </c>
      <c r="AK383" s="102" t="str">
        <f>IF(SUMPRODUCT(--ISNUMBER(SEARCH({" hoy ","horas","tiempo limitado","antes de que","se acab","se agot","finalic","última oportunidad","oportunidad única","relámpago","express","no esperes","no volver","no parpadees"},AG383)))&gt;0,"Sí","No")</f>
        <v>Sí</v>
      </c>
      <c r="AL383" s="102" t="str">
        <f t="shared" si="139"/>
        <v>Descuento con tiempo límite solo en el preheader</v>
      </c>
      <c r="AM383" s="102" t="str">
        <f>IF(SUMPRODUCT(--ISNUMBER(SEARCH({"0","1","2","3","4","5","6","7","8","9","favorit","maquillaje","piel","cabello","productos","belleza","regalo"},E383)))&gt;0,"Sí","No")</f>
        <v>No</v>
      </c>
      <c r="AN383" s="102" t="str">
        <f>IF(SUMPRODUCT(--ISNUMBER(SEARCH({"lo que tenemos","estas ofertas","algo especial","ofertas únicas","que preparamos","no te quedes","echa un vistazo"},F383)))&gt;0,"Sí","No")</f>
        <v>No</v>
      </c>
      <c r="AO383" s="102">
        <f t="shared" si="140"/>
        <v>55</v>
      </c>
      <c r="AP383" s="102">
        <f t="shared" si="141"/>
        <v>10</v>
      </c>
      <c r="AQ383" s="102">
        <f>SUMPRODUCT(LEN(E383)-LEN(SUBSTITUTE(E383,{"!","¡","?","¿",":",",",".","%","·","-",";"},"")))</f>
        <v>2</v>
      </c>
      <c r="AR383" s="102" t="str">
        <f t="shared" si="142"/>
        <v>No</v>
      </c>
      <c r="AS383" s="102" t="str">
        <f t="shared" si="143"/>
        <v>No</v>
      </c>
      <c r="AT383" s="102" t="str">
        <f>IF(SUMPRODUCT(--ISNUMBER(FIND({"0","1","2","3","4","5","6","7","8","9"},E383)))&gt;0,"Con cifra concreta",IF(OR(ISNUMBER(FIND("?",E383)),ISNUMBER(FIND("¿",E383))),"Pregunta abierta",IF(SUMPRODUCT(--ISNUMBER(SEARCH({" hoy ","horas","tiempo limitado","antes de que","se acab","se agot","finalic","última oportunidad","oportunidad única","relámpago","express","no esperes","no volver","no parpadees"," ya ","últimas horas","últimas unidades"," ahora "},AF383)))&gt;0,"Solo urgencia, sin cifra",IF(SUMPRODUCT(--ISNUMBER(SEARCH({"recompensa","sorpresa","regalo","lealtad","detalle","gracias","pensamos en ti","para ti"},E383)))&gt;0,"Recompensa o sorpresa","Otro: beneficio o novedad"))))</f>
        <v>Otro: beneficio o novedad</v>
      </c>
    </row>
    <row r="384" spans="1:46" x14ac:dyDescent="0.2">
      <c r="A384" s="104" t="s">
        <v>1255</v>
      </c>
      <c r="B384" s="104" t="s">
        <v>278</v>
      </c>
      <c r="C384" s="104" t="s">
        <v>869</v>
      </c>
      <c r="D384" s="104" t="s">
        <v>821</v>
      </c>
      <c r="E384" s="104" t="s">
        <v>367</v>
      </c>
      <c r="F384" s="104" t="s">
        <v>458</v>
      </c>
      <c r="G384" s="105">
        <v>55409</v>
      </c>
      <c r="H384" s="105">
        <v>17804</v>
      </c>
      <c r="I384" s="105">
        <v>4334</v>
      </c>
      <c r="J384" s="106">
        <v>5.79</v>
      </c>
      <c r="K384" s="106">
        <v>3.9</v>
      </c>
      <c r="L384" s="107">
        <v>36331.120000000003</v>
      </c>
      <c r="M384" s="108">
        <f t="shared" si="120"/>
        <v>32.131964121352127</v>
      </c>
      <c r="N384" s="108">
        <f t="shared" si="121"/>
        <v>7.8218339980869533</v>
      </c>
      <c r="O384" s="108">
        <f t="shared" si="122"/>
        <v>24.34284430465064</v>
      </c>
      <c r="P384" s="108">
        <f t="shared" si="123"/>
        <v>655.68986987673486</v>
      </c>
      <c r="Q384" s="108">
        <f t="shared" si="124"/>
        <v>36.132518317209367</v>
      </c>
      <c r="R384" s="108">
        <f t="shared" si="125"/>
        <v>29.458247936272421</v>
      </c>
      <c r="S384" s="101">
        <f t="shared" si="126"/>
        <v>45917</v>
      </c>
      <c r="T384" s="102" t="str">
        <f t="shared" si="127"/>
        <v>Septiembre</v>
      </c>
      <c r="U384" s="102" t="str">
        <f t="shared" si="128"/>
        <v>Miércoles</v>
      </c>
      <c r="V384" s="102">
        <f t="shared" si="129"/>
        <v>8</v>
      </c>
      <c r="W384" s="102" t="str">
        <f t="shared" si="130"/>
        <v>Días después del pago</v>
      </c>
      <c r="X384" s="102">
        <f t="shared" si="131"/>
        <v>26</v>
      </c>
      <c r="Y384" s="102" t="str">
        <f t="shared" si="132"/>
        <v>Sí</v>
      </c>
      <c r="Z384" s="102" t="str">
        <f>CHOOSE(MATCH(B384,{"Customer Appreciation","Exclusive Offers","Flash Sale","Holiday Discounts","New Product Launch","Newsletter"},0),"Fidelizar","Vender","Vender","Vender","Lanzar","Educar")</f>
        <v>Lanzar</v>
      </c>
      <c r="AA384" s="102" t="str">
        <f t="shared" si="133"/>
        <v>Menos de 100 mil</v>
      </c>
      <c r="AB384" s="102">
        <f>COUNTIFS($E$5:$E$493,E384,$S$5:$S$493,"&lt;"&amp;S384)+COUNTIFS($E$5:E384,E384,$S$5:S384,S384)</f>
        <v>12</v>
      </c>
      <c r="AC384" s="102">
        <f t="shared" si="134"/>
        <v>25</v>
      </c>
      <c r="AD384" s="102" t="str">
        <f t="shared" si="135"/>
        <v>Medio</v>
      </c>
      <c r="AE384" s="103">
        <f t="shared" si="136"/>
        <v>-4.0005541958572408</v>
      </c>
      <c r="AF384" s="102" t="str">
        <f t="shared" si="137"/>
        <v xml:space="preserve">  el futuro de tu piel ha llegado  nuevo producto revolucionario </v>
      </c>
      <c r="AG384" s="102" t="str">
        <f t="shared" si="138"/>
        <v xml:space="preserve"> una fórmula revolucionaria para resultados visibles   compruébalo  </v>
      </c>
      <c r="AH384" s="102" t="str">
        <f>IF(SUMPRODUCT(--(LEFT(IF(LEFT(LOWER(E384),1)="¡",MID(LOWER(E384),2,300),LOWER(E384)),LEN({"actualizaci","el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384" s="102" t="str">
        <f>IF(OR(SUMPRODUCT(--ISNUMBER(SEARCH({"descuento","oferta","ahorr","precio"," sale ","flash","deals"},AF384)))&gt;0,SUMPRODUCT(--ISNUMBER(SEARCH({"descuento","oferta","ahorr","precio"," sale ","flash","deals"},AG384)))&gt;0),"Sí","No")</f>
        <v>No</v>
      </c>
      <c r="AJ384" s="102" t="str">
        <f>IF(SUMPRODUCT(--ISNUMBER(SEARCH({" hoy ","horas","tiempo limitado","antes de que","se acab","se agot","finalic","última oportunidad","oportunidad única","relámpago","express","no esperes","no volver","no parpadees"},AF384)))&gt;0,"Sí","No")</f>
        <v>No</v>
      </c>
      <c r="AK384" s="102" t="str">
        <f>IF(SUMPRODUCT(--ISNUMBER(SEARCH({" hoy ","horas","tiempo limitado","antes de que","se acab","se agot","finalic","última oportunidad","oportunidad única","relámpago","express","no esperes","no volver","no parpadees"},AG384)))&gt;0,"Sí","No")</f>
        <v>No</v>
      </c>
      <c r="AL384" s="102" t="str">
        <f t="shared" si="139"/>
        <v>Sin descuento</v>
      </c>
      <c r="AM384" s="102" t="str">
        <f>IF(SUMPRODUCT(--ISNUMBER(SEARCH({"0","1","2","3","4","5","6","7","8","9","favorit","maquillaje","piel","cabello","productos","belleza","regalo"},E384)))&gt;0,"Sí","No")</f>
        <v>Sí</v>
      </c>
      <c r="AN384" s="102" t="str">
        <f>IF(SUMPRODUCT(--ISNUMBER(SEARCH({"lo que tenemos","estas ofertas","algo especial","ofertas únicas","que preparamos","no te quedes","echa un vistazo"},F384)))&gt;0,"Sí","No")</f>
        <v>No</v>
      </c>
      <c r="AO384" s="102">
        <f t="shared" si="140"/>
        <v>63</v>
      </c>
      <c r="AP384" s="102">
        <f t="shared" si="141"/>
        <v>10</v>
      </c>
      <c r="AQ384" s="102">
        <f>SUMPRODUCT(LEN(E384)-LEN(SUBSTITUTE(E384,{"!","¡","?","¿",":",",",".","%","·","-",";"},"")))</f>
        <v>2</v>
      </c>
      <c r="AR384" s="102" t="str">
        <f t="shared" si="142"/>
        <v>No</v>
      </c>
      <c r="AS384" s="102" t="str">
        <f t="shared" si="143"/>
        <v>No</v>
      </c>
      <c r="AT384" s="102" t="str">
        <f>IF(SUMPRODUCT(--ISNUMBER(FIND({"0","1","2","3","4","5","6","7","8","9"},E384)))&gt;0,"Con cifra concreta",IF(OR(ISNUMBER(FIND("?",E384)),ISNUMBER(FIND("¿",E384))),"Pregunta abierta",IF(SUMPRODUCT(--ISNUMBER(SEARCH({" hoy ","horas","tiempo limitado","antes de que","se acab","se agot","finalic","última oportunidad","oportunidad única","relámpago","express","no esperes","no volver","no parpadees"," ya ","últimas horas","últimas unidades"," ahora "},AF384)))&gt;0,"Solo urgencia, sin cifra",IF(SUMPRODUCT(--ISNUMBER(SEARCH({"recompensa","sorpresa","regalo","lealtad","detalle","gracias","pensamos en ti","para ti"},E384)))&gt;0,"Recompensa o sorpresa","Otro: beneficio o novedad"))))</f>
        <v>Otro: beneficio o novedad</v>
      </c>
    </row>
    <row r="385" spans="1:46" x14ac:dyDescent="0.2">
      <c r="A385" s="96" t="s">
        <v>1256</v>
      </c>
      <c r="B385" s="96" t="s">
        <v>279</v>
      </c>
      <c r="C385" s="96" t="s">
        <v>928</v>
      </c>
      <c r="D385" s="96" t="s">
        <v>715</v>
      </c>
      <c r="E385" s="96" t="s">
        <v>369</v>
      </c>
      <c r="F385" s="96" t="s">
        <v>457</v>
      </c>
      <c r="G385" s="97">
        <v>492810</v>
      </c>
      <c r="H385" s="97">
        <v>203713</v>
      </c>
      <c r="I385" s="97">
        <v>43634</v>
      </c>
      <c r="J385" s="98">
        <v>9.68</v>
      </c>
      <c r="K385" s="98">
        <v>1.45</v>
      </c>
      <c r="L385" s="99">
        <v>20255.29</v>
      </c>
      <c r="M385" s="100">
        <f t="shared" si="120"/>
        <v>41.337026440210224</v>
      </c>
      <c r="N385" s="100">
        <f t="shared" si="121"/>
        <v>8.8541222783628584</v>
      </c>
      <c r="O385" s="100">
        <f t="shared" si="122"/>
        <v>21.419349771492247</v>
      </c>
      <c r="P385" s="100">
        <f t="shared" si="123"/>
        <v>41.101621314502545</v>
      </c>
      <c r="Q385" s="100">
        <f t="shared" si="124"/>
        <v>36.827379346292652</v>
      </c>
      <c r="R385" s="100">
        <f t="shared" si="125"/>
        <v>27.75136451093497</v>
      </c>
      <c r="S385" s="101">
        <f t="shared" si="126"/>
        <v>45883</v>
      </c>
      <c r="T385" s="102" t="str">
        <f t="shared" si="127"/>
        <v>Agosto</v>
      </c>
      <c r="U385" s="102" t="str">
        <f t="shared" si="128"/>
        <v>Jueves</v>
      </c>
      <c r="V385" s="102">
        <f t="shared" si="129"/>
        <v>11</v>
      </c>
      <c r="W385" s="102" t="str">
        <f t="shared" si="130"/>
        <v>Quincena</v>
      </c>
      <c r="X385" s="102">
        <f t="shared" si="131"/>
        <v>23</v>
      </c>
      <c r="Y385" s="102" t="str">
        <f t="shared" si="132"/>
        <v>Sí</v>
      </c>
      <c r="Z385" s="102" t="str">
        <f>CHOOSE(MATCH(B385,{"Customer Appreciation","Exclusive Offers","Flash Sale","Holiday Discounts","New Product Launch","Newsletter"},0),"Fidelizar","Vender","Vender","Vender","Lanzar","Educar")</f>
        <v>Educar</v>
      </c>
      <c r="AA385" s="102" t="str">
        <f t="shared" si="133"/>
        <v>Más de 400 mil</v>
      </c>
      <c r="AB385" s="102">
        <f>COUNTIFS($E$5:$E$493,E385,$S$5:$S$493,"&lt;"&amp;S385)+COUNTIFS($E$5:E385,E385,$S$5:S385,S385)</f>
        <v>6</v>
      </c>
      <c r="AC385" s="102">
        <f t="shared" si="134"/>
        <v>19</v>
      </c>
      <c r="AD385" s="102" t="str">
        <f t="shared" si="135"/>
        <v>Primer tercio</v>
      </c>
      <c r="AE385" s="103">
        <f t="shared" si="136"/>
        <v>4.5096470939175717</v>
      </c>
      <c r="AF385" s="102" t="str">
        <f t="shared" si="137"/>
        <v xml:space="preserve"> lo último en l'oréal  mantente informad@ de las novedades </v>
      </c>
      <c r="AG385" s="102" t="str">
        <f t="shared" si="138"/>
        <v xml:space="preserve"> descubre las novedades y tips de la semana   entra ya  </v>
      </c>
      <c r="AH385" s="102" t="str">
        <f>IF(SUMPRODUCT(--(LEFT(IF(LEFT(LOWER(E385),1)="¡",MID(LOWER(E385),2,300),LOWER(E385)),LEN({"actualizaci","el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385" s="102" t="str">
        <f>IF(OR(SUMPRODUCT(--ISNUMBER(SEARCH({"descuento","oferta","ahorr","precio"," sale ","flash","deals"},AF385)))&gt;0,SUMPRODUCT(--ISNUMBER(SEARCH({"descuento","oferta","ahorr","precio"," sale ","flash","deals"},AG385)))&gt;0),"Sí","No")</f>
        <v>No</v>
      </c>
      <c r="AJ385" s="102" t="str">
        <f>IF(SUMPRODUCT(--ISNUMBER(SEARCH({" hoy ","horas","tiempo limitado","antes de que","se acab","se agot","finalic","última oportunidad","oportunidad única","relámpago","express","no esperes","no volver","no parpadees"},AF385)))&gt;0,"Sí","No")</f>
        <v>No</v>
      </c>
      <c r="AK385" s="102" t="str">
        <f>IF(SUMPRODUCT(--ISNUMBER(SEARCH({" hoy ","horas","tiempo limitado","antes de que","se acab","se agot","finalic","última oportunidad","oportunidad única","relámpago","express","no esperes","no volver","no parpadees"},AG385)))&gt;0,"Sí","No")</f>
        <v>No</v>
      </c>
      <c r="AL385" s="102" t="str">
        <f t="shared" si="139"/>
        <v>Sin descuento</v>
      </c>
      <c r="AM385" s="102" t="str">
        <f>IF(SUMPRODUCT(--ISNUMBER(SEARCH({"0","1","2","3","4","5","6","7","8","9","favorit","maquillaje","piel","cabello","productos","belleza","regalo"},E385)))&gt;0,"Sí","No")</f>
        <v>No</v>
      </c>
      <c r="AN385" s="102" t="str">
        <f>IF(SUMPRODUCT(--ISNUMBER(SEARCH({"lo que tenemos","estas ofertas","algo especial","ofertas únicas","que preparamos","no te quedes","echa un vistazo"},F385)))&gt;0,"Sí","No")</f>
        <v>No</v>
      </c>
      <c r="AO385" s="102">
        <f t="shared" si="140"/>
        <v>57</v>
      </c>
      <c r="AP385" s="102">
        <f t="shared" si="141"/>
        <v>9</v>
      </c>
      <c r="AQ385" s="102">
        <f>SUMPRODUCT(LEN(E385)-LEN(SUBSTITUTE(E385,{"!","¡","?","¿",":",",",".","%","·","-",";"},"")))</f>
        <v>1</v>
      </c>
      <c r="AR385" s="102" t="str">
        <f t="shared" si="142"/>
        <v>Sí</v>
      </c>
      <c r="AS385" s="102" t="str">
        <f t="shared" si="143"/>
        <v>No</v>
      </c>
      <c r="AT385" s="102" t="str">
        <f>IF(SUMPRODUCT(--ISNUMBER(FIND({"0","1","2","3","4","5","6","7","8","9"},E385)))&gt;0,"Con cifra concreta",IF(OR(ISNUMBER(FIND("?",E385)),ISNUMBER(FIND("¿",E385))),"Pregunta abierta",IF(SUMPRODUCT(--ISNUMBER(SEARCH({" hoy ","horas","tiempo limitado","antes de que","se acab","se agot","finalic","última oportunidad","oportunidad única","relámpago","express","no esperes","no volver","no parpadees"," ya ","últimas horas","últimas unidades"," ahora "},AF385)))&gt;0,"Solo urgencia, sin cifra",IF(SUMPRODUCT(--ISNUMBER(SEARCH({"recompensa","sorpresa","regalo","lealtad","detalle","gracias","pensamos en ti","para ti"},E385)))&gt;0,"Recompensa o sorpresa","Otro: beneficio o novedad"))))</f>
        <v>Otro: beneficio o novedad</v>
      </c>
    </row>
    <row r="386" spans="1:46" x14ac:dyDescent="0.2">
      <c r="A386" s="104" t="s">
        <v>1257</v>
      </c>
      <c r="B386" s="104" t="s">
        <v>278</v>
      </c>
      <c r="C386" s="104" t="s">
        <v>944</v>
      </c>
      <c r="D386" s="104" t="s">
        <v>794</v>
      </c>
      <c r="E386" s="104" t="s">
        <v>368</v>
      </c>
      <c r="F386" s="104" t="s">
        <v>471</v>
      </c>
      <c r="G386" s="105">
        <v>450177</v>
      </c>
      <c r="H386" s="105">
        <v>111168</v>
      </c>
      <c r="I386" s="105">
        <v>44477</v>
      </c>
      <c r="J386" s="106">
        <v>5.66</v>
      </c>
      <c r="K386" s="106">
        <v>3.52</v>
      </c>
      <c r="L386" s="107">
        <v>27628.31</v>
      </c>
      <c r="M386" s="108">
        <f t="shared" si="120"/>
        <v>24.694286913813901</v>
      </c>
      <c r="N386" s="108">
        <f t="shared" si="121"/>
        <v>9.8798916870475395</v>
      </c>
      <c r="O386" s="108">
        <f t="shared" si="122"/>
        <v>40.00881548647093</v>
      </c>
      <c r="P386" s="108">
        <f t="shared" si="123"/>
        <v>61.372104749909482</v>
      </c>
      <c r="Q386" s="108">
        <f t="shared" si="124"/>
        <v>23.315840784070005</v>
      </c>
      <c r="R386" s="108">
        <f t="shared" si="125"/>
        <v>29.458247936272421</v>
      </c>
      <c r="S386" s="101">
        <f t="shared" si="126"/>
        <v>45943</v>
      </c>
      <c r="T386" s="102" t="str">
        <f t="shared" si="127"/>
        <v>Octubre</v>
      </c>
      <c r="U386" s="102" t="str">
        <f t="shared" si="128"/>
        <v>Lunes</v>
      </c>
      <c r="V386" s="102">
        <f t="shared" si="129"/>
        <v>12</v>
      </c>
      <c r="W386" s="102" t="str">
        <f t="shared" si="130"/>
        <v>Resto del mes</v>
      </c>
      <c r="X386" s="102">
        <f t="shared" si="131"/>
        <v>23</v>
      </c>
      <c r="Y386" s="102" t="str">
        <f t="shared" si="132"/>
        <v>Sí</v>
      </c>
      <c r="Z386" s="102" t="str">
        <f>CHOOSE(MATCH(B386,{"Customer Appreciation","Exclusive Offers","Flash Sale","Holiday Discounts","New Product Launch","Newsletter"},0),"Fidelizar","Vender","Vender","Vender","Lanzar","Educar")</f>
        <v>Lanzar</v>
      </c>
      <c r="AA386" s="102" t="str">
        <f t="shared" si="133"/>
        <v>Más de 400 mil</v>
      </c>
      <c r="AB386" s="102">
        <f>COUNTIFS($E$5:$E$493,E386,$S$5:$S$493,"&lt;"&amp;S386)+COUNTIFS($E$5:E386,E386,$S$5:S386,S386)</f>
        <v>25</v>
      </c>
      <c r="AC386" s="102">
        <f t="shared" si="134"/>
        <v>33</v>
      </c>
      <c r="AD386" s="102" t="str">
        <f t="shared" si="135"/>
        <v>Último tercio</v>
      </c>
      <c r="AE386" s="103">
        <f t="shared" si="136"/>
        <v>1.3784461297438959</v>
      </c>
      <c r="AF386" s="102" t="str">
        <f t="shared" si="137"/>
        <v xml:space="preserve"> presentamos  nuestro último lanzamiento de belleza  imperdible  </v>
      </c>
      <c r="AG386" s="102" t="str">
        <f t="shared" si="138"/>
        <v xml:space="preserve"> una innovación que cambiará tu rutina   sé de los primeros  </v>
      </c>
      <c r="AH386" s="102" t="str">
        <f>IF(SUMPRODUCT(--(LEFT(IF(LEFT(LOWER(E386),1)="¡",MID(LOWER(E386),2,300),LOWER(E386)),LEN({"actualizaci","el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Sí</v>
      </c>
      <c r="AI386" s="102" t="str">
        <f>IF(OR(SUMPRODUCT(--ISNUMBER(SEARCH({"descuento","oferta","ahorr","precio"," sale ","flash","deals"},AF386)))&gt;0,SUMPRODUCT(--ISNUMBER(SEARCH({"descuento","oferta","ahorr","precio"," sale ","flash","deals"},AG386)))&gt;0),"Sí","No")</f>
        <v>No</v>
      </c>
      <c r="AJ386" s="102" t="str">
        <f>IF(SUMPRODUCT(--ISNUMBER(SEARCH({" hoy ","horas","tiempo limitado","antes de que","se acab","se agot","finalic","última oportunidad","oportunidad única","relámpago","express","no esperes","no volver","no parpadees"},AF386)))&gt;0,"Sí","No")</f>
        <v>No</v>
      </c>
      <c r="AK386" s="102" t="str">
        <f>IF(SUMPRODUCT(--ISNUMBER(SEARCH({" hoy ","horas","tiempo limitado","antes de que","se acab","se agot","finalic","última oportunidad","oportunidad única","relámpago","express","no esperes","no volver","no parpadees"},AG386)))&gt;0,"Sí","No")</f>
        <v>No</v>
      </c>
      <c r="AL386" s="102" t="str">
        <f t="shared" si="139"/>
        <v>Sin descuento</v>
      </c>
      <c r="AM386" s="102" t="str">
        <f>IF(SUMPRODUCT(--ISNUMBER(SEARCH({"0","1","2","3","4","5","6","7","8","9","favorit","maquillaje","piel","cabello","productos","belleza","regalo"},E386)))&gt;0,"Sí","No")</f>
        <v>Sí</v>
      </c>
      <c r="AN386" s="102" t="str">
        <f>IF(SUMPRODUCT(--ISNUMBER(SEARCH({"lo que tenemos","estas ofertas","algo especial","ofertas únicas","que preparamos","no te quedes","echa un vistazo"},F386)))&gt;0,"Sí","No")</f>
        <v>No</v>
      </c>
      <c r="AO386" s="102">
        <f t="shared" si="140"/>
        <v>63</v>
      </c>
      <c r="AP386" s="102">
        <f t="shared" si="141"/>
        <v>7</v>
      </c>
      <c r="AQ386" s="102">
        <f>SUMPRODUCT(LEN(E386)-LEN(SUBSTITUTE(E386,{"!","¡","?","¿",":",",",".","%","·","-",";"},"")))</f>
        <v>3</v>
      </c>
      <c r="AR386" s="102" t="str">
        <f t="shared" si="142"/>
        <v>No</v>
      </c>
      <c r="AS386" s="102" t="str">
        <f t="shared" si="143"/>
        <v>No</v>
      </c>
      <c r="AT386" s="102" t="str">
        <f>IF(SUMPRODUCT(--ISNUMBER(FIND({"0","1","2","3","4","5","6","7","8","9"},E386)))&gt;0,"Con cifra concreta",IF(OR(ISNUMBER(FIND("?",E386)),ISNUMBER(FIND("¿",E386))),"Pregunta abierta",IF(SUMPRODUCT(--ISNUMBER(SEARCH({" hoy ","horas","tiempo limitado","antes de que","se acab","se agot","finalic","última oportunidad","oportunidad única","relámpago","express","no esperes","no volver","no parpadees"," ya ","últimas horas","últimas unidades"," ahora "},AF386)))&gt;0,"Solo urgencia, sin cifra",IF(SUMPRODUCT(--ISNUMBER(SEARCH({"recompensa","sorpresa","regalo","lealtad","detalle","gracias","pensamos en ti","para ti"},E386)))&gt;0,"Recompensa o sorpresa","Otro: beneficio o novedad"))))</f>
        <v>Otro: beneficio o novedad</v>
      </c>
    </row>
    <row r="387" spans="1:46" x14ac:dyDescent="0.2">
      <c r="A387" s="96" t="s">
        <v>1258</v>
      </c>
      <c r="B387" s="96" t="s">
        <v>274</v>
      </c>
      <c r="C387" s="96" t="s">
        <v>889</v>
      </c>
      <c r="D387" s="96" t="s">
        <v>761</v>
      </c>
      <c r="E387" s="96" t="s">
        <v>453</v>
      </c>
      <c r="F387" s="96" t="s">
        <v>454</v>
      </c>
      <c r="G387" s="97">
        <v>257298</v>
      </c>
      <c r="H387" s="97">
        <v>84033</v>
      </c>
      <c r="I387" s="97">
        <v>28198</v>
      </c>
      <c r="J387" s="98">
        <v>3</v>
      </c>
      <c r="K387" s="98">
        <v>0.97</v>
      </c>
      <c r="L387" s="99">
        <v>63491.73</v>
      </c>
      <c r="M387" s="100">
        <f t="shared" si="120"/>
        <v>32.659795256861699</v>
      </c>
      <c r="N387" s="100">
        <f t="shared" si="121"/>
        <v>10.959276791891115</v>
      </c>
      <c r="O387" s="100">
        <f t="shared" si="122"/>
        <v>33.555864957814194</v>
      </c>
      <c r="P387" s="100">
        <f t="shared" si="123"/>
        <v>246.76340274700931</v>
      </c>
      <c r="Q387" s="100">
        <f t="shared" si="124"/>
        <v>39.210446566150395</v>
      </c>
      <c r="R387" s="100">
        <f t="shared" si="125"/>
        <v>31.113650744455075</v>
      </c>
      <c r="S387" s="101">
        <f t="shared" si="126"/>
        <v>45908</v>
      </c>
      <c r="T387" s="102" t="str">
        <f t="shared" si="127"/>
        <v>Septiembre</v>
      </c>
      <c r="U387" s="102" t="str">
        <f t="shared" si="128"/>
        <v>Lunes</v>
      </c>
      <c r="V387" s="102">
        <f t="shared" si="129"/>
        <v>10</v>
      </c>
      <c r="W387" s="102" t="str">
        <f t="shared" si="130"/>
        <v>Resto del mes</v>
      </c>
      <c r="X387" s="102">
        <f t="shared" si="131"/>
        <v>28</v>
      </c>
      <c r="Y387" s="102" t="str">
        <f t="shared" si="132"/>
        <v>Sí</v>
      </c>
      <c r="Z387" s="102" t="str">
        <f>CHOOSE(MATCH(B387,{"Customer Appreciation","Exclusive Offers","Flash Sale","Holiday Discounts","New Product Launch","Newsletter"},0),"Fidelizar","Vender","Vender","Vender","Lanzar","Educar")</f>
        <v>Fidelizar</v>
      </c>
      <c r="AA387" s="102" t="str">
        <f t="shared" si="133"/>
        <v>200 a 300 mil</v>
      </c>
      <c r="AB387" s="102">
        <f>COUNTIFS($E$5:$E$493,E387,$S$5:$S$493,"&lt;"&amp;S387)+COUNTIFS($E$5:E387,E387,$S$5:S387,S387)</f>
        <v>13</v>
      </c>
      <c r="AC387" s="102">
        <f t="shared" si="134"/>
        <v>20</v>
      </c>
      <c r="AD387" s="102" t="str">
        <f t="shared" si="135"/>
        <v>Medio</v>
      </c>
      <c r="AE387" s="103">
        <f t="shared" si="136"/>
        <v>-6.5506513092886962</v>
      </c>
      <c r="AF387" s="102" t="str">
        <f t="shared" si="137"/>
        <v xml:space="preserve">  pensamos en ti  descubre estas sorpresas exclusivas </v>
      </c>
      <c r="AG387" s="102" t="str">
        <f t="shared" si="138"/>
        <v xml:space="preserve"> ofertas exclusivas por tu lealtad a l'oréal   aprovecha  </v>
      </c>
      <c r="AH387" s="102" t="str">
        <f>IF(SUMPRODUCT(--(LEFT(IF(LEFT(LOWER(E387),1)="¡",MID(LOWER(E387),2,300),LOWER(E387)),LEN({"actualizaci","el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387" s="102" t="str">
        <f>IF(OR(SUMPRODUCT(--ISNUMBER(SEARCH({"descuento","oferta","ahorr","precio"," sale ","flash","deals"},AF387)))&gt;0,SUMPRODUCT(--ISNUMBER(SEARCH({"descuento","oferta","ahorr","precio"," sale ","flash","deals"},AG387)))&gt;0),"Sí","No")</f>
        <v>Sí</v>
      </c>
      <c r="AJ387" s="102" t="str">
        <f>IF(SUMPRODUCT(--ISNUMBER(SEARCH({" hoy ","horas","tiempo limitado","antes de que","se acab","se agot","finalic","última oportunidad","oportunidad única","relámpago","express","no esperes","no volver","no parpadees"},AF387)))&gt;0,"Sí","No")</f>
        <v>No</v>
      </c>
      <c r="AK387" s="102" t="str">
        <f>IF(SUMPRODUCT(--ISNUMBER(SEARCH({" hoy ","horas","tiempo limitado","antes de que","se acab","se agot","finalic","última oportunidad","oportunidad única","relámpago","express","no esperes","no volver","no parpadees"},AG387)))&gt;0,"Sí","No")</f>
        <v>No</v>
      </c>
      <c r="AL387" s="102" t="str">
        <f t="shared" si="139"/>
        <v>Descuento sin tiempo límite</v>
      </c>
      <c r="AM387" s="102" t="str">
        <f>IF(SUMPRODUCT(--ISNUMBER(SEARCH({"0","1","2","3","4","5","6","7","8","9","favorit","maquillaje","piel","cabello","productos","belleza","regalo"},E387)))&gt;0,"Sí","No")</f>
        <v>No</v>
      </c>
      <c r="AN387" s="102" t="str">
        <f>IF(SUMPRODUCT(--ISNUMBER(SEARCH({"lo que tenemos","estas ofertas","algo especial","ofertas únicas","que preparamos","no te quedes","echa un vistazo"},F387)))&gt;0,"Sí","No")</f>
        <v>No</v>
      </c>
      <c r="AO387" s="102">
        <f t="shared" si="140"/>
        <v>52</v>
      </c>
      <c r="AP387" s="102">
        <f t="shared" si="141"/>
        <v>7</v>
      </c>
      <c r="AQ387" s="102">
        <f>SUMPRODUCT(LEN(E387)-LEN(SUBSTITUTE(E387,{"!","¡","?","¿",":",",",".","%","·","-",";"},"")))</f>
        <v>2</v>
      </c>
      <c r="AR387" s="102" t="str">
        <f t="shared" si="142"/>
        <v>Sí</v>
      </c>
      <c r="AS387" s="102" t="str">
        <f t="shared" si="143"/>
        <v>No</v>
      </c>
      <c r="AT387" s="102" t="str">
        <f>IF(SUMPRODUCT(--ISNUMBER(FIND({"0","1","2","3","4","5","6","7","8","9"},E387)))&gt;0,"Con cifra concreta",IF(OR(ISNUMBER(FIND("?",E387)),ISNUMBER(FIND("¿",E387))),"Pregunta abierta",IF(SUMPRODUCT(--ISNUMBER(SEARCH({" hoy ","horas","tiempo limitado","antes de que","se acab","se agot","finalic","última oportunidad","oportunidad única","relámpago","express","no esperes","no volver","no parpadees"," ya ","últimas horas","últimas unidades"," ahora "},AF387)))&gt;0,"Solo urgencia, sin cifra",IF(SUMPRODUCT(--ISNUMBER(SEARCH({"recompensa","sorpresa","regalo","lealtad","detalle","gracias","pensamos en ti","para ti"},E387)))&gt;0,"Recompensa o sorpresa","Otro: beneficio o novedad"))))</f>
        <v>Recompensa o sorpresa</v>
      </c>
    </row>
    <row r="388" spans="1:46" x14ac:dyDescent="0.2">
      <c r="A388" s="104" t="s">
        <v>1259</v>
      </c>
      <c r="B388" s="104" t="s">
        <v>276</v>
      </c>
      <c r="C388" s="104" t="s">
        <v>891</v>
      </c>
      <c r="D388" s="104" t="s">
        <v>786</v>
      </c>
      <c r="E388" s="104" t="s">
        <v>450</v>
      </c>
      <c r="F388" s="104" t="s">
        <v>451</v>
      </c>
      <c r="G388" s="105">
        <v>300538</v>
      </c>
      <c r="H388" s="105">
        <v>147814</v>
      </c>
      <c r="I388" s="105">
        <v>53760</v>
      </c>
      <c r="J388" s="106">
        <v>1.06</v>
      </c>
      <c r="K388" s="106">
        <v>3.55</v>
      </c>
      <c r="L388" s="107">
        <v>45473.04</v>
      </c>
      <c r="M388" s="108">
        <f t="shared" si="120"/>
        <v>49.183131584025979</v>
      </c>
      <c r="N388" s="108">
        <f t="shared" si="121"/>
        <v>17.887920995015605</v>
      </c>
      <c r="O388" s="108">
        <f t="shared" si="122"/>
        <v>36.370032608548577</v>
      </c>
      <c r="P388" s="108">
        <f t="shared" si="123"/>
        <v>151.30545887708044</v>
      </c>
      <c r="Q388" s="108">
        <f t="shared" si="124"/>
        <v>41.593592985418489</v>
      </c>
      <c r="R388" s="108">
        <f t="shared" si="125"/>
        <v>29.440902453236173</v>
      </c>
      <c r="S388" s="101">
        <f t="shared" si="126"/>
        <v>45888</v>
      </c>
      <c r="T388" s="102" t="str">
        <f t="shared" si="127"/>
        <v>Agosto</v>
      </c>
      <c r="U388" s="102" t="str">
        <f t="shared" si="128"/>
        <v>Martes</v>
      </c>
      <c r="V388" s="102">
        <f t="shared" si="129"/>
        <v>15</v>
      </c>
      <c r="W388" s="102" t="str">
        <f t="shared" si="130"/>
        <v>Días después del pago</v>
      </c>
      <c r="X388" s="102">
        <f t="shared" si="131"/>
        <v>29</v>
      </c>
      <c r="Y388" s="102" t="str">
        <f t="shared" si="132"/>
        <v>Sí</v>
      </c>
      <c r="Z388" s="102" t="str">
        <f>CHOOSE(MATCH(B388,{"Customer Appreciation","Exclusive Offers","Flash Sale","Holiday Discounts","New Product Launch","Newsletter"},0),"Fidelizar","Vender","Vender","Vender","Lanzar","Educar")</f>
        <v>Vender</v>
      </c>
      <c r="AA388" s="102" t="str">
        <f t="shared" si="133"/>
        <v>300 a 400 mil</v>
      </c>
      <c r="AB388" s="102">
        <f>COUNTIFS($E$5:$E$493,E388,$S$5:$S$493,"&lt;"&amp;S388)+COUNTIFS($E$5:E388,E388,$S$5:S388,S388)</f>
        <v>5</v>
      </c>
      <c r="AC388" s="102">
        <f t="shared" si="134"/>
        <v>21</v>
      </c>
      <c r="AD388" s="102" t="str">
        <f t="shared" si="135"/>
        <v>Primer tercio</v>
      </c>
      <c r="AE388" s="103">
        <f t="shared" si="136"/>
        <v>7.5895385986074899</v>
      </c>
      <c r="AF388" s="102" t="str">
        <f t="shared" si="137"/>
        <v xml:space="preserve">  ahorra ya  flash sale  hasta 50% en tus favoritos </v>
      </c>
      <c r="AG388" s="102" t="str">
        <f t="shared" si="138"/>
        <v xml:space="preserve"> edición limitada  maquillaje  cuidado de piel y más   corre  </v>
      </c>
      <c r="AH388" s="102" t="str">
        <f>IF(SUMPRODUCT(--(LEFT(IF(LEFT(LOWER(E388),1)="¡",MID(LOWER(E388),2,300),LOWER(E388)),LEN({"actualizaci","el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388" s="102" t="str">
        <f>IF(OR(SUMPRODUCT(--ISNUMBER(SEARCH({"descuento","oferta","ahorr","precio"," sale ","flash","deals"},AF388)))&gt;0,SUMPRODUCT(--ISNUMBER(SEARCH({"descuento","oferta","ahorr","precio"," sale ","flash","deals"},AG388)))&gt;0),"Sí","No")</f>
        <v>Sí</v>
      </c>
      <c r="AJ388" s="102" t="str">
        <f>IF(SUMPRODUCT(--ISNUMBER(SEARCH({" hoy ","horas","tiempo limitado","antes de que","se acab","se agot","finalic","última oportunidad","oportunidad única","relámpago","express","no esperes","no volver","no parpadees"},AF388)))&gt;0,"Sí","No")</f>
        <v>No</v>
      </c>
      <c r="AK388" s="102" t="str">
        <f>IF(SUMPRODUCT(--ISNUMBER(SEARCH({" hoy ","horas","tiempo limitado","antes de que","se acab","se agot","finalic","última oportunidad","oportunidad única","relámpago","express","no esperes","no volver","no parpadees"},AG388)))&gt;0,"Sí","No")</f>
        <v>No</v>
      </c>
      <c r="AL388" s="102" t="str">
        <f t="shared" si="139"/>
        <v>Descuento sin tiempo límite</v>
      </c>
      <c r="AM388" s="102" t="str">
        <f>IF(SUMPRODUCT(--ISNUMBER(SEARCH({"0","1","2","3","4","5","6","7","8","9","favorit","maquillaje","piel","cabello","productos","belleza","regalo"},E388)))&gt;0,"Sí","No")</f>
        <v>Sí</v>
      </c>
      <c r="AN388" s="102" t="str">
        <f>IF(SUMPRODUCT(--ISNUMBER(SEARCH({"lo que tenemos","estas ofertas","algo especial","ofertas únicas","que preparamos","no te quedes","echa un vistazo"},F388)))&gt;0,"Sí","No")</f>
        <v>No</v>
      </c>
      <c r="AO388" s="102">
        <f t="shared" si="140"/>
        <v>50</v>
      </c>
      <c r="AP388" s="102">
        <f t="shared" si="141"/>
        <v>9</v>
      </c>
      <c r="AQ388" s="102">
        <f>SUMPRODUCT(LEN(E388)-LEN(SUBSTITUTE(E388,{"!","¡","?","¿",":",",",".","%","·","-",";"},"")))</f>
        <v>4</v>
      </c>
      <c r="AR388" s="102" t="str">
        <f t="shared" si="142"/>
        <v>No</v>
      </c>
      <c r="AS388" s="102" t="str">
        <f t="shared" si="143"/>
        <v>No</v>
      </c>
      <c r="AT388" s="102" t="str">
        <f>IF(SUMPRODUCT(--ISNUMBER(FIND({"0","1","2","3","4","5","6","7","8","9"},E388)))&gt;0,"Con cifra concreta",IF(OR(ISNUMBER(FIND("?",E388)),ISNUMBER(FIND("¿",E388))),"Pregunta abierta",IF(SUMPRODUCT(--ISNUMBER(SEARCH({" hoy ","horas","tiempo limitado","antes de que","se acab","se agot","finalic","última oportunidad","oportunidad única","relámpago","express","no esperes","no volver","no parpadees"," ya ","últimas horas","últimas unidades"," ahora "},AF388)))&gt;0,"Solo urgencia, sin cifra",IF(SUMPRODUCT(--ISNUMBER(SEARCH({"recompensa","sorpresa","regalo","lealtad","detalle","gracias","pensamos en ti","para ti"},E388)))&gt;0,"Recompensa o sorpresa","Otro: beneficio o novedad"))))</f>
        <v>Con cifra concreta</v>
      </c>
    </row>
    <row r="389" spans="1:46" x14ac:dyDescent="0.2">
      <c r="A389" s="96" t="s">
        <v>1260</v>
      </c>
      <c r="B389" s="96" t="s">
        <v>275</v>
      </c>
      <c r="C389" s="96" t="s">
        <v>915</v>
      </c>
      <c r="D389" s="96" t="s">
        <v>769</v>
      </c>
      <c r="E389" s="96" t="s">
        <v>481</v>
      </c>
      <c r="F389" s="96" t="s">
        <v>482</v>
      </c>
      <c r="G389" s="97">
        <v>318991</v>
      </c>
      <c r="H389" s="97">
        <v>66579</v>
      </c>
      <c r="I389" s="97">
        <v>24949</v>
      </c>
      <c r="J389" s="98">
        <v>5.99</v>
      </c>
      <c r="K389" s="98">
        <v>2.4700000000000002</v>
      </c>
      <c r="L389" s="99">
        <v>63891.24</v>
      </c>
      <c r="M389" s="100">
        <f t="shared" ref="M389:M452" si="144">IFERROR(H389/G389*100,"")</f>
        <v>20.871748732722867</v>
      </c>
      <c r="N389" s="100">
        <f t="shared" ref="N389:N452" si="145">IFERROR(I389/G389*100,"")</f>
        <v>7.821223796282653</v>
      </c>
      <c r="O389" s="100">
        <f t="shared" ref="O389:O452" si="146">IFERROR(I389/H389*100,"")</f>
        <v>37.472776701362292</v>
      </c>
      <c r="P389" s="100">
        <f t="shared" ref="P389:P452" si="147">IFERROR(L389/G389*1000,"")</f>
        <v>200.29166967093116</v>
      </c>
      <c r="Q389" s="100">
        <f t="shared" ref="Q389:Q452" si="148">AVERAGEIF($E$5:$E$493,$E389,$M$5:$M$493)</f>
        <v>18.428686186240089</v>
      </c>
      <c r="R389" s="100">
        <f t="shared" ref="R389:R452" si="149">AVERAGEIF($B$5:$B$493,$B389,$M$5:$M$493)</f>
        <v>27.021447627328243</v>
      </c>
      <c r="S389" s="101">
        <f t="shared" ref="S389:S452" si="150">DATEVALUE(C389)</f>
        <v>45954</v>
      </c>
      <c r="T389" s="102" t="str">
        <f t="shared" ref="T389:T452" si="151">CHOOSE(MONTH(S389)-7,"Agosto","Septiembre","Octubre")</f>
        <v>Octubre</v>
      </c>
      <c r="U389" s="102" t="str">
        <f t="shared" ref="U389:U452" si="152">CHOOSE(WEEKDAY(S389,2),"Lunes","Martes","Miércoles","Jueves","Viernes","Sábado","Domingo")</f>
        <v>Viernes</v>
      </c>
      <c r="V389" s="102">
        <f t="shared" ref="V389:V452" si="153">VALUE(LEFT(D389,2))</f>
        <v>13</v>
      </c>
      <c r="W389" s="102" t="str">
        <f t="shared" ref="W389:W452" si="154">IF(OR(AND(DAY(S389)&gt;=14,DAY(S389)&lt;=16),DAY(S389)&gt;=DAY(EOMONTH(S389,0))-1,DAY(S389)=1),"Quincena",IF(OR(AND(DAY(S389)&gt;=2,DAY(S389)&lt;=5),AND(DAY(S389)&gt;=17,DAY(S389)&lt;=20)),"Días después del pago","Resto del mes"))</f>
        <v>Resto del mes</v>
      </c>
      <c r="X389" s="102">
        <f t="shared" ref="X389:X452" si="155">COUNTIF($S$5:$S$493,S389)</f>
        <v>29</v>
      </c>
      <c r="Y389" s="102" t="str">
        <f t="shared" ref="Y389:Y452" si="156">IF(X389&gt;=20,"Sí","No")</f>
        <v>Sí</v>
      </c>
      <c r="Z389" s="102" t="str">
        <f>CHOOSE(MATCH(B389,{"Customer Appreciation","Exclusive Offers","Flash Sale","Holiday Discounts","New Product Launch","Newsletter"},0),"Fidelizar","Vender","Vender","Vender","Lanzar","Educar")</f>
        <v>Vender</v>
      </c>
      <c r="AA389" s="102" t="str">
        <f t="shared" ref="AA389:AA452" si="157">IF(G389&lt;100000,"Menos de 100 mil",IF(G389&lt;200000,"100 a 200 mil",IF(G389&lt;300000,"200 a 300 mil",IF(G389&lt;400000,"300 a 400 mil","Más de 400 mil"))))</f>
        <v>300 a 400 mil</v>
      </c>
      <c r="AB389" s="102">
        <f>COUNTIFS($E$5:$E$493,E389,$S$5:$S$493,"&lt;"&amp;S389)+COUNTIFS($E$5:E389,E389,$S$5:S389,S389)</f>
        <v>9</v>
      </c>
      <c r="AC389" s="102">
        <f t="shared" ref="AC389:AC452" si="158">COUNTIF($E$5:$E$493,E389)</f>
        <v>11</v>
      </c>
      <c r="AD389" s="102" t="str">
        <f t="shared" ref="AD389:AD452" si="159">IF(AC389&lt;8,"",IF(AB389&lt;=AC389/3,"Primer tercio",IF(AB389&gt;AC389*2/3,"Último tercio","Medio")))</f>
        <v>Último tercio</v>
      </c>
      <c r="AE389" s="103">
        <f t="shared" ref="AE389:AE452" si="160">M389-Q389</f>
        <v>2.4430625464827784</v>
      </c>
      <c r="AF389" s="102" t="str">
        <f t="shared" ref="AF389:AF452" si="161">" "&amp;LOWER(SUBSTITUTE(SUBSTITUTE(SUBSTITUTE(SUBSTITUTE(SUBSTITUTE(SUBSTITUTE(SUBSTITUTE(E389,"¡"," "),"!"," "),"¿"," "),"?"," "),":"," "),","," "),"."," "))&amp;" "</f>
        <v xml:space="preserve">  oportunidad única  solo por hoy  tus favoritos a un clic </v>
      </c>
      <c r="AG389" s="102" t="str">
        <f t="shared" ref="AG389:AG452" si="162">" "&amp;LOWER(SUBSTITUTE(SUBSTITUTE(SUBSTITUTE(SUBSTITUTE(SUBSTITUTE(SUBSTITUTE(SUBSTITUTE(F389,"¡"," "),"!"," "),"¿"," "),"?"," "),":"," "),","," "),"."," "))&amp;" "</f>
        <v xml:space="preserve"> tus productos favoritos con un precio que no volverás a ver   aprovecha  </v>
      </c>
      <c r="AH389" s="102" t="str">
        <f>IF(SUMPRODUCT(--(LEFT(IF(LEFT(LOWER(E389),1)="¡",MID(LOWER(E389),2,300),LOWER(E389)),LEN({"actualizaci","el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Sí</v>
      </c>
      <c r="AI389" s="102" t="str">
        <f>IF(OR(SUMPRODUCT(--ISNUMBER(SEARCH({"descuento","oferta","ahorr","precio"," sale ","flash","deals"},AF389)))&gt;0,SUMPRODUCT(--ISNUMBER(SEARCH({"descuento","oferta","ahorr","precio"," sale ","flash","deals"},AG389)))&gt;0),"Sí","No")</f>
        <v>Sí</v>
      </c>
      <c r="AJ389" s="102" t="str">
        <f>IF(SUMPRODUCT(--ISNUMBER(SEARCH({" hoy ","horas","tiempo limitado","antes de que","se acab","se agot","finalic","última oportunidad","oportunidad única","relámpago","express","no esperes","no volver","no parpadees"},AF389)))&gt;0,"Sí","No")</f>
        <v>Sí</v>
      </c>
      <c r="AK389" s="102" t="str">
        <f>IF(SUMPRODUCT(--ISNUMBER(SEARCH({" hoy ","horas","tiempo limitado","antes de que","se acab","se agot","finalic","última oportunidad","oportunidad única","relámpago","express","no esperes","no volver","no parpadees"},AG389)))&gt;0,"Sí","No")</f>
        <v>Sí</v>
      </c>
      <c r="AL389" s="102" t="str">
        <f t="shared" ref="AL389:AL452" si="163">IF(AI389="No","Sin descuento",IF(AJ389="Sí","Descuento con tiempo límite en el asunto",IF(AK389="Sí","Descuento con tiempo límite solo en el preheader","Descuento sin tiempo límite")))</f>
        <v>Descuento con tiempo límite en el asunto</v>
      </c>
      <c r="AM389" s="102" t="str">
        <f>IF(SUMPRODUCT(--ISNUMBER(SEARCH({"0","1","2","3","4","5","6","7","8","9","favorit","maquillaje","piel","cabello","productos","belleza","regalo"},E389)))&gt;0,"Sí","No")</f>
        <v>Sí</v>
      </c>
      <c r="AN389" s="102" t="str">
        <f>IF(SUMPRODUCT(--ISNUMBER(SEARCH({"lo que tenemos","estas ofertas","algo especial","ofertas únicas","que preparamos","no te quedes","echa un vistazo"},F389)))&gt;0,"Sí","No")</f>
        <v>No</v>
      </c>
      <c r="AO389" s="102">
        <f t="shared" ref="AO389:AO452" si="164">LEN(E389)-(LEN(E389)-LEN(SUBSTITUTE(E389,"🔥","")))/LEN("🔥")*(LEN("🔥")-1)</f>
        <v>57</v>
      </c>
      <c r="AP389" s="102">
        <f t="shared" ref="AP389:AP452" si="165">LEN(TRIM(E389))-LEN(SUBSTITUTE(TRIM(E389)," ",""))+1</f>
        <v>10</v>
      </c>
      <c r="AQ389" s="102">
        <f>SUMPRODUCT(LEN(E389)-LEN(SUBSTITUTE(E389,{"!","¡","?","¿",":",",",".","%","·","-",";"},"")))</f>
        <v>3</v>
      </c>
      <c r="AR389" s="102" t="str">
        <f t="shared" ref="AR389:AR452" si="166">IF(AND(AO389&lt;=60,AP389&lt;=9,AQ389&lt;=3,(LEN(E389)-LEN(SUBSTITUTE(E389,"🔥","")))/LEN("🔥")&lt;=1),"Sí","No")</f>
        <v>No</v>
      </c>
      <c r="AS389" s="102" t="str">
        <f t="shared" ref="AS389:AS452" si="167">IF(ISNUMBER(SEARCH("hot sale",E389)),"Sí","No")</f>
        <v>No</v>
      </c>
      <c r="AT389" s="102" t="str">
        <f>IF(SUMPRODUCT(--ISNUMBER(FIND({"0","1","2","3","4","5","6","7","8","9"},E389)))&gt;0,"Con cifra concreta",IF(OR(ISNUMBER(FIND("?",E389)),ISNUMBER(FIND("¿",E389))),"Pregunta abierta",IF(SUMPRODUCT(--ISNUMBER(SEARCH({" hoy ","horas","tiempo limitado","antes de que","se acab","se agot","finalic","última oportunidad","oportunidad única","relámpago","express","no esperes","no volver","no parpadees"," ya ","últimas horas","últimas unidades"," ahora "},AF389)))&gt;0,"Solo urgencia, sin cifra",IF(SUMPRODUCT(--ISNUMBER(SEARCH({"recompensa","sorpresa","regalo","lealtad","detalle","gracias","pensamos en ti","para ti"},E389)))&gt;0,"Recompensa o sorpresa","Otro: beneficio o novedad"))))</f>
        <v>Solo urgencia, sin cifra</v>
      </c>
    </row>
    <row r="390" spans="1:46" x14ac:dyDescent="0.2">
      <c r="A390" s="104" t="s">
        <v>1261</v>
      </c>
      <c r="B390" s="104" t="s">
        <v>275</v>
      </c>
      <c r="C390" s="104" t="s">
        <v>923</v>
      </c>
      <c r="D390" s="104" t="s">
        <v>729</v>
      </c>
      <c r="E390" s="104" t="s">
        <v>478</v>
      </c>
      <c r="F390" s="104" t="s">
        <v>479</v>
      </c>
      <c r="G390" s="105">
        <v>119924</v>
      </c>
      <c r="H390" s="105">
        <v>40003</v>
      </c>
      <c r="I390" s="105">
        <v>1475</v>
      </c>
      <c r="J390" s="106">
        <v>7.75</v>
      </c>
      <c r="K390" s="106">
        <v>3.19</v>
      </c>
      <c r="L390" s="107">
        <v>59476.32</v>
      </c>
      <c r="M390" s="108">
        <f t="shared" si="144"/>
        <v>33.356959407624828</v>
      </c>
      <c r="N390" s="108">
        <f t="shared" si="145"/>
        <v>1.2299456322337481</v>
      </c>
      <c r="O390" s="108">
        <f t="shared" si="146"/>
        <v>3.687223458240632</v>
      </c>
      <c r="P390" s="108">
        <f t="shared" si="147"/>
        <v>495.95010173109637</v>
      </c>
      <c r="Q390" s="108">
        <f t="shared" si="148"/>
        <v>21.363100647493706</v>
      </c>
      <c r="R390" s="108">
        <f t="shared" si="149"/>
        <v>27.021447627328243</v>
      </c>
      <c r="S390" s="101">
        <f t="shared" si="150"/>
        <v>45873</v>
      </c>
      <c r="T390" s="102" t="str">
        <f t="shared" si="151"/>
        <v>Agosto</v>
      </c>
      <c r="U390" s="102" t="str">
        <f t="shared" si="152"/>
        <v>Lunes</v>
      </c>
      <c r="V390" s="102">
        <f t="shared" si="153"/>
        <v>10</v>
      </c>
      <c r="W390" s="102" t="str">
        <f t="shared" si="154"/>
        <v>Días después del pago</v>
      </c>
      <c r="X390" s="102">
        <f t="shared" si="155"/>
        <v>24</v>
      </c>
      <c r="Y390" s="102" t="str">
        <f t="shared" si="156"/>
        <v>Sí</v>
      </c>
      <c r="Z390" s="102" t="str">
        <f>CHOOSE(MATCH(B390,{"Customer Appreciation","Exclusive Offers","Flash Sale","Holiday Discounts","New Product Launch","Newsletter"},0),"Fidelizar","Vender","Vender","Vender","Lanzar","Educar")</f>
        <v>Vender</v>
      </c>
      <c r="AA390" s="102" t="str">
        <f t="shared" si="157"/>
        <v>100 a 200 mil</v>
      </c>
      <c r="AB390" s="102">
        <f>COUNTIFS($E$5:$E$493,E390,$S$5:$S$493,"&lt;"&amp;S390)+COUNTIFS($E$5:E390,E390,$S$5:S390,S390)</f>
        <v>2</v>
      </c>
      <c r="AC390" s="102">
        <f t="shared" si="158"/>
        <v>8</v>
      </c>
      <c r="AD390" s="102" t="str">
        <f t="shared" si="159"/>
        <v>Primer tercio</v>
      </c>
      <c r="AE390" s="103">
        <f t="shared" si="160"/>
        <v>11.993858760131122</v>
      </c>
      <c r="AF390" s="102" t="str">
        <f t="shared" si="161"/>
        <v xml:space="preserve">  exclusivo para nuestros clientes vip  acceso limitado </v>
      </c>
      <c r="AG390" s="102" t="str">
        <f t="shared" si="162"/>
        <v xml:space="preserve"> no te pierdas estas ofertas que preparamos para ti   descubre más  </v>
      </c>
      <c r="AH390" s="102" t="str">
        <f>IF(SUMPRODUCT(--(LEFT(IF(LEFT(LOWER(E390),1)="¡",MID(LOWER(E390),2,300),LOWER(E390)),LEN({"actualizaci","el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390" s="102" t="str">
        <f>IF(OR(SUMPRODUCT(--ISNUMBER(SEARCH({"descuento","oferta","ahorr","precio"," sale ","flash","deals"},AF390)))&gt;0,SUMPRODUCT(--ISNUMBER(SEARCH({"descuento","oferta","ahorr","precio"," sale ","flash","deals"},AG390)))&gt;0),"Sí","No")</f>
        <v>Sí</v>
      </c>
      <c r="AJ390" s="102" t="str">
        <f>IF(SUMPRODUCT(--ISNUMBER(SEARCH({" hoy ","horas","tiempo limitado","antes de que","se acab","se agot","finalic","última oportunidad","oportunidad única","relámpago","express","no esperes","no volver","no parpadees"},AF390)))&gt;0,"Sí","No")</f>
        <v>No</v>
      </c>
      <c r="AK390" s="102" t="str">
        <f>IF(SUMPRODUCT(--ISNUMBER(SEARCH({" hoy ","horas","tiempo limitado","antes de que","se acab","se agot","finalic","última oportunidad","oportunidad única","relámpago","express","no esperes","no volver","no parpadees"},AG390)))&gt;0,"Sí","No")</f>
        <v>No</v>
      </c>
      <c r="AL390" s="102" t="str">
        <f t="shared" si="163"/>
        <v>Descuento sin tiempo límite</v>
      </c>
      <c r="AM390" s="102" t="str">
        <f>IF(SUMPRODUCT(--ISNUMBER(SEARCH({"0","1","2","3","4","5","6","7","8","9","favorit","maquillaje","piel","cabello","productos","belleza","regalo"},E390)))&gt;0,"Sí","No")</f>
        <v>No</v>
      </c>
      <c r="AN390" s="102" t="str">
        <f>IF(SUMPRODUCT(--ISNUMBER(SEARCH({"lo que tenemos","estas ofertas","algo especial","ofertas únicas","que preparamos","no te quedes","echa un vistazo"},F390)))&gt;0,"Sí","No")</f>
        <v>Sí</v>
      </c>
      <c r="AO390" s="102">
        <f t="shared" si="164"/>
        <v>54</v>
      </c>
      <c r="AP390" s="102">
        <f t="shared" si="165"/>
        <v>7</v>
      </c>
      <c r="AQ390" s="102">
        <f>SUMPRODUCT(LEN(E390)-LEN(SUBSTITUTE(E390,{"!","¡","?","¿",":",",",".","%","·","-",";"},"")))</f>
        <v>2</v>
      </c>
      <c r="AR390" s="102" t="str">
        <f t="shared" si="166"/>
        <v>Sí</v>
      </c>
      <c r="AS390" s="102" t="str">
        <f t="shared" si="167"/>
        <v>No</v>
      </c>
      <c r="AT390" s="102" t="str">
        <f>IF(SUMPRODUCT(--ISNUMBER(FIND({"0","1","2","3","4","5","6","7","8","9"},E390)))&gt;0,"Con cifra concreta",IF(OR(ISNUMBER(FIND("?",E390)),ISNUMBER(FIND("¿",E390))),"Pregunta abierta",IF(SUMPRODUCT(--ISNUMBER(SEARCH({" hoy ","horas","tiempo limitado","antes de que","se acab","se agot","finalic","última oportunidad","oportunidad única","relámpago","express","no esperes","no volver","no parpadees"," ya ","últimas horas","últimas unidades"," ahora "},AF390)))&gt;0,"Solo urgencia, sin cifra",IF(SUMPRODUCT(--ISNUMBER(SEARCH({"recompensa","sorpresa","regalo","lealtad","detalle","gracias","pensamos en ti","para ti"},E390)))&gt;0,"Recompensa o sorpresa","Otro: beneficio o novedad"))))</f>
        <v>Otro: beneficio o novedad</v>
      </c>
    </row>
    <row r="391" spans="1:46" x14ac:dyDescent="0.2">
      <c r="A391" s="96" t="s">
        <v>1262</v>
      </c>
      <c r="B391" s="96" t="s">
        <v>274</v>
      </c>
      <c r="C391" s="96" t="s">
        <v>830</v>
      </c>
      <c r="D391" s="96" t="s">
        <v>950</v>
      </c>
      <c r="E391" s="96" t="s">
        <v>372</v>
      </c>
      <c r="F391" s="96" t="s">
        <v>480</v>
      </c>
      <c r="G391" s="97">
        <v>189032</v>
      </c>
      <c r="H391" s="97">
        <v>42702</v>
      </c>
      <c r="I391" s="97">
        <v>15648</v>
      </c>
      <c r="J391" s="98">
        <v>4.66</v>
      </c>
      <c r="K391" s="98">
        <v>3.86</v>
      </c>
      <c r="L391" s="99">
        <v>39220</v>
      </c>
      <c r="M391" s="100">
        <f t="shared" si="144"/>
        <v>22.589826061195989</v>
      </c>
      <c r="N391" s="100">
        <f t="shared" si="145"/>
        <v>8.2779635194041212</v>
      </c>
      <c r="O391" s="100">
        <f t="shared" si="146"/>
        <v>36.644653646199245</v>
      </c>
      <c r="P391" s="100">
        <f t="shared" si="147"/>
        <v>207.47809894621017</v>
      </c>
      <c r="Q391" s="100">
        <f t="shared" si="148"/>
        <v>20.724631699294946</v>
      </c>
      <c r="R391" s="100">
        <f t="shared" si="149"/>
        <v>31.113650744455075</v>
      </c>
      <c r="S391" s="101">
        <f t="shared" si="150"/>
        <v>45901</v>
      </c>
      <c r="T391" s="102" t="str">
        <f t="shared" si="151"/>
        <v>Septiembre</v>
      </c>
      <c r="U391" s="102" t="str">
        <f t="shared" si="152"/>
        <v>Lunes</v>
      </c>
      <c r="V391" s="102">
        <f t="shared" si="153"/>
        <v>14</v>
      </c>
      <c r="W391" s="102" t="str">
        <f t="shared" si="154"/>
        <v>Quincena</v>
      </c>
      <c r="X391" s="102">
        <f t="shared" si="155"/>
        <v>29</v>
      </c>
      <c r="Y391" s="102" t="str">
        <f t="shared" si="156"/>
        <v>Sí</v>
      </c>
      <c r="Z391" s="102" t="str">
        <f>CHOOSE(MATCH(B391,{"Customer Appreciation","Exclusive Offers","Flash Sale","Holiday Discounts","New Product Launch","Newsletter"},0),"Fidelizar","Vender","Vender","Vender","Lanzar","Educar")</f>
        <v>Fidelizar</v>
      </c>
      <c r="AA391" s="102" t="str">
        <f t="shared" si="157"/>
        <v>100 a 200 mil</v>
      </c>
      <c r="AB391" s="102">
        <f>COUNTIFS($E$5:$E$493,E391,$S$5:$S$493,"&lt;"&amp;S391)+COUNTIFS($E$5:E391,E391,$S$5:S391,S391)</f>
        <v>10</v>
      </c>
      <c r="AC391" s="102">
        <f t="shared" si="158"/>
        <v>14</v>
      </c>
      <c r="AD391" s="102" t="str">
        <f t="shared" si="159"/>
        <v>Último tercio</v>
      </c>
      <c r="AE391" s="103">
        <f t="shared" si="160"/>
        <v>1.8651943619010432</v>
      </c>
      <c r="AF391" s="102" t="str">
        <f t="shared" si="161"/>
        <v xml:space="preserve">  un pequeño detalle para agradecerte tu lealtad  l'oréal </v>
      </c>
      <c r="AG391" s="102" t="str">
        <f t="shared" si="162"/>
        <v xml:space="preserve"> echa un vistazo a lo que tenemos para ti   te va a encantar  </v>
      </c>
      <c r="AH391" s="102" t="str">
        <f>IF(SUMPRODUCT(--(LEFT(IF(LEFT(LOWER(E391),1)="¡",MID(LOWER(E391),2,300),LOWER(E391)),LEN({"actualizaci","el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Sí</v>
      </c>
      <c r="AI391" s="102" t="str">
        <f>IF(OR(SUMPRODUCT(--ISNUMBER(SEARCH({"descuento","oferta","ahorr","precio"," sale ","flash","deals"},AF391)))&gt;0,SUMPRODUCT(--ISNUMBER(SEARCH({"descuento","oferta","ahorr","precio"," sale ","flash","deals"},AG391)))&gt;0),"Sí","No")</f>
        <v>No</v>
      </c>
      <c r="AJ391" s="102" t="str">
        <f>IF(SUMPRODUCT(--ISNUMBER(SEARCH({" hoy ","horas","tiempo limitado","antes de que","se acab","se agot","finalic","última oportunidad","oportunidad única","relámpago","express","no esperes","no volver","no parpadees"},AF391)))&gt;0,"Sí","No")</f>
        <v>No</v>
      </c>
      <c r="AK391" s="102" t="str">
        <f>IF(SUMPRODUCT(--ISNUMBER(SEARCH({" hoy ","horas","tiempo limitado","antes de que","se acab","se agot","finalic","última oportunidad","oportunidad única","relámpago","express","no esperes","no volver","no parpadees"},AG391)))&gt;0,"Sí","No")</f>
        <v>No</v>
      </c>
      <c r="AL391" s="102" t="str">
        <f t="shared" si="163"/>
        <v>Sin descuento</v>
      </c>
      <c r="AM391" s="102" t="str">
        <f>IF(SUMPRODUCT(--ISNUMBER(SEARCH({"0","1","2","3","4","5","6","7","8","9","favorit","maquillaje","piel","cabello","productos","belleza","regalo"},E391)))&gt;0,"Sí","No")</f>
        <v>No</v>
      </c>
      <c r="AN391" s="102" t="str">
        <f>IF(SUMPRODUCT(--ISNUMBER(SEARCH({"lo que tenemos","estas ofertas","algo especial","ofertas únicas","que preparamos","no te quedes","echa un vistazo"},F391)))&gt;0,"Sí","No")</f>
        <v>Sí</v>
      </c>
      <c r="AO391" s="102">
        <f t="shared" si="164"/>
        <v>56</v>
      </c>
      <c r="AP391" s="102">
        <f t="shared" si="165"/>
        <v>8</v>
      </c>
      <c r="AQ391" s="102">
        <f>SUMPRODUCT(LEN(E391)-LEN(SUBSTITUTE(E391,{"!","¡","?","¿",":",",",".","%","·","-",";"},"")))</f>
        <v>2</v>
      </c>
      <c r="AR391" s="102" t="str">
        <f t="shared" si="166"/>
        <v>Sí</v>
      </c>
      <c r="AS391" s="102" t="str">
        <f t="shared" si="167"/>
        <v>No</v>
      </c>
      <c r="AT391" s="102" t="str">
        <f>IF(SUMPRODUCT(--ISNUMBER(FIND({"0","1","2","3","4","5","6","7","8","9"},E391)))&gt;0,"Con cifra concreta",IF(OR(ISNUMBER(FIND("?",E391)),ISNUMBER(FIND("¿",E391))),"Pregunta abierta",IF(SUMPRODUCT(--ISNUMBER(SEARCH({" hoy ","horas","tiempo limitado","antes de que","se acab","se agot","finalic","última oportunidad","oportunidad única","relámpago","express","no esperes","no volver","no parpadees"," ya ","últimas horas","últimas unidades"," ahora "},AF391)))&gt;0,"Solo urgencia, sin cifra",IF(SUMPRODUCT(--ISNUMBER(SEARCH({"recompensa","sorpresa","regalo","lealtad","detalle","gracias","pensamos en ti","para ti"},E391)))&gt;0,"Recompensa o sorpresa","Otro: beneficio o novedad"))))</f>
        <v>Recompensa o sorpresa</v>
      </c>
    </row>
    <row r="392" spans="1:46" x14ac:dyDescent="0.2">
      <c r="A392" s="104" t="s">
        <v>1263</v>
      </c>
      <c r="B392" s="104" t="s">
        <v>279</v>
      </c>
      <c r="C392" s="104" t="s">
        <v>742</v>
      </c>
      <c r="D392" s="104" t="s">
        <v>702</v>
      </c>
      <c r="E392" s="104" t="s">
        <v>472</v>
      </c>
      <c r="F392" s="104" t="s">
        <v>473</v>
      </c>
      <c r="G392" s="105">
        <v>366282</v>
      </c>
      <c r="H392" s="105">
        <v>38647</v>
      </c>
      <c r="I392" s="105">
        <v>26006</v>
      </c>
      <c r="J392" s="106">
        <v>5.6</v>
      </c>
      <c r="K392" s="106">
        <v>3.79</v>
      </c>
      <c r="L392" s="107">
        <v>36850.050000000003</v>
      </c>
      <c r="M392" s="108">
        <f t="shared" si="144"/>
        <v>10.551160035164163</v>
      </c>
      <c r="N392" s="108">
        <f t="shared" si="145"/>
        <v>7.0999939936988445</v>
      </c>
      <c r="O392" s="108">
        <f t="shared" si="146"/>
        <v>67.291122208709595</v>
      </c>
      <c r="P392" s="108">
        <f t="shared" si="147"/>
        <v>100.60568086883877</v>
      </c>
      <c r="Q392" s="108">
        <f t="shared" si="148"/>
        <v>22.891293825435607</v>
      </c>
      <c r="R392" s="108">
        <f t="shared" si="149"/>
        <v>27.75136451093497</v>
      </c>
      <c r="S392" s="101">
        <f t="shared" si="150"/>
        <v>45948</v>
      </c>
      <c r="T392" s="102" t="str">
        <f t="shared" si="151"/>
        <v>Octubre</v>
      </c>
      <c r="U392" s="102" t="str">
        <f t="shared" si="152"/>
        <v>Sábado</v>
      </c>
      <c r="V392" s="102">
        <f t="shared" si="153"/>
        <v>16</v>
      </c>
      <c r="W392" s="102" t="str">
        <f t="shared" si="154"/>
        <v>Días después del pago</v>
      </c>
      <c r="X392" s="102">
        <f t="shared" si="155"/>
        <v>27</v>
      </c>
      <c r="Y392" s="102" t="str">
        <f t="shared" si="156"/>
        <v>Sí</v>
      </c>
      <c r="Z392" s="102" t="str">
        <f>CHOOSE(MATCH(B392,{"Customer Appreciation","Exclusive Offers","Flash Sale","Holiday Discounts","New Product Launch","Newsletter"},0),"Fidelizar","Vender","Vender","Vender","Lanzar","Educar")</f>
        <v>Educar</v>
      </c>
      <c r="AA392" s="102" t="str">
        <f t="shared" si="157"/>
        <v>300 a 400 mil</v>
      </c>
      <c r="AB392" s="102">
        <f>COUNTIFS($E$5:$E$493,E392,$S$5:$S$493,"&lt;"&amp;S392)+COUNTIFS($E$5:E392,E392,$S$5:S392,S392)</f>
        <v>18</v>
      </c>
      <c r="AC392" s="102">
        <f t="shared" si="158"/>
        <v>22</v>
      </c>
      <c r="AD392" s="102" t="str">
        <f t="shared" si="159"/>
        <v>Último tercio</v>
      </c>
      <c r="AE392" s="103">
        <f t="shared" si="160"/>
        <v>-12.340133790271445</v>
      </c>
      <c r="AF392" s="102" t="str">
        <f t="shared" si="161"/>
        <v xml:space="preserve"> tu dosis semanal de belleza  novedades y tips </v>
      </c>
      <c r="AG392" s="102" t="str">
        <f t="shared" si="162"/>
        <v xml:space="preserve"> novedades  tips y más para tu rutina diaria   entra ya  </v>
      </c>
      <c r="AH392" s="102" t="str">
        <f>IF(SUMPRODUCT(--(LEFT(IF(LEFT(LOWER(E392),1)="¡",MID(LOWER(E392),2,300),LOWER(E392)),LEN({"actualizaci","el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392" s="102" t="str">
        <f>IF(OR(SUMPRODUCT(--ISNUMBER(SEARCH({"descuento","oferta","ahorr","precio"," sale ","flash","deals"},AF392)))&gt;0,SUMPRODUCT(--ISNUMBER(SEARCH({"descuento","oferta","ahorr","precio"," sale ","flash","deals"},AG392)))&gt;0),"Sí","No")</f>
        <v>No</v>
      </c>
      <c r="AJ392" s="102" t="str">
        <f>IF(SUMPRODUCT(--ISNUMBER(SEARCH({" hoy ","horas","tiempo limitado","antes de que","se acab","se agot","finalic","última oportunidad","oportunidad única","relámpago","express","no esperes","no volver","no parpadees"},AF392)))&gt;0,"Sí","No")</f>
        <v>No</v>
      </c>
      <c r="AK392" s="102" t="str">
        <f>IF(SUMPRODUCT(--ISNUMBER(SEARCH({" hoy ","horas","tiempo limitado","antes de que","se acab","se agot","finalic","última oportunidad","oportunidad única","relámpago","express","no esperes","no volver","no parpadees"},AG392)))&gt;0,"Sí","No")</f>
        <v>No</v>
      </c>
      <c r="AL392" s="102" t="str">
        <f t="shared" si="163"/>
        <v>Sin descuento</v>
      </c>
      <c r="AM392" s="102" t="str">
        <f>IF(SUMPRODUCT(--ISNUMBER(SEARCH({"0","1","2","3","4","5","6","7","8","9","favorit","maquillaje","piel","cabello","productos","belleza","regalo"},E392)))&gt;0,"Sí","No")</f>
        <v>Sí</v>
      </c>
      <c r="AN392" s="102" t="str">
        <f>IF(SUMPRODUCT(--ISNUMBER(SEARCH({"lo que tenemos","estas ofertas","algo especial","ofertas únicas","que preparamos","no te quedes","echa un vistazo"},F392)))&gt;0,"Sí","No")</f>
        <v>No</v>
      </c>
      <c r="AO392" s="102">
        <f t="shared" si="164"/>
        <v>45</v>
      </c>
      <c r="AP392" s="102">
        <f t="shared" si="165"/>
        <v>8</v>
      </c>
      <c r="AQ392" s="102">
        <f>SUMPRODUCT(LEN(E392)-LEN(SUBSTITUTE(E392,{"!","¡","?","¿",":",",",".","%","·","-",";"},"")))</f>
        <v>1</v>
      </c>
      <c r="AR392" s="102" t="str">
        <f t="shared" si="166"/>
        <v>Sí</v>
      </c>
      <c r="AS392" s="102" t="str">
        <f t="shared" si="167"/>
        <v>No</v>
      </c>
      <c r="AT392" s="102" t="str">
        <f>IF(SUMPRODUCT(--ISNUMBER(FIND({"0","1","2","3","4","5","6","7","8","9"},E392)))&gt;0,"Con cifra concreta",IF(OR(ISNUMBER(FIND("?",E392)),ISNUMBER(FIND("¿",E392))),"Pregunta abierta",IF(SUMPRODUCT(--ISNUMBER(SEARCH({" hoy ","horas","tiempo limitado","antes de que","se acab","se agot","finalic","última oportunidad","oportunidad única","relámpago","express","no esperes","no volver","no parpadees"," ya ","últimas horas","últimas unidades"," ahora "},AF392)))&gt;0,"Solo urgencia, sin cifra",IF(SUMPRODUCT(--ISNUMBER(SEARCH({"recompensa","sorpresa","regalo","lealtad","detalle","gracias","pensamos en ti","para ti"},E392)))&gt;0,"Recompensa o sorpresa","Otro: beneficio o novedad"))))</f>
        <v>Otro: beneficio o novedad</v>
      </c>
    </row>
    <row r="393" spans="1:46" x14ac:dyDescent="0.2">
      <c r="A393" s="96" t="s">
        <v>1264</v>
      </c>
      <c r="B393" s="96" t="s">
        <v>278</v>
      </c>
      <c r="C393" s="96" t="s">
        <v>980</v>
      </c>
      <c r="D393" s="96" t="s">
        <v>824</v>
      </c>
      <c r="E393" s="96" t="s">
        <v>368</v>
      </c>
      <c r="F393" s="96" t="s">
        <v>471</v>
      </c>
      <c r="G393" s="97">
        <v>321638</v>
      </c>
      <c r="H393" s="97">
        <v>29462</v>
      </c>
      <c r="I393" s="97">
        <v>17013</v>
      </c>
      <c r="J393" s="98">
        <v>7.03</v>
      </c>
      <c r="K393" s="98">
        <v>0.56000000000000005</v>
      </c>
      <c r="L393" s="99">
        <v>67102.39</v>
      </c>
      <c r="M393" s="100">
        <f t="shared" si="144"/>
        <v>9.1599873149316924</v>
      </c>
      <c r="N393" s="100">
        <f t="shared" si="145"/>
        <v>5.289486938732364</v>
      </c>
      <c r="O393" s="100">
        <f t="shared" si="146"/>
        <v>57.745570565474168</v>
      </c>
      <c r="P393" s="100">
        <f t="shared" si="147"/>
        <v>208.62705899178579</v>
      </c>
      <c r="Q393" s="100">
        <f t="shared" si="148"/>
        <v>23.315840784070005</v>
      </c>
      <c r="R393" s="100">
        <f t="shared" si="149"/>
        <v>29.458247936272421</v>
      </c>
      <c r="S393" s="101">
        <f t="shared" si="150"/>
        <v>45875</v>
      </c>
      <c r="T393" s="102" t="str">
        <f t="shared" si="151"/>
        <v>Agosto</v>
      </c>
      <c r="U393" s="102" t="str">
        <f t="shared" si="152"/>
        <v>Miércoles</v>
      </c>
      <c r="V393" s="102">
        <f t="shared" si="153"/>
        <v>10</v>
      </c>
      <c r="W393" s="102" t="str">
        <f t="shared" si="154"/>
        <v>Resto del mes</v>
      </c>
      <c r="X393" s="102">
        <f t="shared" si="155"/>
        <v>28</v>
      </c>
      <c r="Y393" s="102" t="str">
        <f t="shared" si="156"/>
        <v>Sí</v>
      </c>
      <c r="Z393" s="102" t="str">
        <f>CHOOSE(MATCH(B393,{"Customer Appreciation","Exclusive Offers","Flash Sale","Holiday Discounts","New Product Launch","Newsletter"},0),"Fidelizar","Vender","Vender","Vender","Lanzar","Educar")</f>
        <v>Lanzar</v>
      </c>
      <c r="AA393" s="102" t="str">
        <f t="shared" si="157"/>
        <v>300 a 400 mil</v>
      </c>
      <c r="AB393" s="102">
        <f>COUNTIFS($E$5:$E$493,E393,$S$5:$S$493,"&lt;"&amp;S393)+COUNTIFS($E$5:E393,E393,$S$5:S393,S393)</f>
        <v>4</v>
      </c>
      <c r="AC393" s="102">
        <f t="shared" si="158"/>
        <v>33</v>
      </c>
      <c r="AD393" s="102" t="str">
        <f t="shared" si="159"/>
        <v>Primer tercio</v>
      </c>
      <c r="AE393" s="103">
        <f t="shared" si="160"/>
        <v>-14.155853469138313</v>
      </c>
      <c r="AF393" s="102" t="str">
        <f t="shared" si="161"/>
        <v xml:space="preserve"> presentamos  nuestro último lanzamiento de belleza  imperdible  </v>
      </c>
      <c r="AG393" s="102" t="str">
        <f t="shared" si="162"/>
        <v xml:space="preserve"> una innovación que cambiará tu rutina   sé de los primeros  </v>
      </c>
      <c r="AH393" s="102" t="str">
        <f>IF(SUMPRODUCT(--(LEFT(IF(LEFT(LOWER(E393),1)="¡",MID(LOWER(E393),2,300),LOWER(E393)),LEN({"actualizaci","el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Sí</v>
      </c>
      <c r="AI393" s="102" t="str">
        <f>IF(OR(SUMPRODUCT(--ISNUMBER(SEARCH({"descuento","oferta","ahorr","precio"," sale ","flash","deals"},AF393)))&gt;0,SUMPRODUCT(--ISNUMBER(SEARCH({"descuento","oferta","ahorr","precio"," sale ","flash","deals"},AG393)))&gt;0),"Sí","No")</f>
        <v>No</v>
      </c>
      <c r="AJ393" s="102" t="str">
        <f>IF(SUMPRODUCT(--ISNUMBER(SEARCH({" hoy ","horas","tiempo limitado","antes de que","se acab","se agot","finalic","última oportunidad","oportunidad única","relámpago","express","no esperes","no volver","no parpadees"},AF393)))&gt;0,"Sí","No")</f>
        <v>No</v>
      </c>
      <c r="AK393" s="102" t="str">
        <f>IF(SUMPRODUCT(--ISNUMBER(SEARCH({" hoy ","horas","tiempo limitado","antes de que","se acab","se agot","finalic","última oportunidad","oportunidad única","relámpago","express","no esperes","no volver","no parpadees"},AG393)))&gt;0,"Sí","No")</f>
        <v>No</v>
      </c>
      <c r="AL393" s="102" t="str">
        <f t="shared" si="163"/>
        <v>Sin descuento</v>
      </c>
      <c r="AM393" s="102" t="str">
        <f>IF(SUMPRODUCT(--ISNUMBER(SEARCH({"0","1","2","3","4","5","6","7","8","9","favorit","maquillaje","piel","cabello","productos","belleza","regalo"},E393)))&gt;0,"Sí","No")</f>
        <v>Sí</v>
      </c>
      <c r="AN393" s="102" t="str">
        <f>IF(SUMPRODUCT(--ISNUMBER(SEARCH({"lo que tenemos","estas ofertas","algo especial","ofertas únicas","que preparamos","no te quedes","echa un vistazo"},F393)))&gt;0,"Sí","No")</f>
        <v>No</v>
      </c>
      <c r="AO393" s="102">
        <f t="shared" si="164"/>
        <v>63</v>
      </c>
      <c r="AP393" s="102">
        <f t="shared" si="165"/>
        <v>7</v>
      </c>
      <c r="AQ393" s="102">
        <f>SUMPRODUCT(LEN(E393)-LEN(SUBSTITUTE(E393,{"!","¡","?","¿",":",",",".","%","·","-",";"},"")))</f>
        <v>3</v>
      </c>
      <c r="AR393" s="102" t="str">
        <f t="shared" si="166"/>
        <v>No</v>
      </c>
      <c r="AS393" s="102" t="str">
        <f t="shared" si="167"/>
        <v>No</v>
      </c>
      <c r="AT393" s="102" t="str">
        <f>IF(SUMPRODUCT(--ISNUMBER(FIND({"0","1","2","3","4","5","6","7","8","9"},E393)))&gt;0,"Con cifra concreta",IF(OR(ISNUMBER(FIND("?",E393)),ISNUMBER(FIND("¿",E393))),"Pregunta abierta",IF(SUMPRODUCT(--ISNUMBER(SEARCH({" hoy ","horas","tiempo limitado","antes de que","se acab","se agot","finalic","última oportunidad","oportunidad única","relámpago","express","no esperes","no volver","no parpadees"," ya ","últimas horas","últimas unidades"," ahora "},AF393)))&gt;0,"Solo urgencia, sin cifra",IF(SUMPRODUCT(--ISNUMBER(SEARCH({"recompensa","sorpresa","regalo","lealtad","detalle","gracias","pensamos en ti","para ti"},E393)))&gt;0,"Recompensa o sorpresa","Otro: beneficio o novedad"))))</f>
        <v>Otro: beneficio o novedad</v>
      </c>
    </row>
    <row r="394" spans="1:46" x14ac:dyDescent="0.2">
      <c r="A394" s="104" t="s">
        <v>1265</v>
      </c>
      <c r="B394" s="104" t="s">
        <v>277</v>
      </c>
      <c r="C394" s="104" t="s">
        <v>815</v>
      </c>
      <c r="D394" s="104" t="s">
        <v>764</v>
      </c>
      <c r="E394" s="104" t="s">
        <v>461</v>
      </c>
      <c r="F394" s="104" t="s">
        <v>462</v>
      </c>
      <c r="G394" s="105">
        <v>36196</v>
      </c>
      <c r="H394" s="105">
        <v>6841</v>
      </c>
      <c r="I394" s="105">
        <v>2557</v>
      </c>
      <c r="J394" s="106">
        <v>7.61</v>
      </c>
      <c r="K394" s="106">
        <v>3.41</v>
      </c>
      <c r="L394" s="107">
        <v>39119.61</v>
      </c>
      <c r="M394" s="108">
        <f t="shared" si="144"/>
        <v>18.899878439606585</v>
      </c>
      <c r="N394" s="108">
        <f t="shared" si="145"/>
        <v>7.0643164990606699</v>
      </c>
      <c r="O394" s="108">
        <f t="shared" si="146"/>
        <v>37.377576377722555</v>
      </c>
      <c r="P394" s="108">
        <f t="shared" si="147"/>
        <v>1080.7716322245553</v>
      </c>
      <c r="Q394" s="108">
        <f t="shared" si="148"/>
        <v>35.409886702202286</v>
      </c>
      <c r="R394" s="108">
        <f t="shared" si="149"/>
        <v>30.71114383300629</v>
      </c>
      <c r="S394" s="101">
        <f t="shared" si="150"/>
        <v>45959</v>
      </c>
      <c r="T394" s="102" t="str">
        <f t="shared" si="151"/>
        <v>Octubre</v>
      </c>
      <c r="U394" s="102" t="str">
        <f t="shared" si="152"/>
        <v>Miércoles</v>
      </c>
      <c r="V394" s="102">
        <f t="shared" si="153"/>
        <v>15</v>
      </c>
      <c r="W394" s="102" t="str">
        <f t="shared" si="154"/>
        <v>Resto del mes</v>
      </c>
      <c r="X394" s="102">
        <f t="shared" si="155"/>
        <v>27</v>
      </c>
      <c r="Y394" s="102" t="str">
        <f t="shared" si="156"/>
        <v>Sí</v>
      </c>
      <c r="Z394" s="102" t="str">
        <f>CHOOSE(MATCH(B394,{"Customer Appreciation","Exclusive Offers","Flash Sale","Holiday Discounts","New Product Launch","Newsletter"},0),"Fidelizar","Vender","Vender","Vender","Lanzar","Educar")</f>
        <v>Vender</v>
      </c>
      <c r="AA394" s="102" t="str">
        <f t="shared" si="157"/>
        <v>Menos de 100 mil</v>
      </c>
      <c r="AB394" s="102">
        <f>COUNTIFS($E$5:$E$493,E394,$S$5:$S$493,"&lt;"&amp;S394)+COUNTIFS($E$5:E394,E394,$S$5:S394,S394)</f>
        <v>30</v>
      </c>
      <c r="AC394" s="102">
        <f t="shared" si="158"/>
        <v>30</v>
      </c>
      <c r="AD394" s="102" t="str">
        <f t="shared" si="159"/>
        <v>Último tercio</v>
      </c>
      <c r="AE394" s="103">
        <f t="shared" si="160"/>
        <v>-16.510008262595701</v>
      </c>
      <c r="AF394" s="102" t="str">
        <f t="shared" si="161"/>
        <v xml:space="preserve">  regalos perfectos te esperan  descuentos de lujo  l'oréal </v>
      </c>
      <c r="AG394" s="102" t="str">
        <f t="shared" si="162"/>
        <v xml:space="preserve"> encuentra ese detalle especial para ti o tus seres queridos   descubre  </v>
      </c>
      <c r="AH394" s="102" t="str">
        <f>IF(SUMPRODUCT(--(LEFT(IF(LEFT(LOWER(E394),1)="¡",MID(LOWER(E394),2,300),LOWER(E394)),LEN({"actualizaci","el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394" s="102" t="str">
        <f>IF(OR(SUMPRODUCT(--ISNUMBER(SEARCH({"descuento","oferta","ahorr","precio"," sale ","flash","deals"},AF394)))&gt;0,SUMPRODUCT(--ISNUMBER(SEARCH({"descuento","oferta","ahorr","precio"," sale ","flash","deals"},AG394)))&gt;0),"Sí","No")</f>
        <v>Sí</v>
      </c>
      <c r="AJ394" s="102" t="str">
        <f>IF(SUMPRODUCT(--ISNUMBER(SEARCH({" hoy ","horas","tiempo limitado","antes de que","se acab","se agot","finalic","última oportunidad","oportunidad única","relámpago","express","no esperes","no volver","no parpadees"},AF394)))&gt;0,"Sí","No")</f>
        <v>No</v>
      </c>
      <c r="AK394" s="102" t="str">
        <f>IF(SUMPRODUCT(--ISNUMBER(SEARCH({" hoy ","horas","tiempo limitado","antes de que","se acab","se agot","finalic","última oportunidad","oportunidad única","relámpago","express","no esperes","no volver","no parpadees"},AG394)))&gt;0,"Sí","No")</f>
        <v>No</v>
      </c>
      <c r="AL394" s="102" t="str">
        <f t="shared" si="163"/>
        <v>Descuento sin tiempo límite</v>
      </c>
      <c r="AM394" s="102" t="str">
        <f>IF(SUMPRODUCT(--ISNUMBER(SEARCH({"0","1","2","3","4","5","6","7","8","9","favorit","maquillaje","piel","cabello","productos","belleza","regalo"},E394)))&gt;0,"Sí","No")</f>
        <v>Sí</v>
      </c>
      <c r="AN394" s="102" t="str">
        <f>IF(SUMPRODUCT(--ISNUMBER(SEARCH({"lo que tenemos","estas ofertas","algo especial","ofertas únicas","que preparamos","no te quedes","echa un vistazo"},F394)))&gt;0,"Sí","No")</f>
        <v>No</v>
      </c>
      <c r="AO394" s="102">
        <f t="shared" si="164"/>
        <v>58</v>
      </c>
      <c r="AP394" s="102">
        <f t="shared" si="165"/>
        <v>8</v>
      </c>
      <c r="AQ394" s="102">
        <f>SUMPRODUCT(LEN(E394)-LEN(SUBSTITUTE(E394,{"!","¡","?","¿",":",",",".","%","·","-",";"},"")))</f>
        <v>3</v>
      </c>
      <c r="AR394" s="102" t="str">
        <f t="shared" si="166"/>
        <v>Sí</v>
      </c>
      <c r="AS394" s="102" t="str">
        <f t="shared" si="167"/>
        <v>No</v>
      </c>
      <c r="AT394" s="102" t="str">
        <f>IF(SUMPRODUCT(--ISNUMBER(FIND({"0","1","2","3","4","5","6","7","8","9"},E394)))&gt;0,"Con cifra concreta",IF(OR(ISNUMBER(FIND("?",E394)),ISNUMBER(FIND("¿",E394))),"Pregunta abierta",IF(SUMPRODUCT(--ISNUMBER(SEARCH({" hoy ","horas","tiempo limitado","antes de que","se acab","se agot","finalic","última oportunidad","oportunidad única","relámpago","express","no esperes","no volver","no parpadees"," ya ","últimas horas","últimas unidades"," ahora "},AF394)))&gt;0,"Solo urgencia, sin cifra",IF(SUMPRODUCT(--ISNUMBER(SEARCH({"recompensa","sorpresa","regalo","lealtad","detalle","gracias","pensamos en ti","para ti"},E394)))&gt;0,"Recompensa o sorpresa","Otro: beneficio o novedad"))))</f>
        <v>Recompensa o sorpresa</v>
      </c>
    </row>
    <row r="395" spans="1:46" x14ac:dyDescent="0.2">
      <c r="A395" s="96" t="s">
        <v>1266</v>
      </c>
      <c r="B395" s="96" t="s">
        <v>274</v>
      </c>
      <c r="C395" s="96" t="s">
        <v>869</v>
      </c>
      <c r="D395" s="96" t="s">
        <v>821</v>
      </c>
      <c r="E395" s="96" t="s">
        <v>371</v>
      </c>
      <c r="F395" s="96" t="s">
        <v>452</v>
      </c>
      <c r="G395" s="97">
        <v>73644</v>
      </c>
      <c r="H395" s="97">
        <v>22501</v>
      </c>
      <c r="I395" s="97">
        <v>6481</v>
      </c>
      <c r="J395" s="98">
        <v>5.8</v>
      </c>
      <c r="K395" s="98">
        <v>2.12</v>
      </c>
      <c r="L395" s="99">
        <v>15326.38</v>
      </c>
      <c r="M395" s="100">
        <f t="shared" si="144"/>
        <v>30.553745043723861</v>
      </c>
      <c r="N395" s="100">
        <f t="shared" si="145"/>
        <v>8.8004453859105958</v>
      </c>
      <c r="O395" s="100">
        <f t="shared" si="146"/>
        <v>28.803164303808721</v>
      </c>
      <c r="P395" s="100">
        <f t="shared" si="147"/>
        <v>208.11444245288141</v>
      </c>
      <c r="Q395" s="100">
        <f t="shared" si="148"/>
        <v>40.72142758959253</v>
      </c>
      <c r="R395" s="100">
        <f t="shared" si="149"/>
        <v>31.113650744455075</v>
      </c>
      <c r="S395" s="101">
        <f t="shared" si="150"/>
        <v>45917</v>
      </c>
      <c r="T395" s="102" t="str">
        <f t="shared" si="151"/>
        <v>Septiembre</v>
      </c>
      <c r="U395" s="102" t="str">
        <f t="shared" si="152"/>
        <v>Miércoles</v>
      </c>
      <c r="V395" s="102">
        <f t="shared" si="153"/>
        <v>8</v>
      </c>
      <c r="W395" s="102" t="str">
        <f t="shared" si="154"/>
        <v>Días después del pago</v>
      </c>
      <c r="X395" s="102">
        <f t="shared" si="155"/>
        <v>26</v>
      </c>
      <c r="Y395" s="102" t="str">
        <f t="shared" si="156"/>
        <v>Sí</v>
      </c>
      <c r="Z395" s="102" t="str">
        <f>CHOOSE(MATCH(B395,{"Customer Appreciation","Exclusive Offers","Flash Sale","Holiday Discounts","New Product Launch","Newsletter"},0),"Fidelizar","Vender","Vender","Vender","Lanzar","Educar")</f>
        <v>Fidelizar</v>
      </c>
      <c r="AA395" s="102" t="str">
        <f t="shared" si="157"/>
        <v>Menos de 100 mil</v>
      </c>
      <c r="AB395" s="102">
        <f>COUNTIFS($E$5:$E$493,E395,$S$5:$S$493,"&lt;"&amp;S395)+COUNTIFS($E$5:E395,E395,$S$5:S395,S395)</f>
        <v>10</v>
      </c>
      <c r="AC395" s="102">
        <f t="shared" si="158"/>
        <v>16</v>
      </c>
      <c r="AD395" s="102" t="str">
        <f t="shared" si="159"/>
        <v>Medio</v>
      </c>
      <c r="AE395" s="103">
        <f t="shared" si="160"/>
        <v>-10.167682545868669</v>
      </c>
      <c r="AF395" s="102" t="str">
        <f t="shared" si="161"/>
        <v xml:space="preserve">  tu lealtad tiene recompensa  descúbrela  sorpresas para ti </v>
      </c>
      <c r="AG395" s="102" t="str">
        <f t="shared" si="162"/>
        <v xml:space="preserve"> ofertas exclusivas para nuestros clientes más especiales   no te las pierdas  </v>
      </c>
      <c r="AH395" s="102" t="str">
        <f>IF(SUMPRODUCT(--(LEFT(IF(LEFT(LOWER(E395),1)="¡",MID(LOWER(E395),2,300),LOWER(E395)),LEN({"actualizaci","el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395" s="102" t="str">
        <f>IF(OR(SUMPRODUCT(--ISNUMBER(SEARCH({"descuento","oferta","ahorr","precio"," sale ","flash","deals"},AF395)))&gt;0,SUMPRODUCT(--ISNUMBER(SEARCH({"descuento","oferta","ahorr","precio"," sale ","flash","deals"},AG395)))&gt;0),"Sí","No")</f>
        <v>Sí</v>
      </c>
      <c r="AJ395" s="102" t="str">
        <f>IF(SUMPRODUCT(--ISNUMBER(SEARCH({" hoy ","horas","tiempo limitado","antes de que","se acab","se agot","finalic","última oportunidad","oportunidad única","relámpago","express","no esperes","no volver","no parpadees"},AF395)))&gt;0,"Sí","No")</f>
        <v>No</v>
      </c>
      <c r="AK395" s="102" t="str">
        <f>IF(SUMPRODUCT(--ISNUMBER(SEARCH({" hoy ","horas","tiempo limitado","antes de que","se acab","se agot","finalic","última oportunidad","oportunidad única","relámpago","express","no esperes","no volver","no parpadees"},AG395)))&gt;0,"Sí","No")</f>
        <v>No</v>
      </c>
      <c r="AL395" s="102" t="str">
        <f t="shared" si="163"/>
        <v>Descuento sin tiempo límite</v>
      </c>
      <c r="AM395" s="102" t="str">
        <f>IF(SUMPRODUCT(--ISNUMBER(SEARCH({"0","1","2","3","4","5","6","7","8","9","favorit","maquillaje","piel","cabello","productos","belleza","regalo"},E395)))&gt;0,"Sí","No")</f>
        <v>No</v>
      </c>
      <c r="AN395" s="102" t="str">
        <f>IF(SUMPRODUCT(--ISNUMBER(SEARCH({"lo que tenemos","estas ofertas","algo especial","ofertas únicas","que preparamos","no te quedes","echa un vistazo"},F395)))&gt;0,"Sí","No")</f>
        <v>No</v>
      </c>
      <c r="AO395" s="102">
        <f t="shared" si="164"/>
        <v>59</v>
      </c>
      <c r="AP395" s="102">
        <f t="shared" si="165"/>
        <v>8</v>
      </c>
      <c r="AQ395" s="102">
        <f>SUMPRODUCT(LEN(E395)-LEN(SUBSTITUTE(E395,{"!","¡","?","¿",":",",",".","%","·","-",";"},"")))</f>
        <v>3</v>
      </c>
      <c r="AR395" s="102" t="str">
        <f t="shared" si="166"/>
        <v>Sí</v>
      </c>
      <c r="AS395" s="102" t="str">
        <f t="shared" si="167"/>
        <v>No</v>
      </c>
      <c r="AT395" s="102" t="str">
        <f>IF(SUMPRODUCT(--ISNUMBER(FIND({"0","1","2","3","4","5","6","7","8","9"},E395)))&gt;0,"Con cifra concreta",IF(OR(ISNUMBER(FIND("?",E395)),ISNUMBER(FIND("¿",E395))),"Pregunta abierta",IF(SUMPRODUCT(--ISNUMBER(SEARCH({" hoy ","horas","tiempo limitado","antes de que","se acab","se agot","finalic","última oportunidad","oportunidad única","relámpago","express","no esperes","no volver","no parpadees"," ya ","últimas horas","últimas unidades"," ahora "},AF395)))&gt;0,"Solo urgencia, sin cifra",IF(SUMPRODUCT(--ISNUMBER(SEARCH({"recompensa","sorpresa","regalo","lealtad","detalle","gracias","pensamos en ti","para ti"},E395)))&gt;0,"Recompensa o sorpresa","Otro: beneficio o novedad"))))</f>
        <v>Recompensa o sorpresa</v>
      </c>
    </row>
    <row r="396" spans="1:46" x14ac:dyDescent="0.2">
      <c r="A396" s="104" t="s">
        <v>1267</v>
      </c>
      <c r="B396" s="104" t="s">
        <v>275</v>
      </c>
      <c r="C396" s="104" t="s">
        <v>928</v>
      </c>
      <c r="D396" s="104" t="s">
        <v>715</v>
      </c>
      <c r="E396" s="104" t="s">
        <v>465</v>
      </c>
      <c r="F396" s="104" t="s">
        <v>466</v>
      </c>
      <c r="G396" s="105">
        <v>309868</v>
      </c>
      <c r="H396" s="105">
        <v>53995</v>
      </c>
      <c r="I396" s="105">
        <v>39994</v>
      </c>
      <c r="J396" s="106">
        <v>4.83</v>
      </c>
      <c r="K396" s="106">
        <v>0.93</v>
      </c>
      <c r="L396" s="107">
        <v>69092.179999999993</v>
      </c>
      <c r="M396" s="108">
        <f t="shared" si="144"/>
        <v>17.425161681748357</v>
      </c>
      <c r="N396" s="108">
        <f t="shared" si="145"/>
        <v>12.906786115378161</v>
      </c>
      <c r="O396" s="108">
        <f t="shared" si="146"/>
        <v>74.069821279748126</v>
      </c>
      <c r="P396" s="108">
        <f t="shared" si="147"/>
        <v>222.97294331779983</v>
      </c>
      <c r="Q396" s="108">
        <f t="shared" si="148"/>
        <v>33.047230763392911</v>
      </c>
      <c r="R396" s="108">
        <f t="shared" si="149"/>
        <v>27.021447627328243</v>
      </c>
      <c r="S396" s="101">
        <f t="shared" si="150"/>
        <v>45883</v>
      </c>
      <c r="T396" s="102" t="str">
        <f t="shared" si="151"/>
        <v>Agosto</v>
      </c>
      <c r="U396" s="102" t="str">
        <f t="shared" si="152"/>
        <v>Jueves</v>
      </c>
      <c r="V396" s="102">
        <f t="shared" si="153"/>
        <v>11</v>
      </c>
      <c r="W396" s="102" t="str">
        <f t="shared" si="154"/>
        <v>Quincena</v>
      </c>
      <c r="X396" s="102">
        <f t="shared" si="155"/>
        <v>23</v>
      </c>
      <c r="Y396" s="102" t="str">
        <f t="shared" si="156"/>
        <v>Sí</v>
      </c>
      <c r="Z396" s="102" t="str">
        <f>CHOOSE(MATCH(B396,{"Customer Appreciation","Exclusive Offers","Flash Sale","Holiday Discounts","New Product Launch","Newsletter"},0),"Fidelizar","Vender","Vender","Vender","Lanzar","Educar")</f>
        <v>Vender</v>
      </c>
      <c r="AA396" s="102" t="str">
        <f t="shared" si="157"/>
        <v>300 a 400 mil</v>
      </c>
      <c r="AB396" s="102">
        <f>COUNTIFS($E$5:$E$493,E396,$S$5:$S$493,"&lt;"&amp;S396)+COUNTIFS($E$5:E396,E396,$S$5:S396,S396)</f>
        <v>3</v>
      </c>
      <c r="AC396" s="102">
        <f t="shared" si="158"/>
        <v>22</v>
      </c>
      <c r="AD396" s="102" t="str">
        <f t="shared" si="159"/>
        <v>Primer tercio</v>
      </c>
      <c r="AE396" s="103">
        <f t="shared" si="160"/>
        <v>-15.622069081644554</v>
      </c>
      <c r="AF396" s="102" t="str">
        <f t="shared" si="161"/>
        <v xml:space="preserve">  ofertas exclusivas  solo para nuestra comunidad vip </v>
      </c>
      <c r="AG396" s="102" t="str">
        <f t="shared" si="162"/>
        <v xml:space="preserve"> productos premium con descuentos únicos   acceso limitado  </v>
      </c>
      <c r="AH396" s="102" t="str">
        <f>IF(SUMPRODUCT(--(LEFT(IF(LEFT(LOWER(E396),1)="¡",MID(LOWER(E396),2,300),LOWER(E396)),LEN({"actualizaci","el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396" s="102" t="str">
        <f>IF(OR(SUMPRODUCT(--ISNUMBER(SEARCH({"descuento","oferta","ahorr","precio"," sale ","flash","deals"},AF396)))&gt;0,SUMPRODUCT(--ISNUMBER(SEARCH({"descuento","oferta","ahorr","precio"," sale ","flash","deals"},AG396)))&gt;0),"Sí","No")</f>
        <v>Sí</v>
      </c>
      <c r="AJ396" s="102" t="str">
        <f>IF(SUMPRODUCT(--ISNUMBER(SEARCH({" hoy ","horas","tiempo limitado","antes de que","se acab","se agot","finalic","última oportunidad","oportunidad única","relámpago","express","no esperes","no volver","no parpadees"},AF396)))&gt;0,"Sí","No")</f>
        <v>No</v>
      </c>
      <c r="AK396" s="102" t="str">
        <f>IF(SUMPRODUCT(--ISNUMBER(SEARCH({" hoy ","horas","tiempo limitado","antes de que","se acab","se agot","finalic","última oportunidad","oportunidad única","relámpago","express","no esperes","no volver","no parpadees"},AG396)))&gt;0,"Sí","No")</f>
        <v>No</v>
      </c>
      <c r="AL396" s="102" t="str">
        <f t="shared" si="163"/>
        <v>Descuento sin tiempo límite</v>
      </c>
      <c r="AM396" s="102" t="str">
        <f>IF(SUMPRODUCT(--ISNUMBER(SEARCH({"0","1","2","3","4","5","6","7","8","9","favorit","maquillaje","piel","cabello","productos","belleza","regalo"},E396)))&gt;0,"Sí","No")</f>
        <v>No</v>
      </c>
      <c r="AN396" s="102" t="str">
        <f>IF(SUMPRODUCT(--ISNUMBER(SEARCH({"lo que tenemos","estas ofertas","algo especial","ofertas únicas","que preparamos","no te quedes","echa un vistazo"},F396)))&gt;0,"Sí","No")</f>
        <v>No</v>
      </c>
      <c r="AO396" s="102">
        <f t="shared" si="164"/>
        <v>52</v>
      </c>
      <c r="AP396" s="102">
        <f t="shared" si="165"/>
        <v>7</v>
      </c>
      <c r="AQ396" s="102">
        <f>SUMPRODUCT(LEN(E396)-LEN(SUBSTITUTE(E396,{"!","¡","?","¿",":",",",".","%","·","-",";"},"")))</f>
        <v>2</v>
      </c>
      <c r="AR396" s="102" t="str">
        <f t="shared" si="166"/>
        <v>Sí</v>
      </c>
      <c r="AS396" s="102" t="str">
        <f t="shared" si="167"/>
        <v>No</v>
      </c>
      <c r="AT396" s="102" t="str">
        <f>IF(SUMPRODUCT(--ISNUMBER(FIND({"0","1","2","3","4","5","6","7","8","9"},E396)))&gt;0,"Con cifra concreta",IF(OR(ISNUMBER(FIND("?",E396)),ISNUMBER(FIND("¿",E396))),"Pregunta abierta",IF(SUMPRODUCT(--ISNUMBER(SEARCH({" hoy ","horas","tiempo limitado","antes de que","se acab","se agot","finalic","última oportunidad","oportunidad única","relámpago","express","no esperes","no volver","no parpadees"," ya ","últimas horas","últimas unidades"," ahora "},AF396)))&gt;0,"Solo urgencia, sin cifra",IF(SUMPRODUCT(--ISNUMBER(SEARCH({"recompensa","sorpresa","regalo","lealtad","detalle","gracias","pensamos en ti","para ti"},E396)))&gt;0,"Recompensa o sorpresa","Otro: beneficio o novedad"))))</f>
        <v>Otro: beneficio o novedad</v>
      </c>
    </row>
    <row r="397" spans="1:46" x14ac:dyDescent="0.2">
      <c r="A397" s="96" t="s">
        <v>1268</v>
      </c>
      <c r="B397" s="96" t="s">
        <v>279</v>
      </c>
      <c r="C397" s="96" t="s">
        <v>889</v>
      </c>
      <c r="D397" s="96" t="s">
        <v>761</v>
      </c>
      <c r="E397" s="96" t="s">
        <v>463</v>
      </c>
      <c r="F397" s="96" t="s">
        <v>464</v>
      </c>
      <c r="G397" s="97">
        <v>432338</v>
      </c>
      <c r="H397" s="97">
        <v>141517</v>
      </c>
      <c r="I397" s="97">
        <v>14480</v>
      </c>
      <c r="J397" s="98">
        <v>8.0399999999999991</v>
      </c>
      <c r="K397" s="98">
        <v>4.58</v>
      </c>
      <c r="L397" s="99">
        <v>79922.66</v>
      </c>
      <c r="M397" s="100">
        <f t="shared" si="144"/>
        <v>32.732954308897206</v>
      </c>
      <c r="N397" s="100">
        <f t="shared" si="145"/>
        <v>3.3492313884044429</v>
      </c>
      <c r="O397" s="100">
        <f t="shared" si="146"/>
        <v>10.231986263134464</v>
      </c>
      <c r="P397" s="100">
        <f t="shared" si="147"/>
        <v>184.86152038451397</v>
      </c>
      <c r="Q397" s="100">
        <f t="shared" si="148"/>
        <v>33.412775116147934</v>
      </c>
      <c r="R397" s="100">
        <f t="shared" si="149"/>
        <v>27.75136451093497</v>
      </c>
      <c r="S397" s="101">
        <f t="shared" si="150"/>
        <v>45908</v>
      </c>
      <c r="T397" s="102" t="str">
        <f t="shared" si="151"/>
        <v>Septiembre</v>
      </c>
      <c r="U397" s="102" t="str">
        <f t="shared" si="152"/>
        <v>Lunes</v>
      </c>
      <c r="V397" s="102">
        <f t="shared" si="153"/>
        <v>10</v>
      </c>
      <c r="W397" s="102" t="str">
        <f t="shared" si="154"/>
        <v>Resto del mes</v>
      </c>
      <c r="X397" s="102">
        <f t="shared" si="155"/>
        <v>28</v>
      </c>
      <c r="Y397" s="102" t="str">
        <f t="shared" si="156"/>
        <v>Sí</v>
      </c>
      <c r="Z397" s="102" t="str">
        <f>CHOOSE(MATCH(B397,{"Customer Appreciation","Exclusive Offers","Flash Sale","Holiday Discounts","New Product Launch","Newsletter"},0),"Fidelizar","Vender","Vender","Vender","Lanzar","Educar")</f>
        <v>Educar</v>
      </c>
      <c r="AA397" s="102" t="str">
        <f t="shared" si="157"/>
        <v>Más de 400 mil</v>
      </c>
      <c r="AB397" s="102">
        <f>COUNTIFS($E$5:$E$493,E397,$S$5:$S$493,"&lt;"&amp;S397)+COUNTIFS($E$5:E397,E397,$S$5:S397,S397)</f>
        <v>15</v>
      </c>
      <c r="AC397" s="102">
        <f t="shared" si="158"/>
        <v>25</v>
      </c>
      <c r="AD397" s="102" t="str">
        <f t="shared" si="159"/>
        <v>Medio</v>
      </c>
      <c r="AE397" s="103">
        <f t="shared" si="160"/>
        <v>-0.67982080725072791</v>
      </c>
      <c r="AF397" s="102" t="str">
        <f t="shared" si="161"/>
        <v xml:space="preserve"> tu dosis de belleza   no te lo pierdas  tips y trucos </v>
      </c>
      <c r="AG397" s="102" t="str">
        <f t="shared" si="162"/>
        <v xml:space="preserve"> consejos expertos  tendencias y más en tu bandeja de entrada   descúbrelo  </v>
      </c>
      <c r="AH397" s="102" t="str">
        <f>IF(SUMPRODUCT(--(LEFT(IF(LEFT(LOWER(E397),1)="¡",MID(LOWER(E397),2,300),LOWER(E397)),LEN({"actualizaci","el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397" s="102" t="str">
        <f>IF(OR(SUMPRODUCT(--ISNUMBER(SEARCH({"descuento","oferta","ahorr","precio"," sale ","flash","deals"},AF397)))&gt;0,SUMPRODUCT(--ISNUMBER(SEARCH({"descuento","oferta","ahorr","precio"," sale ","flash","deals"},AG397)))&gt;0),"Sí","No")</f>
        <v>No</v>
      </c>
      <c r="AJ397" s="102" t="str">
        <f>IF(SUMPRODUCT(--ISNUMBER(SEARCH({" hoy ","horas","tiempo limitado","antes de que","se acab","se agot","finalic","última oportunidad","oportunidad única","relámpago","express","no esperes","no volver","no parpadees"},AF397)))&gt;0,"Sí","No")</f>
        <v>No</v>
      </c>
      <c r="AK397" s="102" t="str">
        <f>IF(SUMPRODUCT(--ISNUMBER(SEARCH({" hoy ","horas","tiempo limitado","antes de que","se acab","se agot","finalic","última oportunidad","oportunidad única","relámpago","express","no esperes","no volver","no parpadees"},AG397)))&gt;0,"Sí","No")</f>
        <v>No</v>
      </c>
      <c r="AL397" s="102" t="str">
        <f t="shared" si="163"/>
        <v>Sin descuento</v>
      </c>
      <c r="AM397" s="102" t="str">
        <f>IF(SUMPRODUCT(--ISNUMBER(SEARCH({"0","1","2","3","4","5","6","7","8","9","favorit","maquillaje","piel","cabello","productos","belleza","regalo"},E397)))&gt;0,"Sí","No")</f>
        <v>Sí</v>
      </c>
      <c r="AN397" s="102" t="str">
        <f>IF(SUMPRODUCT(--ISNUMBER(SEARCH({"lo que tenemos","estas ofertas","algo especial","ofertas únicas","que preparamos","no te quedes","echa un vistazo"},F397)))&gt;0,"Sí","No")</f>
        <v>No</v>
      </c>
      <c r="AO397" s="102">
        <f t="shared" si="164"/>
        <v>53</v>
      </c>
      <c r="AP397" s="102">
        <f t="shared" si="165"/>
        <v>11</v>
      </c>
      <c r="AQ397" s="102">
        <f>SUMPRODUCT(LEN(E397)-LEN(SUBSTITUTE(E397,{"!","¡","?","¿",":",",",".","%","·","-",";"},"")))</f>
        <v>3</v>
      </c>
      <c r="AR397" s="102" t="str">
        <f t="shared" si="166"/>
        <v>No</v>
      </c>
      <c r="AS397" s="102" t="str">
        <f t="shared" si="167"/>
        <v>No</v>
      </c>
      <c r="AT397" s="102" t="str">
        <f>IF(SUMPRODUCT(--ISNUMBER(FIND({"0","1","2","3","4","5","6","7","8","9"},E397)))&gt;0,"Con cifra concreta",IF(OR(ISNUMBER(FIND("?",E397)),ISNUMBER(FIND("¿",E397))),"Pregunta abierta",IF(SUMPRODUCT(--ISNUMBER(SEARCH({" hoy ","horas","tiempo limitado","antes de que","se acab","se agot","finalic","última oportunidad","oportunidad única","relámpago","express","no esperes","no volver","no parpadees"," ya ","últimas horas","últimas unidades"," ahora "},AF397)))&gt;0,"Solo urgencia, sin cifra",IF(SUMPRODUCT(--ISNUMBER(SEARCH({"recompensa","sorpresa","regalo","lealtad","detalle","gracias","pensamos en ti","para ti"},E397)))&gt;0,"Recompensa o sorpresa","Otro: beneficio o novedad"))))</f>
        <v>Otro: beneficio o novedad</v>
      </c>
    </row>
    <row r="398" spans="1:46" x14ac:dyDescent="0.2">
      <c r="A398" s="104" t="s">
        <v>1269</v>
      </c>
      <c r="B398" s="104" t="s">
        <v>276</v>
      </c>
      <c r="C398" s="104" t="s">
        <v>891</v>
      </c>
      <c r="D398" s="104" t="s">
        <v>786</v>
      </c>
      <c r="E398" s="104" t="s">
        <v>474</v>
      </c>
      <c r="F398" s="104" t="s">
        <v>475</v>
      </c>
      <c r="G398" s="105">
        <v>289259</v>
      </c>
      <c r="H398" s="105">
        <v>50948</v>
      </c>
      <c r="I398" s="105">
        <v>43477</v>
      </c>
      <c r="J398" s="106">
        <v>1.25</v>
      </c>
      <c r="K398" s="106">
        <v>1.18</v>
      </c>
      <c r="L398" s="107">
        <v>87359.06</v>
      </c>
      <c r="M398" s="108">
        <f t="shared" si="144"/>
        <v>17.613280831365664</v>
      </c>
      <c r="N398" s="108">
        <f t="shared" si="145"/>
        <v>15.030474419119196</v>
      </c>
      <c r="O398" s="108">
        <f t="shared" si="146"/>
        <v>85.336028892203814</v>
      </c>
      <c r="P398" s="108">
        <f t="shared" si="147"/>
        <v>302.00982510483681</v>
      </c>
      <c r="Q398" s="108">
        <f t="shared" si="148"/>
        <v>22.775066640377752</v>
      </c>
      <c r="R398" s="108">
        <f t="shared" si="149"/>
        <v>29.440902453236173</v>
      </c>
      <c r="S398" s="101">
        <f t="shared" si="150"/>
        <v>45888</v>
      </c>
      <c r="T398" s="102" t="str">
        <f t="shared" si="151"/>
        <v>Agosto</v>
      </c>
      <c r="U398" s="102" t="str">
        <f t="shared" si="152"/>
        <v>Martes</v>
      </c>
      <c r="V398" s="102">
        <f t="shared" si="153"/>
        <v>15</v>
      </c>
      <c r="W398" s="102" t="str">
        <f t="shared" si="154"/>
        <v>Días después del pago</v>
      </c>
      <c r="X398" s="102">
        <f t="shared" si="155"/>
        <v>29</v>
      </c>
      <c r="Y398" s="102" t="str">
        <f t="shared" si="156"/>
        <v>Sí</v>
      </c>
      <c r="Z398" s="102" t="str">
        <f>CHOOSE(MATCH(B398,{"Customer Appreciation","Exclusive Offers","Flash Sale","Holiday Discounts","New Product Launch","Newsletter"},0),"Fidelizar","Vender","Vender","Vender","Lanzar","Educar")</f>
        <v>Vender</v>
      </c>
      <c r="AA398" s="102" t="str">
        <f t="shared" si="157"/>
        <v>200 a 300 mil</v>
      </c>
      <c r="AB398" s="102">
        <f>COUNTIFS($E$5:$E$493,E398,$S$5:$S$493,"&lt;"&amp;S398)+COUNTIFS($E$5:E398,E398,$S$5:S398,S398)</f>
        <v>6</v>
      </c>
      <c r="AC398" s="102">
        <f t="shared" si="158"/>
        <v>20</v>
      </c>
      <c r="AD398" s="102" t="str">
        <f t="shared" si="159"/>
        <v>Primer tercio</v>
      </c>
      <c r="AE398" s="103">
        <f t="shared" si="160"/>
        <v>-5.1617858090120876</v>
      </c>
      <c r="AF398" s="102" t="str">
        <f t="shared" si="161"/>
        <v xml:space="preserve">  aprovecha antes de que se acabe  oferta flash  productos top </v>
      </c>
      <c r="AG398" s="102" t="str">
        <f t="shared" si="162"/>
        <v xml:space="preserve"> grandes descuentos por tiempo limitado   no te lo pierdas  </v>
      </c>
      <c r="AH398" s="102" t="str">
        <f>IF(SUMPRODUCT(--(LEFT(IF(LEFT(LOWER(E398),1)="¡",MID(LOWER(E398),2,300),LOWER(E398)),LEN({"actualizaci","el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398" s="102" t="str">
        <f>IF(OR(SUMPRODUCT(--ISNUMBER(SEARCH({"descuento","oferta","ahorr","precio"," sale ","flash","deals"},AF398)))&gt;0,SUMPRODUCT(--ISNUMBER(SEARCH({"descuento","oferta","ahorr","precio"," sale ","flash","deals"},AG398)))&gt;0),"Sí","No")</f>
        <v>Sí</v>
      </c>
      <c r="AJ398" s="102" t="str">
        <f>IF(SUMPRODUCT(--ISNUMBER(SEARCH({" hoy ","horas","tiempo limitado","antes de que","se acab","se agot","finalic","última oportunidad","oportunidad única","relámpago","express","no esperes","no volver","no parpadees"},AF398)))&gt;0,"Sí","No")</f>
        <v>Sí</v>
      </c>
      <c r="AK398" s="102" t="str">
        <f>IF(SUMPRODUCT(--ISNUMBER(SEARCH({" hoy ","horas","tiempo limitado","antes de que","se acab","se agot","finalic","última oportunidad","oportunidad única","relámpago","express","no esperes","no volver","no parpadees"},AG398)))&gt;0,"Sí","No")</f>
        <v>Sí</v>
      </c>
      <c r="AL398" s="102" t="str">
        <f t="shared" si="163"/>
        <v>Descuento con tiempo límite en el asunto</v>
      </c>
      <c r="AM398" s="102" t="str">
        <f>IF(SUMPRODUCT(--ISNUMBER(SEARCH({"0","1","2","3","4","5","6","7","8","9","favorit","maquillaje","piel","cabello","productos","belleza","regalo"},E398)))&gt;0,"Sí","No")</f>
        <v>Sí</v>
      </c>
      <c r="AN398" s="102" t="str">
        <f>IF(SUMPRODUCT(--ISNUMBER(SEARCH({"lo que tenemos","estas ofertas","algo especial","ofertas únicas","que preparamos","no te quedes","echa un vistazo"},F398)))&gt;0,"Sí","No")</f>
        <v>No</v>
      </c>
      <c r="AO398" s="102">
        <f t="shared" si="164"/>
        <v>61</v>
      </c>
      <c r="AP398" s="102">
        <f t="shared" si="165"/>
        <v>10</v>
      </c>
      <c r="AQ398" s="102">
        <f>SUMPRODUCT(LEN(E398)-LEN(SUBSTITUTE(E398,{"!","¡","?","¿",":",",",".","%","·","-",";"},"")))</f>
        <v>3</v>
      </c>
      <c r="AR398" s="102" t="str">
        <f t="shared" si="166"/>
        <v>No</v>
      </c>
      <c r="AS398" s="102" t="str">
        <f t="shared" si="167"/>
        <v>No</v>
      </c>
      <c r="AT398" s="102" t="str">
        <f>IF(SUMPRODUCT(--ISNUMBER(FIND({"0","1","2","3","4","5","6","7","8","9"},E398)))&gt;0,"Con cifra concreta",IF(OR(ISNUMBER(FIND("?",E398)),ISNUMBER(FIND("¿",E398))),"Pregunta abierta",IF(SUMPRODUCT(--ISNUMBER(SEARCH({" hoy ","horas","tiempo limitado","antes de que","se acab","se agot","finalic","última oportunidad","oportunidad única","relámpago","express","no esperes","no volver","no parpadees"," ya ","últimas horas","últimas unidades"," ahora "},AF398)))&gt;0,"Solo urgencia, sin cifra",IF(SUMPRODUCT(--ISNUMBER(SEARCH({"recompensa","sorpresa","regalo","lealtad","detalle","gracias","pensamos en ti","para ti"},E398)))&gt;0,"Recompensa o sorpresa","Otro: beneficio o novedad"))))</f>
        <v>Solo urgencia, sin cifra</v>
      </c>
    </row>
    <row r="399" spans="1:46" x14ac:dyDescent="0.2">
      <c r="A399" s="96" t="s">
        <v>1270</v>
      </c>
      <c r="B399" s="96" t="s">
        <v>278</v>
      </c>
      <c r="C399" s="96" t="s">
        <v>915</v>
      </c>
      <c r="D399" s="96" t="s">
        <v>769</v>
      </c>
      <c r="E399" s="96" t="s">
        <v>368</v>
      </c>
      <c r="F399" s="96" t="s">
        <v>471</v>
      </c>
      <c r="G399" s="97">
        <v>403538</v>
      </c>
      <c r="H399" s="97">
        <v>116219</v>
      </c>
      <c r="I399" s="97">
        <v>32082</v>
      </c>
      <c r="J399" s="98">
        <v>5.78</v>
      </c>
      <c r="K399" s="98">
        <v>2.78</v>
      </c>
      <c r="L399" s="99">
        <v>32101.32</v>
      </c>
      <c r="M399" s="100">
        <f t="shared" si="144"/>
        <v>28.800013877255676</v>
      </c>
      <c r="N399" s="100">
        <f t="shared" si="145"/>
        <v>7.9501806521318938</v>
      </c>
      <c r="O399" s="100">
        <f t="shared" si="146"/>
        <v>27.604780629673286</v>
      </c>
      <c r="P399" s="100">
        <f t="shared" si="147"/>
        <v>79.549683053392741</v>
      </c>
      <c r="Q399" s="100">
        <f t="shared" si="148"/>
        <v>23.315840784070005</v>
      </c>
      <c r="R399" s="100">
        <f t="shared" si="149"/>
        <v>29.458247936272421</v>
      </c>
      <c r="S399" s="101">
        <f t="shared" si="150"/>
        <v>45954</v>
      </c>
      <c r="T399" s="102" t="str">
        <f t="shared" si="151"/>
        <v>Octubre</v>
      </c>
      <c r="U399" s="102" t="str">
        <f t="shared" si="152"/>
        <v>Viernes</v>
      </c>
      <c r="V399" s="102">
        <f t="shared" si="153"/>
        <v>13</v>
      </c>
      <c r="W399" s="102" t="str">
        <f t="shared" si="154"/>
        <v>Resto del mes</v>
      </c>
      <c r="X399" s="102">
        <f t="shared" si="155"/>
        <v>29</v>
      </c>
      <c r="Y399" s="102" t="str">
        <f t="shared" si="156"/>
        <v>Sí</v>
      </c>
      <c r="Z399" s="102" t="str">
        <f>CHOOSE(MATCH(B399,{"Customer Appreciation","Exclusive Offers","Flash Sale","Holiday Discounts","New Product Launch","Newsletter"},0),"Fidelizar","Vender","Vender","Vender","Lanzar","Educar")</f>
        <v>Lanzar</v>
      </c>
      <c r="AA399" s="102" t="str">
        <f t="shared" si="157"/>
        <v>Más de 400 mil</v>
      </c>
      <c r="AB399" s="102">
        <f>COUNTIFS($E$5:$E$493,E399,$S$5:$S$493,"&lt;"&amp;S399)+COUNTIFS($E$5:E399,E399,$S$5:S399,S399)</f>
        <v>31</v>
      </c>
      <c r="AC399" s="102">
        <f t="shared" si="158"/>
        <v>33</v>
      </c>
      <c r="AD399" s="102" t="str">
        <f t="shared" si="159"/>
        <v>Último tercio</v>
      </c>
      <c r="AE399" s="103">
        <f t="shared" si="160"/>
        <v>5.4841730931856709</v>
      </c>
      <c r="AF399" s="102" t="str">
        <f t="shared" si="161"/>
        <v xml:space="preserve"> presentamos  nuestro último lanzamiento de belleza  imperdible  </v>
      </c>
      <c r="AG399" s="102" t="str">
        <f t="shared" si="162"/>
        <v xml:space="preserve"> una innovación que cambiará tu rutina   sé de los primeros  </v>
      </c>
      <c r="AH399" s="102" t="str">
        <f>IF(SUMPRODUCT(--(LEFT(IF(LEFT(LOWER(E399),1)="¡",MID(LOWER(E399),2,300),LOWER(E399)),LEN({"actualizaci","el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Sí</v>
      </c>
      <c r="AI399" s="102" t="str">
        <f>IF(OR(SUMPRODUCT(--ISNUMBER(SEARCH({"descuento","oferta","ahorr","precio"," sale ","flash","deals"},AF399)))&gt;0,SUMPRODUCT(--ISNUMBER(SEARCH({"descuento","oferta","ahorr","precio"," sale ","flash","deals"},AG399)))&gt;0),"Sí","No")</f>
        <v>No</v>
      </c>
      <c r="AJ399" s="102" t="str">
        <f>IF(SUMPRODUCT(--ISNUMBER(SEARCH({" hoy ","horas","tiempo limitado","antes de que","se acab","se agot","finalic","última oportunidad","oportunidad única","relámpago","express","no esperes","no volver","no parpadees"},AF399)))&gt;0,"Sí","No")</f>
        <v>No</v>
      </c>
      <c r="AK399" s="102" t="str">
        <f>IF(SUMPRODUCT(--ISNUMBER(SEARCH({" hoy ","horas","tiempo limitado","antes de que","se acab","se agot","finalic","última oportunidad","oportunidad única","relámpago","express","no esperes","no volver","no parpadees"},AG399)))&gt;0,"Sí","No")</f>
        <v>No</v>
      </c>
      <c r="AL399" s="102" t="str">
        <f t="shared" si="163"/>
        <v>Sin descuento</v>
      </c>
      <c r="AM399" s="102" t="str">
        <f>IF(SUMPRODUCT(--ISNUMBER(SEARCH({"0","1","2","3","4","5","6","7","8","9","favorit","maquillaje","piel","cabello","productos","belleza","regalo"},E399)))&gt;0,"Sí","No")</f>
        <v>Sí</v>
      </c>
      <c r="AN399" s="102" t="str">
        <f>IF(SUMPRODUCT(--ISNUMBER(SEARCH({"lo que tenemos","estas ofertas","algo especial","ofertas únicas","que preparamos","no te quedes","echa un vistazo"},F399)))&gt;0,"Sí","No")</f>
        <v>No</v>
      </c>
      <c r="AO399" s="102">
        <f t="shared" si="164"/>
        <v>63</v>
      </c>
      <c r="AP399" s="102">
        <f t="shared" si="165"/>
        <v>7</v>
      </c>
      <c r="AQ399" s="102">
        <f>SUMPRODUCT(LEN(E399)-LEN(SUBSTITUTE(E399,{"!","¡","?","¿",":",",",".","%","·","-",";"},"")))</f>
        <v>3</v>
      </c>
      <c r="AR399" s="102" t="str">
        <f t="shared" si="166"/>
        <v>No</v>
      </c>
      <c r="AS399" s="102" t="str">
        <f t="shared" si="167"/>
        <v>No</v>
      </c>
      <c r="AT399" s="102" t="str">
        <f>IF(SUMPRODUCT(--ISNUMBER(FIND({"0","1","2","3","4","5","6","7","8","9"},E399)))&gt;0,"Con cifra concreta",IF(OR(ISNUMBER(FIND("?",E399)),ISNUMBER(FIND("¿",E399))),"Pregunta abierta",IF(SUMPRODUCT(--ISNUMBER(SEARCH({" hoy ","horas","tiempo limitado","antes de que","se acab","se agot","finalic","última oportunidad","oportunidad única","relámpago","express","no esperes","no volver","no parpadees"," ya ","últimas horas","últimas unidades"," ahora "},AF399)))&gt;0,"Solo urgencia, sin cifra",IF(SUMPRODUCT(--ISNUMBER(SEARCH({"recompensa","sorpresa","regalo","lealtad","detalle","gracias","pensamos en ti","para ti"},E399)))&gt;0,"Recompensa o sorpresa","Otro: beneficio o novedad"))))</f>
        <v>Otro: beneficio o novedad</v>
      </c>
    </row>
    <row r="400" spans="1:46" x14ac:dyDescent="0.2">
      <c r="A400" s="104" t="s">
        <v>1271</v>
      </c>
      <c r="B400" s="104" t="s">
        <v>278</v>
      </c>
      <c r="C400" s="104" t="s">
        <v>917</v>
      </c>
      <c r="D400" s="104" t="s">
        <v>774</v>
      </c>
      <c r="E400" s="104" t="s">
        <v>467</v>
      </c>
      <c r="F400" s="104" t="s">
        <v>468</v>
      </c>
      <c r="G400" s="105">
        <v>196781</v>
      </c>
      <c r="H400" s="105">
        <v>55639</v>
      </c>
      <c r="I400" s="105">
        <v>32799</v>
      </c>
      <c r="J400" s="106">
        <v>4.78</v>
      </c>
      <c r="K400" s="106">
        <v>4.2699999999999996</v>
      </c>
      <c r="L400" s="107">
        <v>31057</v>
      </c>
      <c r="M400" s="108">
        <f t="shared" si="144"/>
        <v>28.274579354714124</v>
      </c>
      <c r="N400" s="108">
        <f t="shared" si="145"/>
        <v>16.667767721477176</v>
      </c>
      <c r="O400" s="108">
        <f t="shared" si="146"/>
        <v>58.949657614263373</v>
      </c>
      <c r="P400" s="108">
        <f t="shared" si="147"/>
        <v>157.82519653828368</v>
      </c>
      <c r="Q400" s="108">
        <f t="shared" si="148"/>
        <v>30.93688234168668</v>
      </c>
      <c r="R400" s="108">
        <f t="shared" si="149"/>
        <v>29.458247936272421</v>
      </c>
      <c r="S400" s="101">
        <f t="shared" si="150"/>
        <v>45916</v>
      </c>
      <c r="T400" s="102" t="str">
        <f t="shared" si="151"/>
        <v>Septiembre</v>
      </c>
      <c r="U400" s="102" t="str">
        <f t="shared" si="152"/>
        <v>Martes</v>
      </c>
      <c r="V400" s="102">
        <f t="shared" si="153"/>
        <v>11</v>
      </c>
      <c r="W400" s="102" t="str">
        <f t="shared" si="154"/>
        <v>Quincena</v>
      </c>
      <c r="X400" s="102">
        <f t="shared" si="155"/>
        <v>27</v>
      </c>
      <c r="Y400" s="102" t="str">
        <f t="shared" si="156"/>
        <v>Sí</v>
      </c>
      <c r="Z400" s="102" t="str">
        <f>CHOOSE(MATCH(B400,{"Customer Appreciation","Exclusive Offers","Flash Sale","Holiday Discounts","New Product Launch","Newsletter"},0),"Fidelizar","Vender","Vender","Vender","Lanzar","Educar")</f>
        <v>Lanzar</v>
      </c>
      <c r="AA400" s="102" t="str">
        <f t="shared" si="157"/>
        <v>100 a 200 mil</v>
      </c>
      <c r="AB400" s="102">
        <f>COUNTIFS($E$5:$E$493,E400,$S$5:$S$493,"&lt;"&amp;S400)+COUNTIFS($E$5:E400,E400,$S$5:S400,S400)</f>
        <v>18</v>
      </c>
      <c r="AC400" s="102">
        <f t="shared" si="158"/>
        <v>22</v>
      </c>
      <c r="AD400" s="102" t="str">
        <f t="shared" si="159"/>
        <v>Último tercio</v>
      </c>
      <c r="AE400" s="103">
        <f t="shared" si="160"/>
        <v>-2.6623029869725556</v>
      </c>
      <c r="AF400" s="102" t="str">
        <f t="shared" si="161"/>
        <v xml:space="preserve">  lo nuevo de l'oréal  te va a encantar  innovación en belleza </v>
      </c>
      <c r="AG400" s="102" t="str">
        <f t="shared" si="162"/>
        <v xml:space="preserve"> prepárate para experimentar la innovación en tu belleza   descúbrela  </v>
      </c>
      <c r="AH400" s="102" t="str">
        <f>IF(SUMPRODUCT(--(LEFT(IF(LEFT(LOWER(E400),1)="¡",MID(LOWER(E400),2,300),LOWER(E400)),LEN({"actualizaci","el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400" s="102" t="str">
        <f>IF(OR(SUMPRODUCT(--ISNUMBER(SEARCH({"descuento","oferta","ahorr","precio"," sale ","flash","deals"},AF400)))&gt;0,SUMPRODUCT(--ISNUMBER(SEARCH({"descuento","oferta","ahorr","precio"," sale ","flash","deals"},AG400)))&gt;0),"Sí","No")</f>
        <v>No</v>
      </c>
      <c r="AJ400" s="102" t="str">
        <f>IF(SUMPRODUCT(--ISNUMBER(SEARCH({" hoy ","horas","tiempo limitado","antes de que","se acab","se agot","finalic","última oportunidad","oportunidad única","relámpago","express","no esperes","no volver","no parpadees"},AF400)))&gt;0,"Sí","No")</f>
        <v>No</v>
      </c>
      <c r="AK400" s="102" t="str">
        <f>IF(SUMPRODUCT(--ISNUMBER(SEARCH({" hoy ","horas","tiempo limitado","antes de que","se acab","se agot","finalic","última oportunidad","oportunidad única","relámpago","express","no esperes","no volver","no parpadees"},AG400)))&gt;0,"Sí","No")</f>
        <v>No</v>
      </c>
      <c r="AL400" s="102" t="str">
        <f t="shared" si="163"/>
        <v>Sin descuento</v>
      </c>
      <c r="AM400" s="102" t="str">
        <f>IF(SUMPRODUCT(--ISNUMBER(SEARCH({"0","1","2","3","4","5","6","7","8","9","favorit","maquillaje","piel","cabello","productos","belleza","regalo"},E400)))&gt;0,"Sí","No")</f>
        <v>Sí</v>
      </c>
      <c r="AN400" s="102" t="str">
        <f>IF(SUMPRODUCT(--ISNUMBER(SEARCH({"lo que tenemos","estas ofertas","algo especial","ofertas únicas","que preparamos","no te quedes","echa un vistazo"},F400)))&gt;0,"Sí","No")</f>
        <v>No</v>
      </c>
      <c r="AO400" s="102">
        <f t="shared" si="164"/>
        <v>61</v>
      </c>
      <c r="AP400" s="102">
        <f t="shared" si="165"/>
        <v>11</v>
      </c>
      <c r="AQ400" s="102">
        <f>SUMPRODUCT(LEN(E400)-LEN(SUBSTITUTE(E400,{"!","¡","?","¿",":",",",".","%","·","-",";"},"")))</f>
        <v>3</v>
      </c>
      <c r="AR400" s="102" t="str">
        <f t="shared" si="166"/>
        <v>No</v>
      </c>
      <c r="AS400" s="102" t="str">
        <f t="shared" si="167"/>
        <v>No</v>
      </c>
      <c r="AT400" s="102" t="str">
        <f>IF(SUMPRODUCT(--ISNUMBER(FIND({"0","1","2","3","4","5","6","7","8","9"},E400)))&gt;0,"Con cifra concreta",IF(OR(ISNUMBER(FIND("?",E400)),ISNUMBER(FIND("¿",E400))),"Pregunta abierta",IF(SUMPRODUCT(--ISNUMBER(SEARCH({" hoy ","horas","tiempo limitado","antes de que","se acab","se agot","finalic","última oportunidad","oportunidad única","relámpago","express","no esperes","no volver","no parpadees"," ya ","últimas horas","últimas unidades"," ahora "},AF400)))&gt;0,"Solo urgencia, sin cifra",IF(SUMPRODUCT(--ISNUMBER(SEARCH({"recompensa","sorpresa","regalo","lealtad","detalle","gracias","pensamos en ti","para ti"},E400)))&gt;0,"Recompensa o sorpresa","Otro: beneficio o novedad"))))</f>
        <v>Otro: beneficio o novedad</v>
      </c>
    </row>
    <row r="401" spans="1:46" x14ac:dyDescent="0.2">
      <c r="A401" s="96" t="s">
        <v>1272</v>
      </c>
      <c r="B401" s="96" t="s">
        <v>275</v>
      </c>
      <c r="C401" s="96" t="s">
        <v>793</v>
      </c>
      <c r="D401" s="96" t="s">
        <v>947</v>
      </c>
      <c r="E401" s="96" t="s">
        <v>455</v>
      </c>
      <c r="F401" s="96" t="s">
        <v>456</v>
      </c>
      <c r="G401" s="97">
        <v>483183</v>
      </c>
      <c r="H401" s="97">
        <v>145455</v>
      </c>
      <c r="I401" s="97">
        <v>46174</v>
      </c>
      <c r="J401" s="98">
        <v>6.73</v>
      </c>
      <c r="K401" s="98">
        <v>1.74</v>
      </c>
      <c r="L401" s="99">
        <v>51603.55</v>
      </c>
      <c r="M401" s="100">
        <f t="shared" si="144"/>
        <v>30.103501157946365</v>
      </c>
      <c r="N401" s="100">
        <f t="shared" si="145"/>
        <v>9.5562136912929478</v>
      </c>
      <c r="O401" s="100">
        <f t="shared" si="146"/>
        <v>31.744525798356882</v>
      </c>
      <c r="P401" s="100">
        <f t="shared" si="147"/>
        <v>106.7991837461169</v>
      </c>
      <c r="Q401" s="100">
        <f t="shared" si="148"/>
        <v>38.720231784441999</v>
      </c>
      <c r="R401" s="100">
        <f t="shared" si="149"/>
        <v>27.021447627328243</v>
      </c>
      <c r="S401" s="101">
        <f t="shared" si="150"/>
        <v>45939</v>
      </c>
      <c r="T401" s="102" t="str">
        <f t="shared" si="151"/>
        <v>Octubre</v>
      </c>
      <c r="U401" s="102" t="str">
        <f t="shared" si="152"/>
        <v>Jueves</v>
      </c>
      <c r="V401" s="102">
        <f t="shared" si="153"/>
        <v>9</v>
      </c>
      <c r="W401" s="102" t="str">
        <f t="shared" si="154"/>
        <v>Resto del mes</v>
      </c>
      <c r="X401" s="102">
        <f t="shared" si="155"/>
        <v>27</v>
      </c>
      <c r="Y401" s="102" t="str">
        <f t="shared" si="156"/>
        <v>Sí</v>
      </c>
      <c r="Z401" s="102" t="str">
        <f>CHOOSE(MATCH(B401,{"Customer Appreciation","Exclusive Offers","Flash Sale","Holiday Discounts","New Product Launch","Newsletter"},0),"Fidelizar","Vender","Vender","Vender","Lanzar","Educar")</f>
        <v>Vender</v>
      </c>
      <c r="AA401" s="102" t="str">
        <f t="shared" si="157"/>
        <v>Más de 400 mil</v>
      </c>
      <c r="AB401" s="102">
        <f>COUNTIFS($E$5:$E$493,E401,$S$5:$S$493,"&lt;"&amp;S401)+COUNTIFS($E$5:E401,E401,$S$5:S401,S401)</f>
        <v>12</v>
      </c>
      <c r="AC401" s="102">
        <f t="shared" si="158"/>
        <v>15</v>
      </c>
      <c r="AD401" s="102" t="str">
        <f t="shared" si="159"/>
        <v>Último tercio</v>
      </c>
      <c r="AE401" s="103">
        <f t="shared" si="160"/>
        <v>-8.6167306264956345</v>
      </c>
      <c r="AF401" s="102" t="str">
        <f t="shared" si="161"/>
        <v xml:space="preserve">  solo un clic te separa de estas ofertas  l'oréal paris </v>
      </c>
      <c r="AG401" s="102" t="str">
        <f t="shared" si="162"/>
        <v xml:space="preserve"> descuentos irresistibles en productos seleccionados   últimas horas  </v>
      </c>
      <c r="AH401" s="102" t="str">
        <f>IF(SUMPRODUCT(--(LEFT(IF(LEFT(LOWER(E401),1)="¡",MID(LOWER(E401),2,300),LOWER(E401)),LEN({"actualizaci","el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401" s="102" t="str">
        <f>IF(OR(SUMPRODUCT(--ISNUMBER(SEARCH({"descuento","oferta","ahorr","precio"," sale ","flash","deals"},AF401)))&gt;0,SUMPRODUCT(--ISNUMBER(SEARCH({"descuento","oferta","ahorr","precio"," sale ","flash","deals"},AG401)))&gt;0),"Sí","No")</f>
        <v>Sí</v>
      </c>
      <c r="AJ401" s="102" t="str">
        <f>IF(SUMPRODUCT(--ISNUMBER(SEARCH({" hoy ","horas","tiempo limitado","antes de que","se acab","se agot","finalic","última oportunidad","oportunidad única","relámpago","express","no esperes","no volver","no parpadees"},AF401)))&gt;0,"Sí","No")</f>
        <v>No</v>
      </c>
      <c r="AK401" s="102" t="str">
        <f>IF(SUMPRODUCT(--ISNUMBER(SEARCH({" hoy ","horas","tiempo limitado","antes de que","se acab","se agot","finalic","última oportunidad","oportunidad única","relámpago","express","no esperes","no volver","no parpadees"},AG401)))&gt;0,"Sí","No")</f>
        <v>Sí</v>
      </c>
      <c r="AL401" s="102" t="str">
        <f t="shared" si="163"/>
        <v>Descuento con tiempo límite solo en el preheader</v>
      </c>
      <c r="AM401" s="102" t="str">
        <f>IF(SUMPRODUCT(--ISNUMBER(SEARCH({"0","1","2","3","4","5","6","7","8","9","favorit","maquillaje","piel","cabello","productos","belleza","regalo"},E401)))&gt;0,"Sí","No")</f>
        <v>No</v>
      </c>
      <c r="AN401" s="102" t="str">
        <f>IF(SUMPRODUCT(--ISNUMBER(SEARCH({"lo que tenemos","estas ofertas","algo especial","ofertas únicas","que preparamos","no te quedes","echa un vistazo"},F401)))&gt;0,"Sí","No")</f>
        <v>No</v>
      </c>
      <c r="AO401" s="102">
        <f t="shared" si="164"/>
        <v>55</v>
      </c>
      <c r="AP401" s="102">
        <f t="shared" si="165"/>
        <v>10</v>
      </c>
      <c r="AQ401" s="102">
        <f>SUMPRODUCT(LEN(E401)-LEN(SUBSTITUTE(E401,{"!","¡","?","¿",":",",",".","%","·","-",";"},"")))</f>
        <v>2</v>
      </c>
      <c r="AR401" s="102" t="str">
        <f t="shared" si="166"/>
        <v>No</v>
      </c>
      <c r="AS401" s="102" t="str">
        <f t="shared" si="167"/>
        <v>No</v>
      </c>
      <c r="AT401" s="102" t="str">
        <f>IF(SUMPRODUCT(--ISNUMBER(FIND({"0","1","2","3","4","5","6","7","8","9"},E401)))&gt;0,"Con cifra concreta",IF(OR(ISNUMBER(FIND("?",E401)),ISNUMBER(FIND("¿",E401))),"Pregunta abierta",IF(SUMPRODUCT(--ISNUMBER(SEARCH({" hoy ","horas","tiempo limitado","antes de que","se acab","se agot","finalic","última oportunidad","oportunidad única","relámpago","express","no esperes","no volver","no parpadees"," ya ","últimas horas","últimas unidades"," ahora "},AF401)))&gt;0,"Solo urgencia, sin cifra",IF(SUMPRODUCT(--ISNUMBER(SEARCH({"recompensa","sorpresa","regalo","lealtad","detalle","gracias","pensamos en ti","para ti"},E401)))&gt;0,"Recompensa o sorpresa","Otro: beneficio o novedad"))))</f>
        <v>Otro: beneficio o novedad</v>
      </c>
    </row>
    <row r="402" spans="1:46" x14ac:dyDescent="0.2">
      <c r="A402" s="104" t="s">
        <v>1273</v>
      </c>
      <c r="B402" s="104" t="s">
        <v>276</v>
      </c>
      <c r="C402" s="104" t="s">
        <v>830</v>
      </c>
      <c r="D402" s="104" t="s">
        <v>950</v>
      </c>
      <c r="E402" s="104" t="s">
        <v>450</v>
      </c>
      <c r="F402" s="104" t="s">
        <v>451</v>
      </c>
      <c r="G402" s="105">
        <v>117158</v>
      </c>
      <c r="H402" s="105">
        <v>43859</v>
      </c>
      <c r="I402" s="105">
        <v>12467</v>
      </c>
      <c r="J402" s="106">
        <v>8.73</v>
      </c>
      <c r="K402" s="106">
        <v>0.95</v>
      </c>
      <c r="L402" s="107">
        <v>67974.38</v>
      </c>
      <c r="M402" s="108">
        <f t="shared" si="144"/>
        <v>37.435770497960021</v>
      </c>
      <c r="N402" s="108">
        <f t="shared" si="145"/>
        <v>10.641185407739975</v>
      </c>
      <c r="O402" s="108">
        <f t="shared" si="146"/>
        <v>28.42518069267425</v>
      </c>
      <c r="P402" s="108">
        <f t="shared" si="147"/>
        <v>580.19409686064967</v>
      </c>
      <c r="Q402" s="108">
        <f t="shared" si="148"/>
        <v>41.593592985418489</v>
      </c>
      <c r="R402" s="108">
        <f t="shared" si="149"/>
        <v>29.440902453236173</v>
      </c>
      <c r="S402" s="101">
        <f t="shared" si="150"/>
        <v>45901</v>
      </c>
      <c r="T402" s="102" t="str">
        <f t="shared" si="151"/>
        <v>Septiembre</v>
      </c>
      <c r="U402" s="102" t="str">
        <f t="shared" si="152"/>
        <v>Lunes</v>
      </c>
      <c r="V402" s="102">
        <f t="shared" si="153"/>
        <v>14</v>
      </c>
      <c r="W402" s="102" t="str">
        <f t="shared" si="154"/>
        <v>Quincena</v>
      </c>
      <c r="X402" s="102">
        <f t="shared" si="155"/>
        <v>29</v>
      </c>
      <c r="Y402" s="102" t="str">
        <f t="shared" si="156"/>
        <v>Sí</v>
      </c>
      <c r="Z402" s="102" t="str">
        <f>CHOOSE(MATCH(B402,{"Customer Appreciation","Exclusive Offers","Flash Sale","Holiday Discounts","New Product Launch","Newsletter"},0),"Fidelizar","Vender","Vender","Vender","Lanzar","Educar")</f>
        <v>Vender</v>
      </c>
      <c r="AA402" s="102" t="str">
        <f t="shared" si="157"/>
        <v>100 a 200 mil</v>
      </c>
      <c r="AB402" s="102">
        <f>COUNTIFS($E$5:$E$493,E402,$S$5:$S$493,"&lt;"&amp;S402)+COUNTIFS($E$5:E402,E402,$S$5:S402,S402)</f>
        <v>8</v>
      </c>
      <c r="AC402" s="102">
        <f t="shared" si="158"/>
        <v>21</v>
      </c>
      <c r="AD402" s="102" t="str">
        <f t="shared" si="159"/>
        <v>Medio</v>
      </c>
      <c r="AE402" s="103">
        <f t="shared" si="160"/>
        <v>-4.1578224874584677</v>
      </c>
      <c r="AF402" s="102" t="str">
        <f t="shared" si="161"/>
        <v xml:space="preserve">  ahorra ya  flash sale  hasta 50% en tus favoritos </v>
      </c>
      <c r="AG402" s="102" t="str">
        <f t="shared" si="162"/>
        <v xml:space="preserve"> edición limitada  maquillaje  cuidado de piel y más   corre  </v>
      </c>
      <c r="AH402" s="102" t="str">
        <f>IF(SUMPRODUCT(--(LEFT(IF(LEFT(LOWER(E402),1)="¡",MID(LOWER(E402),2,300),LOWER(E402)),LEN({"actualizaci","el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402" s="102" t="str">
        <f>IF(OR(SUMPRODUCT(--ISNUMBER(SEARCH({"descuento","oferta","ahorr","precio"," sale ","flash","deals"},AF402)))&gt;0,SUMPRODUCT(--ISNUMBER(SEARCH({"descuento","oferta","ahorr","precio"," sale ","flash","deals"},AG402)))&gt;0),"Sí","No")</f>
        <v>Sí</v>
      </c>
      <c r="AJ402" s="102" t="str">
        <f>IF(SUMPRODUCT(--ISNUMBER(SEARCH({" hoy ","horas","tiempo limitado","antes de que","se acab","se agot","finalic","última oportunidad","oportunidad única","relámpago","express","no esperes","no volver","no parpadees"},AF402)))&gt;0,"Sí","No")</f>
        <v>No</v>
      </c>
      <c r="AK402" s="102" t="str">
        <f>IF(SUMPRODUCT(--ISNUMBER(SEARCH({" hoy ","horas","tiempo limitado","antes de que","se acab","se agot","finalic","última oportunidad","oportunidad única","relámpago","express","no esperes","no volver","no parpadees"},AG402)))&gt;0,"Sí","No")</f>
        <v>No</v>
      </c>
      <c r="AL402" s="102" t="str">
        <f t="shared" si="163"/>
        <v>Descuento sin tiempo límite</v>
      </c>
      <c r="AM402" s="102" t="str">
        <f>IF(SUMPRODUCT(--ISNUMBER(SEARCH({"0","1","2","3","4","5","6","7","8","9","favorit","maquillaje","piel","cabello","productos","belleza","regalo"},E402)))&gt;0,"Sí","No")</f>
        <v>Sí</v>
      </c>
      <c r="AN402" s="102" t="str">
        <f>IF(SUMPRODUCT(--ISNUMBER(SEARCH({"lo que tenemos","estas ofertas","algo especial","ofertas únicas","que preparamos","no te quedes","echa un vistazo"},F402)))&gt;0,"Sí","No")</f>
        <v>No</v>
      </c>
      <c r="AO402" s="102">
        <f t="shared" si="164"/>
        <v>50</v>
      </c>
      <c r="AP402" s="102">
        <f t="shared" si="165"/>
        <v>9</v>
      </c>
      <c r="AQ402" s="102">
        <f>SUMPRODUCT(LEN(E402)-LEN(SUBSTITUTE(E402,{"!","¡","?","¿",":",",",".","%","·","-",";"},"")))</f>
        <v>4</v>
      </c>
      <c r="AR402" s="102" t="str">
        <f t="shared" si="166"/>
        <v>No</v>
      </c>
      <c r="AS402" s="102" t="str">
        <f t="shared" si="167"/>
        <v>No</v>
      </c>
      <c r="AT402" s="102" t="str">
        <f>IF(SUMPRODUCT(--ISNUMBER(FIND({"0","1","2","3","4","5","6","7","8","9"},E402)))&gt;0,"Con cifra concreta",IF(OR(ISNUMBER(FIND("?",E402)),ISNUMBER(FIND("¿",E402))),"Pregunta abierta",IF(SUMPRODUCT(--ISNUMBER(SEARCH({" hoy ","horas","tiempo limitado","antes de que","se acab","se agot","finalic","última oportunidad","oportunidad única","relámpago","express","no esperes","no volver","no parpadees"," ya ","últimas horas","últimas unidades"," ahora "},AF402)))&gt;0,"Solo urgencia, sin cifra",IF(SUMPRODUCT(--ISNUMBER(SEARCH({"recompensa","sorpresa","regalo","lealtad","detalle","gracias","pensamos en ti","para ti"},E402)))&gt;0,"Recompensa o sorpresa","Otro: beneficio o novedad"))))</f>
        <v>Con cifra concreta</v>
      </c>
    </row>
    <row r="403" spans="1:46" x14ac:dyDescent="0.2">
      <c r="A403" s="96" t="s">
        <v>1274</v>
      </c>
      <c r="B403" s="96" t="s">
        <v>275</v>
      </c>
      <c r="C403" s="96" t="s">
        <v>976</v>
      </c>
      <c r="D403" s="96" t="s">
        <v>751</v>
      </c>
      <c r="E403" s="96" t="s">
        <v>478</v>
      </c>
      <c r="F403" s="96" t="s">
        <v>479</v>
      </c>
      <c r="G403" s="97">
        <v>155783</v>
      </c>
      <c r="H403" s="97">
        <v>22137</v>
      </c>
      <c r="I403" s="97">
        <v>6766</v>
      </c>
      <c r="J403" s="98">
        <v>7.11</v>
      </c>
      <c r="K403" s="98">
        <v>3.14</v>
      </c>
      <c r="L403" s="99">
        <v>99217.55</v>
      </c>
      <c r="M403" s="100">
        <f t="shared" si="144"/>
        <v>14.210151300206055</v>
      </c>
      <c r="N403" s="100">
        <f t="shared" si="145"/>
        <v>4.3432210189815326</v>
      </c>
      <c r="O403" s="100">
        <f t="shared" si="146"/>
        <v>30.564213759768709</v>
      </c>
      <c r="P403" s="100">
        <f t="shared" si="147"/>
        <v>636.89587438937497</v>
      </c>
      <c r="Q403" s="100">
        <f t="shared" si="148"/>
        <v>21.363100647493706</v>
      </c>
      <c r="R403" s="100">
        <f t="shared" si="149"/>
        <v>27.021447627328243</v>
      </c>
      <c r="S403" s="101">
        <f t="shared" si="150"/>
        <v>45892</v>
      </c>
      <c r="T403" s="102" t="str">
        <f t="shared" si="151"/>
        <v>Agosto</v>
      </c>
      <c r="U403" s="102" t="str">
        <f t="shared" si="152"/>
        <v>Sábado</v>
      </c>
      <c r="V403" s="102">
        <f t="shared" si="153"/>
        <v>11</v>
      </c>
      <c r="W403" s="102" t="str">
        <f t="shared" si="154"/>
        <v>Resto del mes</v>
      </c>
      <c r="X403" s="102">
        <f t="shared" si="155"/>
        <v>25</v>
      </c>
      <c r="Y403" s="102" t="str">
        <f t="shared" si="156"/>
        <v>Sí</v>
      </c>
      <c r="Z403" s="102" t="str">
        <f>CHOOSE(MATCH(B403,{"Customer Appreciation","Exclusive Offers","Flash Sale","Holiday Discounts","New Product Launch","Newsletter"},0),"Fidelizar","Vender","Vender","Vender","Lanzar","Educar")</f>
        <v>Vender</v>
      </c>
      <c r="AA403" s="102" t="str">
        <f t="shared" si="157"/>
        <v>100 a 200 mil</v>
      </c>
      <c r="AB403" s="102">
        <f>COUNTIFS($E$5:$E$493,E403,$S$5:$S$493,"&lt;"&amp;S403)+COUNTIFS($E$5:E403,E403,$S$5:S403,S403)</f>
        <v>5</v>
      </c>
      <c r="AC403" s="102">
        <f t="shared" si="158"/>
        <v>8</v>
      </c>
      <c r="AD403" s="102" t="str">
        <f t="shared" si="159"/>
        <v>Medio</v>
      </c>
      <c r="AE403" s="103">
        <f t="shared" si="160"/>
        <v>-7.1529493472876506</v>
      </c>
      <c r="AF403" s="102" t="str">
        <f t="shared" si="161"/>
        <v xml:space="preserve">  exclusivo para nuestros clientes vip  acceso limitado </v>
      </c>
      <c r="AG403" s="102" t="str">
        <f t="shared" si="162"/>
        <v xml:space="preserve"> no te pierdas estas ofertas que preparamos para ti   descubre más  </v>
      </c>
      <c r="AH403" s="102" t="str">
        <f>IF(SUMPRODUCT(--(LEFT(IF(LEFT(LOWER(E403),1)="¡",MID(LOWER(E403),2,300),LOWER(E403)),LEN({"actualizaci","el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403" s="102" t="str">
        <f>IF(OR(SUMPRODUCT(--ISNUMBER(SEARCH({"descuento","oferta","ahorr","precio"," sale ","flash","deals"},AF403)))&gt;0,SUMPRODUCT(--ISNUMBER(SEARCH({"descuento","oferta","ahorr","precio"," sale ","flash","deals"},AG403)))&gt;0),"Sí","No")</f>
        <v>Sí</v>
      </c>
      <c r="AJ403" s="102" t="str">
        <f>IF(SUMPRODUCT(--ISNUMBER(SEARCH({" hoy ","horas","tiempo limitado","antes de que","se acab","se agot","finalic","última oportunidad","oportunidad única","relámpago","express","no esperes","no volver","no parpadees"},AF403)))&gt;0,"Sí","No")</f>
        <v>No</v>
      </c>
      <c r="AK403" s="102" t="str">
        <f>IF(SUMPRODUCT(--ISNUMBER(SEARCH({" hoy ","horas","tiempo limitado","antes de que","se acab","se agot","finalic","última oportunidad","oportunidad única","relámpago","express","no esperes","no volver","no parpadees"},AG403)))&gt;0,"Sí","No")</f>
        <v>No</v>
      </c>
      <c r="AL403" s="102" t="str">
        <f t="shared" si="163"/>
        <v>Descuento sin tiempo límite</v>
      </c>
      <c r="AM403" s="102" t="str">
        <f>IF(SUMPRODUCT(--ISNUMBER(SEARCH({"0","1","2","3","4","5","6","7","8","9","favorit","maquillaje","piel","cabello","productos","belleza","regalo"},E403)))&gt;0,"Sí","No")</f>
        <v>No</v>
      </c>
      <c r="AN403" s="102" t="str">
        <f>IF(SUMPRODUCT(--ISNUMBER(SEARCH({"lo que tenemos","estas ofertas","algo especial","ofertas únicas","que preparamos","no te quedes","echa un vistazo"},F403)))&gt;0,"Sí","No")</f>
        <v>Sí</v>
      </c>
      <c r="AO403" s="102">
        <f t="shared" si="164"/>
        <v>54</v>
      </c>
      <c r="AP403" s="102">
        <f t="shared" si="165"/>
        <v>7</v>
      </c>
      <c r="AQ403" s="102">
        <f>SUMPRODUCT(LEN(E403)-LEN(SUBSTITUTE(E403,{"!","¡","?","¿",":",",",".","%","·","-",";"},"")))</f>
        <v>2</v>
      </c>
      <c r="AR403" s="102" t="str">
        <f t="shared" si="166"/>
        <v>Sí</v>
      </c>
      <c r="AS403" s="102" t="str">
        <f t="shared" si="167"/>
        <v>No</v>
      </c>
      <c r="AT403" s="102" t="str">
        <f>IF(SUMPRODUCT(--ISNUMBER(FIND({"0","1","2","3","4","5","6","7","8","9"},E403)))&gt;0,"Con cifra concreta",IF(OR(ISNUMBER(FIND("?",E403)),ISNUMBER(FIND("¿",E403))),"Pregunta abierta",IF(SUMPRODUCT(--ISNUMBER(SEARCH({" hoy ","horas","tiempo limitado","antes de que","se acab","se agot","finalic","última oportunidad","oportunidad única","relámpago","express","no esperes","no volver","no parpadees"," ya ","últimas horas","últimas unidades"," ahora "},AF403)))&gt;0,"Solo urgencia, sin cifra",IF(SUMPRODUCT(--ISNUMBER(SEARCH({"recompensa","sorpresa","regalo","lealtad","detalle","gracias","pensamos en ti","para ti"},E403)))&gt;0,"Recompensa o sorpresa","Otro: beneficio o novedad"))))</f>
        <v>Otro: beneficio o novedad</v>
      </c>
    </row>
    <row r="404" spans="1:46" x14ac:dyDescent="0.2">
      <c r="A404" s="104" t="s">
        <v>1275</v>
      </c>
      <c r="B404" s="104" t="s">
        <v>276</v>
      </c>
      <c r="C404" s="104" t="s">
        <v>742</v>
      </c>
      <c r="D404" s="104" t="s">
        <v>702</v>
      </c>
      <c r="E404" s="104" t="s">
        <v>474</v>
      </c>
      <c r="F404" s="104" t="s">
        <v>475</v>
      </c>
      <c r="G404" s="105">
        <v>347539</v>
      </c>
      <c r="H404" s="105">
        <v>83569</v>
      </c>
      <c r="I404" s="105">
        <v>11400</v>
      </c>
      <c r="J404" s="106">
        <v>9.09</v>
      </c>
      <c r="K404" s="106">
        <v>1.55</v>
      </c>
      <c r="L404" s="107">
        <v>4300.99</v>
      </c>
      <c r="M404" s="108">
        <f t="shared" si="144"/>
        <v>24.045934413116228</v>
      </c>
      <c r="N404" s="108">
        <f t="shared" si="145"/>
        <v>3.2802074011837519</v>
      </c>
      <c r="O404" s="108">
        <f t="shared" si="146"/>
        <v>13.641422058418792</v>
      </c>
      <c r="P404" s="108">
        <f t="shared" si="147"/>
        <v>12.375560728436232</v>
      </c>
      <c r="Q404" s="108">
        <f t="shared" si="148"/>
        <v>22.775066640377752</v>
      </c>
      <c r="R404" s="108">
        <f t="shared" si="149"/>
        <v>29.440902453236173</v>
      </c>
      <c r="S404" s="101">
        <f t="shared" si="150"/>
        <v>45948</v>
      </c>
      <c r="T404" s="102" t="str">
        <f t="shared" si="151"/>
        <v>Octubre</v>
      </c>
      <c r="U404" s="102" t="str">
        <f t="shared" si="152"/>
        <v>Sábado</v>
      </c>
      <c r="V404" s="102">
        <f t="shared" si="153"/>
        <v>16</v>
      </c>
      <c r="W404" s="102" t="str">
        <f t="shared" si="154"/>
        <v>Días después del pago</v>
      </c>
      <c r="X404" s="102">
        <f t="shared" si="155"/>
        <v>27</v>
      </c>
      <c r="Y404" s="102" t="str">
        <f t="shared" si="156"/>
        <v>Sí</v>
      </c>
      <c r="Z404" s="102" t="str">
        <f>CHOOSE(MATCH(B404,{"Customer Appreciation","Exclusive Offers","Flash Sale","Holiday Discounts","New Product Launch","Newsletter"},0),"Fidelizar","Vender","Vender","Vender","Lanzar","Educar")</f>
        <v>Vender</v>
      </c>
      <c r="AA404" s="102" t="str">
        <f t="shared" si="157"/>
        <v>300 a 400 mil</v>
      </c>
      <c r="AB404" s="102">
        <f>COUNTIFS($E$5:$E$493,E404,$S$5:$S$493,"&lt;"&amp;S404)+COUNTIFS($E$5:E404,E404,$S$5:S404,S404)</f>
        <v>20</v>
      </c>
      <c r="AC404" s="102">
        <f t="shared" si="158"/>
        <v>20</v>
      </c>
      <c r="AD404" s="102" t="str">
        <f t="shared" si="159"/>
        <v>Último tercio</v>
      </c>
      <c r="AE404" s="103">
        <f t="shared" si="160"/>
        <v>1.2708677727384767</v>
      </c>
      <c r="AF404" s="102" t="str">
        <f t="shared" si="161"/>
        <v xml:space="preserve">  aprovecha antes de que se acabe  oferta flash  productos top </v>
      </c>
      <c r="AG404" s="102" t="str">
        <f t="shared" si="162"/>
        <v xml:space="preserve"> grandes descuentos por tiempo limitado   no te lo pierdas  </v>
      </c>
      <c r="AH404" s="102" t="str">
        <f>IF(SUMPRODUCT(--(LEFT(IF(LEFT(LOWER(E404),1)="¡",MID(LOWER(E404),2,300),LOWER(E404)),LEN({"actualizaci","el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404" s="102" t="str">
        <f>IF(OR(SUMPRODUCT(--ISNUMBER(SEARCH({"descuento","oferta","ahorr","precio"," sale ","flash","deals"},AF404)))&gt;0,SUMPRODUCT(--ISNUMBER(SEARCH({"descuento","oferta","ahorr","precio"," sale ","flash","deals"},AG404)))&gt;0),"Sí","No")</f>
        <v>Sí</v>
      </c>
      <c r="AJ404" s="102" t="str">
        <f>IF(SUMPRODUCT(--ISNUMBER(SEARCH({" hoy ","horas","tiempo limitado","antes de que","se acab","se agot","finalic","última oportunidad","oportunidad única","relámpago","express","no esperes","no volver","no parpadees"},AF404)))&gt;0,"Sí","No")</f>
        <v>Sí</v>
      </c>
      <c r="AK404" s="102" t="str">
        <f>IF(SUMPRODUCT(--ISNUMBER(SEARCH({" hoy ","horas","tiempo limitado","antes de que","se acab","se agot","finalic","última oportunidad","oportunidad única","relámpago","express","no esperes","no volver","no parpadees"},AG404)))&gt;0,"Sí","No")</f>
        <v>Sí</v>
      </c>
      <c r="AL404" s="102" t="str">
        <f t="shared" si="163"/>
        <v>Descuento con tiempo límite en el asunto</v>
      </c>
      <c r="AM404" s="102" t="str">
        <f>IF(SUMPRODUCT(--ISNUMBER(SEARCH({"0","1","2","3","4","5","6","7","8","9","favorit","maquillaje","piel","cabello","productos","belleza","regalo"},E404)))&gt;0,"Sí","No")</f>
        <v>Sí</v>
      </c>
      <c r="AN404" s="102" t="str">
        <f>IF(SUMPRODUCT(--ISNUMBER(SEARCH({"lo que tenemos","estas ofertas","algo especial","ofertas únicas","que preparamos","no te quedes","echa un vistazo"},F404)))&gt;0,"Sí","No")</f>
        <v>No</v>
      </c>
      <c r="AO404" s="102">
        <f t="shared" si="164"/>
        <v>61</v>
      </c>
      <c r="AP404" s="102">
        <f t="shared" si="165"/>
        <v>10</v>
      </c>
      <c r="AQ404" s="102">
        <f>SUMPRODUCT(LEN(E404)-LEN(SUBSTITUTE(E404,{"!","¡","?","¿",":",",",".","%","·","-",";"},"")))</f>
        <v>3</v>
      </c>
      <c r="AR404" s="102" t="str">
        <f t="shared" si="166"/>
        <v>No</v>
      </c>
      <c r="AS404" s="102" t="str">
        <f t="shared" si="167"/>
        <v>No</v>
      </c>
      <c r="AT404" s="102" t="str">
        <f>IF(SUMPRODUCT(--ISNUMBER(FIND({"0","1","2","3","4","5","6","7","8","9"},E404)))&gt;0,"Con cifra concreta",IF(OR(ISNUMBER(FIND("?",E404)),ISNUMBER(FIND("¿",E404))),"Pregunta abierta",IF(SUMPRODUCT(--ISNUMBER(SEARCH({" hoy ","horas","tiempo limitado","antes de que","se acab","se agot","finalic","última oportunidad","oportunidad única","relámpago","express","no esperes","no volver","no parpadees"," ya ","últimas horas","últimas unidades"," ahora "},AF404)))&gt;0,"Solo urgencia, sin cifra",IF(SUMPRODUCT(--ISNUMBER(SEARCH({"recompensa","sorpresa","regalo","lealtad","detalle","gracias","pensamos en ti","para ti"},E404)))&gt;0,"Recompensa o sorpresa","Otro: beneficio o novedad"))))</f>
        <v>Solo urgencia, sin cifra</v>
      </c>
    </row>
    <row r="405" spans="1:46" x14ac:dyDescent="0.2">
      <c r="A405" s="96" t="s">
        <v>1276</v>
      </c>
      <c r="B405" s="96" t="s">
        <v>277</v>
      </c>
      <c r="C405" s="96" t="s">
        <v>773</v>
      </c>
      <c r="D405" s="96" t="s">
        <v>707</v>
      </c>
      <c r="E405" s="96" t="s">
        <v>461</v>
      </c>
      <c r="F405" s="96" t="s">
        <v>462</v>
      </c>
      <c r="G405" s="97">
        <v>419720</v>
      </c>
      <c r="H405" s="97">
        <v>56127</v>
      </c>
      <c r="I405" s="97">
        <v>37311</v>
      </c>
      <c r="J405" s="98">
        <v>9.44</v>
      </c>
      <c r="K405" s="98">
        <v>3.73</v>
      </c>
      <c r="L405" s="99">
        <v>23259.64</v>
      </c>
      <c r="M405" s="100">
        <f t="shared" si="144"/>
        <v>13.372486419517774</v>
      </c>
      <c r="N405" s="100">
        <f t="shared" si="145"/>
        <v>8.8894977604117038</v>
      </c>
      <c r="O405" s="100">
        <f t="shared" si="146"/>
        <v>66.476027580308937</v>
      </c>
      <c r="P405" s="100">
        <f t="shared" si="147"/>
        <v>55.417039931382824</v>
      </c>
      <c r="Q405" s="100">
        <f t="shared" si="148"/>
        <v>35.409886702202286</v>
      </c>
      <c r="R405" s="100">
        <f t="shared" si="149"/>
        <v>30.71114383300629</v>
      </c>
      <c r="S405" s="101">
        <f t="shared" si="150"/>
        <v>45909</v>
      </c>
      <c r="T405" s="102" t="str">
        <f t="shared" si="151"/>
        <v>Septiembre</v>
      </c>
      <c r="U405" s="102" t="str">
        <f t="shared" si="152"/>
        <v>Martes</v>
      </c>
      <c r="V405" s="102">
        <f t="shared" si="153"/>
        <v>13</v>
      </c>
      <c r="W405" s="102" t="str">
        <f t="shared" si="154"/>
        <v>Resto del mes</v>
      </c>
      <c r="X405" s="102">
        <f t="shared" si="155"/>
        <v>28</v>
      </c>
      <c r="Y405" s="102" t="str">
        <f t="shared" si="156"/>
        <v>Sí</v>
      </c>
      <c r="Z405" s="102" t="str">
        <f>CHOOSE(MATCH(B405,{"Customer Appreciation","Exclusive Offers","Flash Sale","Holiday Discounts","New Product Launch","Newsletter"},0),"Fidelizar","Vender","Vender","Vender","Lanzar","Educar")</f>
        <v>Vender</v>
      </c>
      <c r="AA405" s="102" t="str">
        <f t="shared" si="157"/>
        <v>Más de 400 mil</v>
      </c>
      <c r="AB405" s="102">
        <f>COUNTIFS($E$5:$E$493,E405,$S$5:$S$493,"&lt;"&amp;S405)+COUNTIFS($E$5:E405,E405,$S$5:S405,S405)</f>
        <v>20</v>
      </c>
      <c r="AC405" s="102">
        <f t="shared" si="158"/>
        <v>30</v>
      </c>
      <c r="AD405" s="102" t="str">
        <f t="shared" si="159"/>
        <v>Medio</v>
      </c>
      <c r="AE405" s="103">
        <f t="shared" si="160"/>
        <v>-22.037400282684512</v>
      </c>
      <c r="AF405" s="102" t="str">
        <f t="shared" si="161"/>
        <v xml:space="preserve">  regalos perfectos te esperan  descuentos de lujo  l'oréal </v>
      </c>
      <c r="AG405" s="102" t="str">
        <f t="shared" si="162"/>
        <v xml:space="preserve"> encuentra ese detalle especial para ti o tus seres queridos   descubre  </v>
      </c>
      <c r="AH405" s="102" t="str">
        <f>IF(SUMPRODUCT(--(LEFT(IF(LEFT(LOWER(E405),1)="¡",MID(LOWER(E405),2,300),LOWER(E405)),LEN({"actualizaci","el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405" s="102" t="str">
        <f>IF(OR(SUMPRODUCT(--ISNUMBER(SEARCH({"descuento","oferta","ahorr","precio"," sale ","flash","deals"},AF405)))&gt;0,SUMPRODUCT(--ISNUMBER(SEARCH({"descuento","oferta","ahorr","precio"," sale ","flash","deals"},AG405)))&gt;0),"Sí","No")</f>
        <v>Sí</v>
      </c>
      <c r="AJ405" s="102" t="str">
        <f>IF(SUMPRODUCT(--ISNUMBER(SEARCH({" hoy ","horas","tiempo limitado","antes de que","se acab","se agot","finalic","última oportunidad","oportunidad única","relámpago","express","no esperes","no volver","no parpadees"},AF405)))&gt;0,"Sí","No")</f>
        <v>No</v>
      </c>
      <c r="AK405" s="102" t="str">
        <f>IF(SUMPRODUCT(--ISNUMBER(SEARCH({" hoy ","horas","tiempo limitado","antes de que","se acab","se agot","finalic","última oportunidad","oportunidad única","relámpago","express","no esperes","no volver","no parpadees"},AG405)))&gt;0,"Sí","No")</f>
        <v>No</v>
      </c>
      <c r="AL405" s="102" t="str">
        <f t="shared" si="163"/>
        <v>Descuento sin tiempo límite</v>
      </c>
      <c r="AM405" s="102" t="str">
        <f>IF(SUMPRODUCT(--ISNUMBER(SEARCH({"0","1","2","3","4","5","6","7","8","9","favorit","maquillaje","piel","cabello","productos","belleza","regalo"},E405)))&gt;0,"Sí","No")</f>
        <v>Sí</v>
      </c>
      <c r="AN405" s="102" t="str">
        <f>IF(SUMPRODUCT(--ISNUMBER(SEARCH({"lo que tenemos","estas ofertas","algo especial","ofertas únicas","que preparamos","no te quedes","echa un vistazo"},F405)))&gt;0,"Sí","No")</f>
        <v>No</v>
      </c>
      <c r="AO405" s="102">
        <f t="shared" si="164"/>
        <v>58</v>
      </c>
      <c r="AP405" s="102">
        <f t="shared" si="165"/>
        <v>8</v>
      </c>
      <c r="AQ405" s="102">
        <f>SUMPRODUCT(LEN(E405)-LEN(SUBSTITUTE(E405,{"!","¡","?","¿",":",",",".","%","·","-",";"},"")))</f>
        <v>3</v>
      </c>
      <c r="AR405" s="102" t="str">
        <f t="shared" si="166"/>
        <v>Sí</v>
      </c>
      <c r="AS405" s="102" t="str">
        <f t="shared" si="167"/>
        <v>No</v>
      </c>
      <c r="AT405" s="102" t="str">
        <f>IF(SUMPRODUCT(--ISNUMBER(FIND({"0","1","2","3","4","5","6","7","8","9"},E405)))&gt;0,"Con cifra concreta",IF(OR(ISNUMBER(FIND("?",E405)),ISNUMBER(FIND("¿",E405))),"Pregunta abierta",IF(SUMPRODUCT(--ISNUMBER(SEARCH({" hoy ","horas","tiempo limitado","antes de que","se acab","se agot","finalic","última oportunidad","oportunidad única","relámpago","express","no esperes","no volver","no parpadees"," ya ","últimas horas","últimas unidades"," ahora "},AF405)))&gt;0,"Solo urgencia, sin cifra",IF(SUMPRODUCT(--ISNUMBER(SEARCH({"recompensa","sorpresa","regalo","lealtad","detalle","gracias","pensamos en ti","para ti"},E405)))&gt;0,"Recompensa o sorpresa","Otro: beneficio o novedad"))))</f>
        <v>Recompensa o sorpresa</v>
      </c>
    </row>
    <row r="406" spans="1:46" x14ac:dyDescent="0.2">
      <c r="A406" s="104" t="s">
        <v>1277</v>
      </c>
      <c r="B406" s="104" t="s">
        <v>274</v>
      </c>
      <c r="C406" s="104" t="s">
        <v>980</v>
      </c>
      <c r="D406" s="104" t="s">
        <v>824</v>
      </c>
      <c r="E406" s="104" t="s">
        <v>453</v>
      </c>
      <c r="F406" s="104" t="s">
        <v>454</v>
      </c>
      <c r="G406" s="105">
        <v>83623</v>
      </c>
      <c r="H406" s="105">
        <v>37657</v>
      </c>
      <c r="I406" s="105">
        <v>16503</v>
      </c>
      <c r="J406" s="106">
        <v>2.61</v>
      </c>
      <c r="K406" s="106">
        <v>1.24</v>
      </c>
      <c r="L406" s="107">
        <v>56164.160000000003</v>
      </c>
      <c r="M406" s="108">
        <f t="shared" si="144"/>
        <v>45.031869222582301</v>
      </c>
      <c r="N406" s="108">
        <f t="shared" si="145"/>
        <v>19.735001136051086</v>
      </c>
      <c r="O406" s="108">
        <f t="shared" si="146"/>
        <v>43.82452133733436</v>
      </c>
      <c r="P406" s="108">
        <f t="shared" si="147"/>
        <v>671.6353156428255</v>
      </c>
      <c r="Q406" s="108">
        <f t="shared" si="148"/>
        <v>39.210446566150395</v>
      </c>
      <c r="R406" s="108">
        <f t="shared" si="149"/>
        <v>31.113650744455075</v>
      </c>
      <c r="S406" s="101">
        <f t="shared" si="150"/>
        <v>45875</v>
      </c>
      <c r="T406" s="102" t="str">
        <f t="shared" si="151"/>
        <v>Agosto</v>
      </c>
      <c r="U406" s="102" t="str">
        <f t="shared" si="152"/>
        <v>Miércoles</v>
      </c>
      <c r="V406" s="102">
        <f t="shared" si="153"/>
        <v>10</v>
      </c>
      <c r="W406" s="102" t="str">
        <f t="shared" si="154"/>
        <v>Resto del mes</v>
      </c>
      <c r="X406" s="102">
        <f t="shared" si="155"/>
        <v>28</v>
      </c>
      <c r="Y406" s="102" t="str">
        <f t="shared" si="156"/>
        <v>Sí</v>
      </c>
      <c r="Z406" s="102" t="str">
        <f>CHOOSE(MATCH(B406,{"Customer Appreciation","Exclusive Offers","Flash Sale","Holiday Discounts","New Product Launch","Newsletter"},0),"Fidelizar","Vender","Vender","Vender","Lanzar","Educar")</f>
        <v>Fidelizar</v>
      </c>
      <c r="AA406" s="102" t="str">
        <f t="shared" si="157"/>
        <v>Menos de 100 mil</v>
      </c>
      <c r="AB406" s="102">
        <f>COUNTIFS($E$5:$E$493,E406,$S$5:$S$493,"&lt;"&amp;S406)+COUNTIFS($E$5:E406,E406,$S$5:S406,S406)</f>
        <v>3</v>
      </c>
      <c r="AC406" s="102">
        <f t="shared" si="158"/>
        <v>20</v>
      </c>
      <c r="AD406" s="102" t="str">
        <f t="shared" si="159"/>
        <v>Primer tercio</v>
      </c>
      <c r="AE406" s="103">
        <f t="shared" si="160"/>
        <v>5.8214226564319063</v>
      </c>
      <c r="AF406" s="102" t="str">
        <f t="shared" si="161"/>
        <v xml:space="preserve">  pensamos en ti  descubre estas sorpresas exclusivas </v>
      </c>
      <c r="AG406" s="102" t="str">
        <f t="shared" si="162"/>
        <v xml:space="preserve"> ofertas exclusivas por tu lealtad a l'oréal   aprovecha  </v>
      </c>
      <c r="AH406" s="102" t="str">
        <f>IF(SUMPRODUCT(--(LEFT(IF(LEFT(LOWER(E406),1)="¡",MID(LOWER(E406),2,300),LOWER(E406)),LEN({"actualizaci","el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406" s="102" t="str">
        <f>IF(OR(SUMPRODUCT(--ISNUMBER(SEARCH({"descuento","oferta","ahorr","precio"," sale ","flash","deals"},AF406)))&gt;0,SUMPRODUCT(--ISNUMBER(SEARCH({"descuento","oferta","ahorr","precio"," sale ","flash","deals"},AG406)))&gt;0),"Sí","No")</f>
        <v>Sí</v>
      </c>
      <c r="AJ406" s="102" t="str">
        <f>IF(SUMPRODUCT(--ISNUMBER(SEARCH({" hoy ","horas","tiempo limitado","antes de que","se acab","se agot","finalic","última oportunidad","oportunidad única","relámpago","express","no esperes","no volver","no parpadees"},AF406)))&gt;0,"Sí","No")</f>
        <v>No</v>
      </c>
      <c r="AK406" s="102" t="str">
        <f>IF(SUMPRODUCT(--ISNUMBER(SEARCH({" hoy ","horas","tiempo limitado","antes de que","se acab","se agot","finalic","última oportunidad","oportunidad única","relámpago","express","no esperes","no volver","no parpadees"},AG406)))&gt;0,"Sí","No")</f>
        <v>No</v>
      </c>
      <c r="AL406" s="102" t="str">
        <f t="shared" si="163"/>
        <v>Descuento sin tiempo límite</v>
      </c>
      <c r="AM406" s="102" t="str">
        <f>IF(SUMPRODUCT(--ISNUMBER(SEARCH({"0","1","2","3","4","5","6","7","8","9","favorit","maquillaje","piel","cabello","productos","belleza","regalo"},E406)))&gt;0,"Sí","No")</f>
        <v>No</v>
      </c>
      <c r="AN406" s="102" t="str">
        <f>IF(SUMPRODUCT(--ISNUMBER(SEARCH({"lo que tenemos","estas ofertas","algo especial","ofertas únicas","que preparamos","no te quedes","echa un vistazo"},F406)))&gt;0,"Sí","No")</f>
        <v>No</v>
      </c>
      <c r="AO406" s="102">
        <f t="shared" si="164"/>
        <v>52</v>
      </c>
      <c r="AP406" s="102">
        <f t="shared" si="165"/>
        <v>7</v>
      </c>
      <c r="AQ406" s="102">
        <f>SUMPRODUCT(LEN(E406)-LEN(SUBSTITUTE(E406,{"!","¡","?","¿",":",",",".","%","·","-",";"},"")))</f>
        <v>2</v>
      </c>
      <c r="AR406" s="102" t="str">
        <f t="shared" si="166"/>
        <v>Sí</v>
      </c>
      <c r="AS406" s="102" t="str">
        <f t="shared" si="167"/>
        <v>No</v>
      </c>
      <c r="AT406" s="102" t="str">
        <f>IF(SUMPRODUCT(--ISNUMBER(FIND({"0","1","2","3","4","5","6","7","8","9"},E406)))&gt;0,"Con cifra concreta",IF(OR(ISNUMBER(FIND("?",E406)),ISNUMBER(FIND("¿",E406))),"Pregunta abierta",IF(SUMPRODUCT(--ISNUMBER(SEARCH({" hoy ","horas","tiempo limitado","antes de que","se acab","se agot","finalic","última oportunidad","oportunidad única","relámpago","express","no esperes","no volver","no parpadees"," ya ","últimas horas","últimas unidades"," ahora "},AF406)))&gt;0,"Solo urgencia, sin cifra",IF(SUMPRODUCT(--ISNUMBER(SEARCH({"recompensa","sorpresa","regalo","lealtad","detalle","gracias","pensamos en ti","para ti"},E406)))&gt;0,"Recompensa o sorpresa","Otro: beneficio o novedad"))))</f>
        <v>Recompensa o sorpresa</v>
      </c>
    </row>
    <row r="407" spans="1:46" x14ac:dyDescent="0.2">
      <c r="A407" s="96" t="s">
        <v>1278</v>
      </c>
      <c r="B407" s="96" t="s">
        <v>277</v>
      </c>
      <c r="C407" s="96" t="s">
        <v>815</v>
      </c>
      <c r="D407" s="96" t="s">
        <v>764</v>
      </c>
      <c r="E407" s="96" t="s">
        <v>469</v>
      </c>
      <c r="F407" s="96" t="s">
        <v>470</v>
      </c>
      <c r="G407" s="97">
        <v>460669</v>
      </c>
      <c r="H407" s="97">
        <v>206606</v>
      </c>
      <c r="I407" s="97">
        <v>47317</v>
      </c>
      <c r="J407" s="98">
        <v>9.84</v>
      </c>
      <c r="K407" s="98">
        <v>4.12</v>
      </c>
      <c r="L407" s="99">
        <v>23223.45</v>
      </c>
      <c r="M407" s="100">
        <f t="shared" si="144"/>
        <v>44.849121603580876</v>
      </c>
      <c r="N407" s="100">
        <f t="shared" si="145"/>
        <v>10.271366208709507</v>
      </c>
      <c r="O407" s="100">
        <f t="shared" si="146"/>
        <v>22.902045439145038</v>
      </c>
      <c r="P407" s="100">
        <f t="shared" si="147"/>
        <v>50.412443641747117</v>
      </c>
      <c r="Q407" s="100">
        <f t="shared" si="148"/>
        <v>29.233022524783024</v>
      </c>
      <c r="R407" s="100">
        <f t="shared" si="149"/>
        <v>30.71114383300629</v>
      </c>
      <c r="S407" s="101">
        <f t="shared" si="150"/>
        <v>45959</v>
      </c>
      <c r="T407" s="102" t="str">
        <f t="shared" si="151"/>
        <v>Octubre</v>
      </c>
      <c r="U407" s="102" t="str">
        <f t="shared" si="152"/>
        <v>Miércoles</v>
      </c>
      <c r="V407" s="102">
        <f t="shared" si="153"/>
        <v>15</v>
      </c>
      <c r="W407" s="102" t="str">
        <f t="shared" si="154"/>
        <v>Resto del mes</v>
      </c>
      <c r="X407" s="102">
        <f t="shared" si="155"/>
        <v>27</v>
      </c>
      <c r="Y407" s="102" t="str">
        <f t="shared" si="156"/>
        <v>Sí</v>
      </c>
      <c r="Z407" s="102" t="str">
        <f>CHOOSE(MATCH(B407,{"Customer Appreciation","Exclusive Offers","Flash Sale","Holiday Discounts","New Product Launch","Newsletter"},0),"Fidelizar","Vender","Vender","Vender","Lanzar","Educar")</f>
        <v>Vender</v>
      </c>
      <c r="AA407" s="102" t="str">
        <f t="shared" si="157"/>
        <v>Más de 400 mil</v>
      </c>
      <c r="AB407" s="102">
        <f>COUNTIFS($E$5:$E$493,E407,$S$5:$S$493,"&lt;"&amp;S407)+COUNTIFS($E$5:E407,E407,$S$5:S407,S407)</f>
        <v>19</v>
      </c>
      <c r="AC407" s="102">
        <f t="shared" si="158"/>
        <v>20</v>
      </c>
      <c r="AD407" s="102" t="str">
        <f t="shared" si="159"/>
        <v>Último tercio</v>
      </c>
      <c r="AE407" s="103">
        <f t="shared" si="160"/>
        <v>15.616099078797852</v>
      </c>
      <c r="AF407" s="102" t="str">
        <f t="shared" si="161"/>
        <v xml:space="preserve">  celebra con nosotros  descuentos festivos para regalar </v>
      </c>
      <c r="AG407" s="102" t="str">
        <f t="shared" si="162"/>
        <v xml:space="preserve"> regalos perfectos y ofertas que te encantarán   descubre más  </v>
      </c>
      <c r="AH407" s="102" t="str">
        <f>IF(SUMPRODUCT(--(LEFT(IF(LEFT(LOWER(E407),1)="¡",MID(LOWER(E407),2,300),LOWER(E407)),LEN({"actualizaci","el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407" s="102" t="str">
        <f>IF(OR(SUMPRODUCT(--ISNUMBER(SEARCH({"descuento","oferta","ahorr","precio"," sale ","flash","deals"},AF407)))&gt;0,SUMPRODUCT(--ISNUMBER(SEARCH({"descuento","oferta","ahorr","precio"," sale ","flash","deals"},AG407)))&gt;0),"Sí","No")</f>
        <v>Sí</v>
      </c>
      <c r="AJ407" s="102" t="str">
        <f>IF(SUMPRODUCT(--ISNUMBER(SEARCH({" hoy ","horas","tiempo limitado","antes de que","se acab","se agot","finalic","última oportunidad","oportunidad única","relámpago","express","no esperes","no volver","no parpadees"},AF407)))&gt;0,"Sí","No")</f>
        <v>No</v>
      </c>
      <c r="AK407" s="102" t="str">
        <f>IF(SUMPRODUCT(--ISNUMBER(SEARCH({" hoy ","horas","tiempo limitado","antes de que","se acab","se agot","finalic","última oportunidad","oportunidad única","relámpago","express","no esperes","no volver","no parpadees"},AG407)))&gt;0,"Sí","No")</f>
        <v>No</v>
      </c>
      <c r="AL407" s="102" t="str">
        <f t="shared" si="163"/>
        <v>Descuento sin tiempo límite</v>
      </c>
      <c r="AM407" s="102" t="str">
        <f>IF(SUMPRODUCT(--ISNUMBER(SEARCH({"0","1","2","3","4","5","6","7","8","9","favorit","maquillaje","piel","cabello","productos","belleza","regalo"},E407)))&gt;0,"Sí","No")</f>
        <v>No</v>
      </c>
      <c r="AN407" s="102" t="str">
        <f>IF(SUMPRODUCT(--ISNUMBER(SEARCH({"lo que tenemos","estas ofertas","algo especial","ofertas únicas","que preparamos","no te quedes","echa un vistazo"},F407)))&gt;0,"Sí","No")</f>
        <v>No</v>
      </c>
      <c r="AO407" s="102">
        <f t="shared" si="164"/>
        <v>55</v>
      </c>
      <c r="AP407" s="102">
        <f t="shared" si="165"/>
        <v>7</v>
      </c>
      <c r="AQ407" s="102">
        <f>SUMPRODUCT(LEN(E407)-LEN(SUBSTITUTE(E407,{"!","¡","?","¿",":",",",".","%","·","-",";"},"")))</f>
        <v>2</v>
      </c>
      <c r="AR407" s="102" t="str">
        <f t="shared" si="166"/>
        <v>Sí</v>
      </c>
      <c r="AS407" s="102" t="str">
        <f t="shared" si="167"/>
        <v>No</v>
      </c>
      <c r="AT407" s="102" t="str">
        <f>IF(SUMPRODUCT(--ISNUMBER(FIND({"0","1","2","3","4","5","6","7","8","9"},E407)))&gt;0,"Con cifra concreta",IF(OR(ISNUMBER(FIND("?",E407)),ISNUMBER(FIND("¿",E407))),"Pregunta abierta",IF(SUMPRODUCT(--ISNUMBER(SEARCH({" hoy ","horas","tiempo limitado","antes de que","se acab","se agot","finalic","última oportunidad","oportunidad única","relámpago","express","no esperes","no volver","no parpadees"," ya ","últimas horas","últimas unidades"," ahora "},AF407)))&gt;0,"Solo urgencia, sin cifra",IF(SUMPRODUCT(--ISNUMBER(SEARCH({"recompensa","sorpresa","regalo","lealtad","detalle","gracias","pensamos en ti","para ti"},E407)))&gt;0,"Recompensa o sorpresa","Otro: beneficio o novedad"))))</f>
        <v>Otro: beneficio o novedad</v>
      </c>
    </row>
    <row r="408" spans="1:46" x14ac:dyDescent="0.2">
      <c r="A408" s="104" t="s">
        <v>1279</v>
      </c>
      <c r="B408" s="104" t="s">
        <v>277</v>
      </c>
      <c r="C408" s="104" t="s">
        <v>869</v>
      </c>
      <c r="D408" s="104" t="s">
        <v>821</v>
      </c>
      <c r="E408" s="104" t="s">
        <v>476</v>
      </c>
      <c r="F408" s="104" t="s">
        <v>477</v>
      </c>
      <c r="G408" s="105">
        <v>435423</v>
      </c>
      <c r="H408" s="105">
        <v>73934</v>
      </c>
      <c r="I408" s="105">
        <v>34749</v>
      </c>
      <c r="J408" s="106">
        <v>4.1399999999999997</v>
      </c>
      <c r="K408" s="106">
        <v>3.59</v>
      </c>
      <c r="L408" s="107">
        <v>85310.74</v>
      </c>
      <c r="M408" s="108">
        <f t="shared" si="144"/>
        <v>16.979810437207039</v>
      </c>
      <c r="N408" s="108">
        <f t="shared" si="145"/>
        <v>7.9805154987219327</v>
      </c>
      <c r="O408" s="108">
        <f t="shared" si="146"/>
        <v>47.000027051153729</v>
      </c>
      <c r="P408" s="108">
        <f t="shared" si="147"/>
        <v>195.926122414296</v>
      </c>
      <c r="Q408" s="108">
        <f t="shared" si="148"/>
        <v>21.434915192427972</v>
      </c>
      <c r="R408" s="108">
        <f t="shared" si="149"/>
        <v>30.71114383300629</v>
      </c>
      <c r="S408" s="101">
        <f t="shared" si="150"/>
        <v>45917</v>
      </c>
      <c r="T408" s="102" t="str">
        <f t="shared" si="151"/>
        <v>Septiembre</v>
      </c>
      <c r="U408" s="102" t="str">
        <f t="shared" si="152"/>
        <v>Miércoles</v>
      </c>
      <c r="V408" s="102">
        <f t="shared" si="153"/>
        <v>8</v>
      </c>
      <c r="W408" s="102" t="str">
        <f t="shared" si="154"/>
        <v>Días después del pago</v>
      </c>
      <c r="X408" s="102">
        <f t="shared" si="155"/>
        <v>26</v>
      </c>
      <c r="Y408" s="102" t="str">
        <f t="shared" si="156"/>
        <v>Sí</v>
      </c>
      <c r="Z408" s="102" t="str">
        <f>CHOOSE(MATCH(B408,{"Customer Appreciation","Exclusive Offers","Flash Sale","Holiday Discounts","New Product Launch","Newsletter"},0),"Fidelizar","Vender","Vender","Vender","Lanzar","Educar")</f>
        <v>Vender</v>
      </c>
      <c r="AA408" s="102" t="str">
        <f t="shared" si="157"/>
        <v>Más de 400 mil</v>
      </c>
      <c r="AB408" s="102">
        <f>COUNTIFS($E$5:$E$493,E408,$S$5:$S$493,"&lt;"&amp;S408)+COUNTIFS($E$5:E408,E408,$S$5:S408,S408)</f>
        <v>7</v>
      </c>
      <c r="AC408" s="102">
        <f t="shared" si="158"/>
        <v>10</v>
      </c>
      <c r="AD408" s="102" t="str">
        <f t="shared" si="159"/>
        <v>Último tercio</v>
      </c>
      <c r="AE408" s="103">
        <f t="shared" si="160"/>
        <v>-4.4551047552209333</v>
      </c>
      <c r="AF408" s="102" t="str">
        <f t="shared" si="161"/>
        <v xml:space="preserve">  ofertas de temporada  listas para ti  regalos perfectos </v>
      </c>
      <c r="AG408" s="102" t="str">
        <f t="shared" si="162"/>
        <v xml:space="preserve"> los mejores productos para tus celebraciones te esperan   descubre  </v>
      </c>
      <c r="AH408" s="102" t="str">
        <f>IF(SUMPRODUCT(--(LEFT(IF(LEFT(LOWER(E408),1)="¡",MID(LOWER(E408),2,300),LOWER(E408)),LEN({"actualizaci","el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Sí</v>
      </c>
      <c r="AI408" s="102" t="str">
        <f>IF(OR(SUMPRODUCT(--ISNUMBER(SEARCH({"descuento","oferta","ahorr","precio"," sale ","flash","deals"},AF408)))&gt;0,SUMPRODUCT(--ISNUMBER(SEARCH({"descuento","oferta","ahorr","precio"," sale ","flash","deals"},AG408)))&gt;0),"Sí","No")</f>
        <v>Sí</v>
      </c>
      <c r="AJ408" s="102" t="str">
        <f>IF(SUMPRODUCT(--ISNUMBER(SEARCH({" hoy ","horas","tiempo limitado","antes de que","se acab","se agot","finalic","última oportunidad","oportunidad única","relámpago","express","no esperes","no volver","no parpadees"},AF408)))&gt;0,"Sí","No")</f>
        <v>No</v>
      </c>
      <c r="AK408" s="102" t="str">
        <f>IF(SUMPRODUCT(--ISNUMBER(SEARCH({" hoy ","horas","tiempo limitado","antes de que","se acab","se agot","finalic","última oportunidad","oportunidad única","relámpago","express","no esperes","no volver","no parpadees"},AG408)))&gt;0,"Sí","No")</f>
        <v>No</v>
      </c>
      <c r="AL408" s="102" t="str">
        <f t="shared" si="163"/>
        <v>Descuento sin tiempo límite</v>
      </c>
      <c r="AM408" s="102" t="str">
        <f>IF(SUMPRODUCT(--ISNUMBER(SEARCH({"0","1","2","3","4","5","6","7","8","9","favorit","maquillaje","piel","cabello","productos","belleza","regalo"},E408)))&gt;0,"Sí","No")</f>
        <v>Sí</v>
      </c>
      <c r="AN408" s="102" t="str">
        <f>IF(SUMPRODUCT(--ISNUMBER(SEARCH({"lo que tenemos","estas ofertas","algo especial","ofertas únicas","que preparamos","no te quedes","echa un vistazo"},F408)))&gt;0,"Sí","No")</f>
        <v>No</v>
      </c>
      <c r="AO408" s="102">
        <f t="shared" si="164"/>
        <v>56</v>
      </c>
      <c r="AP408" s="102">
        <f t="shared" si="165"/>
        <v>8</v>
      </c>
      <c r="AQ408" s="102">
        <f>SUMPRODUCT(LEN(E408)-LEN(SUBSTITUTE(E408,{"!","¡","?","¿",":",",",".","%","·","-",";"},"")))</f>
        <v>3</v>
      </c>
      <c r="AR408" s="102" t="str">
        <f t="shared" si="166"/>
        <v>Sí</v>
      </c>
      <c r="AS408" s="102" t="str">
        <f t="shared" si="167"/>
        <v>No</v>
      </c>
      <c r="AT408" s="102" t="str">
        <f>IF(SUMPRODUCT(--ISNUMBER(FIND({"0","1","2","3","4","5","6","7","8","9"},E408)))&gt;0,"Con cifra concreta",IF(OR(ISNUMBER(FIND("?",E408)),ISNUMBER(FIND("¿",E408))),"Pregunta abierta",IF(SUMPRODUCT(--ISNUMBER(SEARCH({" hoy ","horas","tiempo limitado","antes de que","se acab","se agot","finalic","última oportunidad","oportunidad única","relámpago","express","no esperes","no volver","no parpadees"," ya ","últimas horas","últimas unidades"," ahora "},AF408)))&gt;0,"Solo urgencia, sin cifra",IF(SUMPRODUCT(--ISNUMBER(SEARCH({"recompensa","sorpresa","regalo","lealtad","detalle","gracias","pensamos en ti","para ti"},E408)))&gt;0,"Recompensa o sorpresa","Otro: beneficio o novedad"))))</f>
        <v>Recompensa o sorpresa</v>
      </c>
    </row>
    <row r="409" spans="1:46" x14ac:dyDescent="0.2">
      <c r="A409" s="96" t="s">
        <v>1280</v>
      </c>
      <c r="B409" s="96" t="s">
        <v>276</v>
      </c>
      <c r="C409" s="96" t="s">
        <v>928</v>
      </c>
      <c r="D409" s="96" t="s">
        <v>715</v>
      </c>
      <c r="E409" s="96" t="s">
        <v>450</v>
      </c>
      <c r="F409" s="96" t="s">
        <v>451</v>
      </c>
      <c r="G409" s="97">
        <v>311597</v>
      </c>
      <c r="H409" s="97">
        <v>92994</v>
      </c>
      <c r="I409" s="97">
        <v>42294</v>
      </c>
      <c r="J409" s="98">
        <v>9.0500000000000007</v>
      </c>
      <c r="K409" s="98">
        <v>0.41</v>
      </c>
      <c r="L409" s="99">
        <v>67500.38</v>
      </c>
      <c r="M409" s="100">
        <f t="shared" si="144"/>
        <v>29.844318141702264</v>
      </c>
      <c r="N409" s="100">
        <f t="shared" si="145"/>
        <v>13.57330141175942</v>
      </c>
      <c r="O409" s="100">
        <f t="shared" si="146"/>
        <v>45.480353571198137</v>
      </c>
      <c r="P409" s="100">
        <f t="shared" si="147"/>
        <v>216.62718190483221</v>
      </c>
      <c r="Q409" s="100">
        <f t="shared" si="148"/>
        <v>41.593592985418489</v>
      </c>
      <c r="R409" s="100">
        <f t="shared" si="149"/>
        <v>29.440902453236173</v>
      </c>
      <c r="S409" s="101">
        <f t="shared" si="150"/>
        <v>45883</v>
      </c>
      <c r="T409" s="102" t="str">
        <f t="shared" si="151"/>
        <v>Agosto</v>
      </c>
      <c r="U409" s="102" t="str">
        <f t="shared" si="152"/>
        <v>Jueves</v>
      </c>
      <c r="V409" s="102">
        <f t="shared" si="153"/>
        <v>11</v>
      </c>
      <c r="W409" s="102" t="str">
        <f t="shared" si="154"/>
        <v>Quincena</v>
      </c>
      <c r="X409" s="102">
        <f t="shared" si="155"/>
        <v>23</v>
      </c>
      <c r="Y409" s="102" t="str">
        <f t="shared" si="156"/>
        <v>Sí</v>
      </c>
      <c r="Z409" s="102" t="str">
        <f>CHOOSE(MATCH(B409,{"Customer Appreciation","Exclusive Offers","Flash Sale","Holiday Discounts","New Product Launch","Newsletter"},0),"Fidelizar","Vender","Vender","Vender","Lanzar","Educar")</f>
        <v>Vender</v>
      </c>
      <c r="AA409" s="102" t="str">
        <f t="shared" si="157"/>
        <v>300 a 400 mil</v>
      </c>
      <c r="AB409" s="102">
        <f>COUNTIFS($E$5:$E$493,E409,$S$5:$S$493,"&lt;"&amp;S409)+COUNTIFS($E$5:E409,E409,$S$5:S409,S409)</f>
        <v>2</v>
      </c>
      <c r="AC409" s="102">
        <f t="shared" si="158"/>
        <v>21</v>
      </c>
      <c r="AD409" s="102" t="str">
        <f t="shared" si="159"/>
        <v>Primer tercio</v>
      </c>
      <c r="AE409" s="103">
        <f t="shared" si="160"/>
        <v>-11.749274843716226</v>
      </c>
      <c r="AF409" s="102" t="str">
        <f t="shared" si="161"/>
        <v xml:space="preserve">  ahorra ya  flash sale  hasta 50% en tus favoritos </v>
      </c>
      <c r="AG409" s="102" t="str">
        <f t="shared" si="162"/>
        <v xml:space="preserve"> edición limitada  maquillaje  cuidado de piel y más   corre  </v>
      </c>
      <c r="AH409" s="102" t="str">
        <f>IF(SUMPRODUCT(--(LEFT(IF(LEFT(LOWER(E409),1)="¡",MID(LOWER(E409),2,300),LOWER(E409)),LEN({"actualizaci","el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409" s="102" t="str">
        <f>IF(OR(SUMPRODUCT(--ISNUMBER(SEARCH({"descuento","oferta","ahorr","precio"," sale ","flash","deals"},AF409)))&gt;0,SUMPRODUCT(--ISNUMBER(SEARCH({"descuento","oferta","ahorr","precio"," sale ","flash","deals"},AG409)))&gt;0),"Sí","No")</f>
        <v>Sí</v>
      </c>
      <c r="AJ409" s="102" t="str">
        <f>IF(SUMPRODUCT(--ISNUMBER(SEARCH({" hoy ","horas","tiempo limitado","antes de que","se acab","se agot","finalic","última oportunidad","oportunidad única","relámpago","express","no esperes","no volver","no parpadees"},AF409)))&gt;0,"Sí","No")</f>
        <v>No</v>
      </c>
      <c r="AK409" s="102" t="str">
        <f>IF(SUMPRODUCT(--ISNUMBER(SEARCH({" hoy ","horas","tiempo limitado","antes de que","se acab","se agot","finalic","última oportunidad","oportunidad única","relámpago","express","no esperes","no volver","no parpadees"},AG409)))&gt;0,"Sí","No")</f>
        <v>No</v>
      </c>
      <c r="AL409" s="102" t="str">
        <f t="shared" si="163"/>
        <v>Descuento sin tiempo límite</v>
      </c>
      <c r="AM409" s="102" t="str">
        <f>IF(SUMPRODUCT(--ISNUMBER(SEARCH({"0","1","2","3","4","5","6","7","8","9","favorit","maquillaje","piel","cabello","productos","belleza","regalo"},E409)))&gt;0,"Sí","No")</f>
        <v>Sí</v>
      </c>
      <c r="AN409" s="102" t="str">
        <f>IF(SUMPRODUCT(--ISNUMBER(SEARCH({"lo que tenemos","estas ofertas","algo especial","ofertas únicas","que preparamos","no te quedes","echa un vistazo"},F409)))&gt;0,"Sí","No")</f>
        <v>No</v>
      </c>
      <c r="AO409" s="102">
        <f t="shared" si="164"/>
        <v>50</v>
      </c>
      <c r="AP409" s="102">
        <f t="shared" si="165"/>
        <v>9</v>
      </c>
      <c r="AQ409" s="102">
        <f>SUMPRODUCT(LEN(E409)-LEN(SUBSTITUTE(E409,{"!","¡","?","¿",":",",",".","%","·","-",";"},"")))</f>
        <v>4</v>
      </c>
      <c r="AR409" s="102" t="str">
        <f t="shared" si="166"/>
        <v>No</v>
      </c>
      <c r="AS409" s="102" t="str">
        <f t="shared" si="167"/>
        <v>No</v>
      </c>
      <c r="AT409" s="102" t="str">
        <f>IF(SUMPRODUCT(--ISNUMBER(FIND({"0","1","2","3","4","5","6","7","8","9"},E409)))&gt;0,"Con cifra concreta",IF(OR(ISNUMBER(FIND("?",E409)),ISNUMBER(FIND("¿",E409))),"Pregunta abierta",IF(SUMPRODUCT(--ISNUMBER(SEARCH({" hoy ","horas","tiempo limitado","antes de que","se acab","se agot","finalic","última oportunidad","oportunidad única","relámpago","express","no esperes","no volver","no parpadees"," ya ","últimas horas","últimas unidades"," ahora "},AF409)))&gt;0,"Solo urgencia, sin cifra",IF(SUMPRODUCT(--ISNUMBER(SEARCH({"recompensa","sorpresa","regalo","lealtad","detalle","gracias","pensamos en ti","para ti"},E409)))&gt;0,"Recompensa o sorpresa","Otro: beneficio o novedad"))))</f>
        <v>Con cifra concreta</v>
      </c>
    </row>
    <row r="410" spans="1:46" x14ac:dyDescent="0.2">
      <c r="A410" s="104" t="s">
        <v>1281</v>
      </c>
      <c r="B410" s="104" t="s">
        <v>279</v>
      </c>
      <c r="C410" s="104" t="s">
        <v>944</v>
      </c>
      <c r="D410" s="104" t="s">
        <v>794</v>
      </c>
      <c r="E410" s="104" t="s">
        <v>463</v>
      </c>
      <c r="F410" s="104" t="s">
        <v>464</v>
      </c>
      <c r="G410" s="105">
        <v>302266</v>
      </c>
      <c r="H410" s="105">
        <v>121516</v>
      </c>
      <c r="I410" s="105">
        <v>32493</v>
      </c>
      <c r="J410" s="106">
        <v>8.08</v>
      </c>
      <c r="K410" s="106">
        <v>3.49</v>
      </c>
      <c r="L410" s="107">
        <v>6737.32</v>
      </c>
      <c r="M410" s="108">
        <f t="shared" si="144"/>
        <v>40.201676668894287</v>
      </c>
      <c r="N410" s="108">
        <f t="shared" si="145"/>
        <v>10.749803153513792</v>
      </c>
      <c r="O410" s="108">
        <f t="shared" si="146"/>
        <v>26.7396886006781</v>
      </c>
      <c r="P410" s="108">
        <f t="shared" si="147"/>
        <v>22.28937425975796</v>
      </c>
      <c r="Q410" s="108">
        <f t="shared" si="148"/>
        <v>33.412775116147934</v>
      </c>
      <c r="R410" s="108">
        <f t="shared" si="149"/>
        <v>27.75136451093497</v>
      </c>
      <c r="S410" s="101">
        <f t="shared" si="150"/>
        <v>45943</v>
      </c>
      <c r="T410" s="102" t="str">
        <f t="shared" si="151"/>
        <v>Octubre</v>
      </c>
      <c r="U410" s="102" t="str">
        <f t="shared" si="152"/>
        <v>Lunes</v>
      </c>
      <c r="V410" s="102">
        <f t="shared" si="153"/>
        <v>12</v>
      </c>
      <c r="W410" s="102" t="str">
        <f t="shared" si="154"/>
        <v>Resto del mes</v>
      </c>
      <c r="X410" s="102">
        <f t="shared" si="155"/>
        <v>23</v>
      </c>
      <c r="Y410" s="102" t="str">
        <f t="shared" si="156"/>
        <v>Sí</v>
      </c>
      <c r="Z410" s="102" t="str">
        <f>CHOOSE(MATCH(B410,{"Customer Appreciation","Exclusive Offers","Flash Sale","Holiday Discounts","New Product Launch","Newsletter"},0),"Fidelizar","Vender","Vender","Vender","Lanzar","Educar")</f>
        <v>Educar</v>
      </c>
      <c r="AA410" s="102" t="str">
        <f t="shared" si="157"/>
        <v>300 a 400 mil</v>
      </c>
      <c r="AB410" s="102">
        <f>COUNTIFS($E$5:$E$493,E410,$S$5:$S$493,"&lt;"&amp;S410)+COUNTIFS($E$5:E410,E410,$S$5:S410,S410)</f>
        <v>20</v>
      </c>
      <c r="AC410" s="102">
        <f t="shared" si="158"/>
        <v>25</v>
      </c>
      <c r="AD410" s="102" t="str">
        <f t="shared" si="159"/>
        <v>Último tercio</v>
      </c>
      <c r="AE410" s="103">
        <f t="shared" si="160"/>
        <v>6.7889015527463528</v>
      </c>
      <c r="AF410" s="102" t="str">
        <f t="shared" si="161"/>
        <v xml:space="preserve"> tu dosis de belleza   no te lo pierdas  tips y trucos </v>
      </c>
      <c r="AG410" s="102" t="str">
        <f t="shared" si="162"/>
        <v xml:space="preserve"> consejos expertos  tendencias y más en tu bandeja de entrada   descúbrelo  </v>
      </c>
      <c r="AH410" s="102" t="str">
        <f>IF(SUMPRODUCT(--(LEFT(IF(LEFT(LOWER(E410),1)="¡",MID(LOWER(E410),2,300),LOWER(E410)),LEN({"actualizaci","el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410" s="102" t="str">
        <f>IF(OR(SUMPRODUCT(--ISNUMBER(SEARCH({"descuento","oferta","ahorr","precio"," sale ","flash","deals"},AF410)))&gt;0,SUMPRODUCT(--ISNUMBER(SEARCH({"descuento","oferta","ahorr","precio"," sale ","flash","deals"},AG410)))&gt;0),"Sí","No")</f>
        <v>No</v>
      </c>
      <c r="AJ410" s="102" t="str">
        <f>IF(SUMPRODUCT(--ISNUMBER(SEARCH({" hoy ","horas","tiempo limitado","antes de que","se acab","se agot","finalic","última oportunidad","oportunidad única","relámpago","express","no esperes","no volver","no parpadees"},AF410)))&gt;0,"Sí","No")</f>
        <v>No</v>
      </c>
      <c r="AK410" s="102" t="str">
        <f>IF(SUMPRODUCT(--ISNUMBER(SEARCH({" hoy ","horas","tiempo limitado","antes de que","se acab","se agot","finalic","última oportunidad","oportunidad única","relámpago","express","no esperes","no volver","no parpadees"},AG410)))&gt;0,"Sí","No")</f>
        <v>No</v>
      </c>
      <c r="AL410" s="102" t="str">
        <f t="shared" si="163"/>
        <v>Sin descuento</v>
      </c>
      <c r="AM410" s="102" t="str">
        <f>IF(SUMPRODUCT(--ISNUMBER(SEARCH({"0","1","2","3","4","5","6","7","8","9","favorit","maquillaje","piel","cabello","productos","belleza","regalo"},E410)))&gt;0,"Sí","No")</f>
        <v>Sí</v>
      </c>
      <c r="AN410" s="102" t="str">
        <f>IF(SUMPRODUCT(--ISNUMBER(SEARCH({"lo que tenemos","estas ofertas","algo especial","ofertas únicas","que preparamos","no te quedes","echa un vistazo"},F410)))&gt;0,"Sí","No")</f>
        <v>No</v>
      </c>
      <c r="AO410" s="102">
        <f t="shared" si="164"/>
        <v>53</v>
      </c>
      <c r="AP410" s="102">
        <f t="shared" si="165"/>
        <v>11</v>
      </c>
      <c r="AQ410" s="102">
        <f>SUMPRODUCT(LEN(E410)-LEN(SUBSTITUTE(E410,{"!","¡","?","¿",":",",",".","%","·","-",";"},"")))</f>
        <v>3</v>
      </c>
      <c r="AR410" s="102" t="str">
        <f t="shared" si="166"/>
        <v>No</v>
      </c>
      <c r="AS410" s="102" t="str">
        <f t="shared" si="167"/>
        <v>No</v>
      </c>
      <c r="AT410" s="102" t="str">
        <f>IF(SUMPRODUCT(--ISNUMBER(FIND({"0","1","2","3","4","5","6","7","8","9"},E410)))&gt;0,"Con cifra concreta",IF(OR(ISNUMBER(FIND("?",E410)),ISNUMBER(FIND("¿",E410))),"Pregunta abierta",IF(SUMPRODUCT(--ISNUMBER(SEARCH({" hoy ","horas","tiempo limitado","antes de que","se acab","se agot","finalic","última oportunidad","oportunidad única","relámpago","express","no esperes","no volver","no parpadees"," ya ","últimas horas","últimas unidades"," ahora "},AF410)))&gt;0,"Solo urgencia, sin cifra",IF(SUMPRODUCT(--ISNUMBER(SEARCH({"recompensa","sorpresa","regalo","lealtad","detalle","gracias","pensamos en ti","para ti"},E410)))&gt;0,"Recompensa o sorpresa","Otro: beneficio o novedad"))))</f>
        <v>Otro: beneficio o novedad</v>
      </c>
    </row>
    <row r="411" spans="1:46" x14ac:dyDescent="0.2">
      <c r="A411" s="96" t="s">
        <v>1282</v>
      </c>
      <c r="B411" s="96" t="s">
        <v>274</v>
      </c>
      <c r="C411" s="96" t="s">
        <v>889</v>
      </c>
      <c r="D411" s="96" t="s">
        <v>761</v>
      </c>
      <c r="E411" s="96" t="s">
        <v>453</v>
      </c>
      <c r="F411" s="96" t="s">
        <v>454</v>
      </c>
      <c r="G411" s="97">
        <v>234361</v>
      </c>
      <c r="H411" s="97">
        <v>69151</v>
      </c>
      <c r="I411" s="97">
        <v>16263</v>
      </c>
      <c r="J411" s="98">
        <v>2.2599999999999998</v>
      </c>
      <c r="K411" s="98">
        <v>1.36</v>
      </c>
      <c r="L411" s="99">
        <v>96393.09</v>
      </c>
      <c r="M411" s="100">
        <f t="shared" si="144"/>
        <v>29.506189169699738</v>
      </c>
      <c r="N411" s="100">
        <f t="shared" si="145"/>
        <v>6.9392945071918968</v>
      </c>
      <c r="O411" s="100">
        <f t="shared" si="146"/>
        <v>23.518098075226678</v>
      </c>
      <c r="P411" s="100">
        <f t="shared" si="147"/>
        <v>411.30175242467817</v>
      </c>
      <c r="Q411" s="100">
        <f t="shared" si="148"/>
        <v>39.210446566150395</v>
      </c>
      <c r="R411" s="100">
        <f t="shared" si="149"/>
        <v>31.113650744455075</v>
      </c>
      <c r="S411" s="101">
        <f t="shared" si="150"/>
        <v>45908</v>
      </c>
      <c r="T411" s="102" t="str">
        <f t="shared" si="151"/>
        <v>Septiembre</v>
      </c>
      <c r="U411" s="102" t="str">
        <f t="shared" si="152"/>
        <v>Lunes</v>
      </c>
      <c r="V411" s="102">
        <f t="shared" si="153"/>
        <v>10</v>
      </c>
      <c r="W411" s="102" t="str">
        <f t="shared" si="154"/>
        <v>Resto del mes</v>
      </c>
      <c r="X411" s="102">
        <f t="shared" si="155"/>
        <v>28</v>
      </c>
      <c r="Y411" s="102" t="str">
        <f t="shared" si="156"/>
        <v>Sí</v>
      </c>
      <c r="Z411" s="102" t="str">
        <f>CHOOSE(MATCH(B411,{"Customer Appreciation","Exclusive Offers","Flash Sale","Holiday Discounts","New Product Launch","Newsletter"},0),"Fidelizar","Vender","Vender","Vender","Lanzar","Educar")</f>
        <v>Fidelizar</v>
      </c>
      <c r="AA411" s="102" t="str">
        <f t="shared" si="157"/>
        <v>200 a 300 mil</v>
      </c>
      <c r="AB411" s="102">
        <f>COUNTIFS($E$5:$E$493,E411,$S$5:$S$493,"&lt;"&amp;S411)+COUNTIFS($E$5:E411,E411,$S$5:S411,S411)</f>
        <v>14</v>
      </c>
      <c r="AC411" s="102">
        <f t="shared" si="158"/>
        <v>20</v>
      </c>
      <c r="AD411" s="102" t="str">
        <f t="shared" si="159"/>
        <v>Último tercio</v>
      </c>
      <c r="AE411" s="103">
        <f t="shared" si="160"/>
        <v>-9.7042573964506573</v>
      </c>
      <c r="AF411" s="102" t="str">
        <f t="shared" si="161"/>
        <v xml:space="preserve">  pensamos en ti  descubre estas sorpresas exclusivas </v>
      </c>
      <c r="AG411" s="102" t="str">
        <f t="shared" si="162"/>
        <v xml:space="preserve"> ofertas exclusivas por tu lealtad a l'oréal   aprovecha  </v>
      </c>
      <c r="AH411" s="102" t="str">
        <f>IF(SUMPRODUCT(--(LEFT(IF(LEFT(LOWER(E411),1)="¡",MID(LOWER(E411),2,300),LOWER(E411)),LEN({"actualizaci","el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411" s="102" t="str">
        <f>IF(OR(SUMPRODUCT(--ISNUMBER(SEARCH({"descuento","oferta","ahorr","precio"," sale ","flash","deals"},AF411)))&gt;0,SUMPRODUCT(--ISNUMBER(SEARCH({"descuento","oferta","ahorr","precio"," sale ","flash","deals"},AG411)))&gt;0),"Sí","No")</f>
        <v>Sí</v>
      </c>
      <c r="AJ411" s="102" t="str">
        <f>IF(SUMPRODUCT(--ISNUMBER(SEARCH({" hoy ","horas","tiempo limitado","antes de que","se acab","se agot","finalic","última oportunidad","oportunidad única","relámpago","express","no esperes","no volver","no parpadees"},AF411)))&gt;0,"Sí","No")</f>
        <v>No</v>
      </c>
      <c r="AK411" s="102" t="str">
        <f>IF(SUMPRODUCT(--ISNUMBER(SEARCH({" hoy ","horas","tiempo limitado","antes de que","se acab","se agot","finalic","última oportunidad","oportunidad única","relámpago","express","no esperes","no volver","no parpadees"},AG411)))&gt;0,"Sí","No")</f>
        <v>No</v>
      </c>
      <c r="AL411" s="102" t="str">
        <f t="shared" si="163"/>
        <v>Descuento sin tiempo límite</v>
      </c>
      <c r="AM411" s="102" t="str">
        <f>IF(SUMPRODUCT(--ISNUMBER(SEARCH({"0","1","2","3","4","5","6","7","8","9","favorit","maquillaje","piel","cabello","productos","belleza","regalo"},E411)))&gt;0,"Sí","No")</f>
        <v>No</v>
      </c>
      <c r="AN411" s="102" t="str">
        <f>IF(SUMPRODUCT(--ISNUMBER(SEARCH({"lo que tenemos","estas ofertas","algo especial","ofertas únicas","que preparamos","no te quedes","echa un vistazo"},F411)))&gt;0,"Sí","No")</f>
        <v>No</v>
      </c>
      <c r="AO411" s="102">
        <f t="shared" si="164"/>
        <v>52</v>
      </c>
      <c r="AP411" s="102">
        <f t="shared" si="165"/>
        <v>7</v>
      </c>
      <c r="AQ411" s="102">
        <f>SUMPRODUCT(LEN(E411)-LEN(SUBSTITUTE(E411,{"!","¡","?","¿",":",",",".","%","·","-",";"},"")))</f>
        <v>2</v>
      </c>
      <c r="AR411" s="102" t="str">
        <f t="shared" si="166"/>
        <v>Sí</v>
      </c>
      <c r="AS411" s="102" t="str">
        <f t="shared" si="167"/>
        <v>No</v>
      </c>
      <c r="AT411" s="102" t="str">
        <f>IF(SUMPRODUCT(--ISNUMBER(FIND({"0","1","2","3","4","5","6","7","8","9"},E411)))&gt;0,"Con cifra concreta",IF(OR(ISNUMBER(FIND("?",E411)),ISNUMBER(FIND("¿",E411))),"Pregunta abierta",IF(SUMPRODUCT(--ISNUMBER(SEARCH({" hoy ","horas","tiempo limitado","antes de que","se acab","se agot","finalic","última oportunidad","oportunidad única","relámpago","express","no esperes","no volver","no parpadees"," ya ","últimas horas","últimas unidades"," ahora "},AF411)))&gt;0,"Solo urgencia, sin cifra",IF(SUMPRODUCT(--ISNUMBER(SEARCH({"recompensa","sorpresa","regalo","lealtad","detalle","gracias","pensamos en ti","para ti"},E411)))&gt;0,"Recompensa o sorpresa","Otro: beneficio o novedad"))))</f>
        <v>Recompensa o sorpresa</v>
      </c>
    </row>
    <row r="412" spans="1:46" x14ac:dyDescent="0.2">
      <c r="A412" s="104" t="s">
        <v>1283</v>
      </c>
      <c r="B412" s="104" t="s">
        <v>277</v>
      </c>
      <c r="C412" s="104" t="s">
        <v>891</v>
      </c>
      <c r="D412" s="104" t="s">
        <v>786</v>
      </c>
      <c r="E412" s="104" t="s">
        <v>461</v>
      </c>
      <c r="F412" s="104" t="s">
        <v>462</v>
      </c>
      <c r="G412" s="105">
        <v>178038</v>
      </c>
      <c r="H412" s="105">
        <v>78235</v>
      </c>
      <c r="I412" s="105">
        <v>3044</v>
      </c>
      <c r="J412" s="106">
        <v>5.05</v>
      </c>
      <c r="K412" s="106">
        <v>3</v>
      </c>
      <c r="L412" s="107">
        <v>20455.560000000001</v>
      </c>
      <c r="M412" s="108">
        <f t="shared" si="144"/>
        <v>43.942866129702644</v>
      </c>
      <c r="N412" s="108">
        <f t="shared" si="145"/>
        <v>1.7097473573057438</v>
      </c>
      <c r="O412" s="108">
        <f t="shared" si="146"/>
        <v>3.8908416948935898</v>
      </c>
      <c r="P412" s="108">
        <f t="shared" si="147"/>
        <v>114.89434839753312</v>
      </c>
      <c r="Q412" s="108">
        <f t="shared" si="148"/>
        <v>35.409886702202286</v>
      </c>
      <c r="R412" s="108">
        <f t="shared" si="149"/>
        <v>30.71114383300629</v>
      </c>
      <c r="S412" s="101">
        <f t="shared" si="150"/>
        <v>45888</v>
      </c>
      <c r="T412" s="102" t="str">
        <f t="shared" si="151"/>
        <v>Agosto</v>
      </c>
      <c r="U412" s="102" t="str">
        <f t="shared" si="152"/>
        <v>Martes</v>
      </c>
      <c r="V412" s="102">
        <f t="shared" si="153"/>
        <v>15</v>
      </c>
      <c r="W412" s="102" t="str">
        <f t="shared" si="154"/>
        <v>Días después del pago</v>
      </c>
      <c r="X412" s="102">
        <f t="shared" si="155"/>
        <v>29</v>
      </c>
      <c r="Y412" s="102" t="str">
        <f t="shared" si="156"/>
        <v>Sí</v>
      </c>
      <c r="Z412" s="102" t="str">
        <f>CHOOSE(MATCH(B412,{"Customer Appreciation","Exclusive Offers","Flash Sale","Holiday Discounts","New Product Launch","Newsletter"},0),"Fidelizar","Vender","Vender","Vender","Lanzar","Educar")</f>
        <v>Vender</v>
      </c>
      <c r="AA412" s="102" t="str">
        <f t="shared" si="157"/>
        <v>100 a 200 mil</v>
      </c>
      <c r="AB412" s="102">
        <f>COUNTIFS($E$5:$E$493,E412,$S$5:$S$493,"&lt;"&amp;S412)+COUNTIFS($E$5:E412,E412,$S$5:S412,S412)</f>
        <v>8</v>
      </c>
      <c r="AC412" s="102">
        <f t="shared" si="158"/>
        <v>30</v>
      </c>
      <c r="AD412" s="102" t="str">
        <f t="shared" si="159"/>
        <v>Primer tercio</v>
      </c>
      <c r="AE412" s="103">
        <f t="shared" si="160"/>
        <v>8.5329794275003579</v>
      </c>
      <c r="AF412" s="102" t="str">
        <f t="shared" si="161"/>
        <v xml:space="preserve">  regalos perfectos te esperan  descuentos de lujo  l'oréal </v>
      </c>
      <c r="AG412" s="102" t="str">
        <f t="shared" si="162"/>
        <v xml:space="preserve"> encuentra ese detalle especial para ti o tus seres queridos   descubre  </v>
      </c>
      <c r="AH412" s="102" t="str">
        <f>IF(SUMPRODUCT(--(LEFT(IF(LEFT(LOWER(E412),1)="¡",MID(LOWER(E412),2,300),LOWER(E412)),LEN({"actualizaci","el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412" s="102" t="str">
        <f>IF(OR(SUMPRODUCT(--ISNUMBER(SEARCH({"descuento","oferta","ahorr","precio"," sale ","flash","deals"},AF412)))&gt;0,SUMPRODUCT(--ISNUMBER(SEARCH({"descuento","oferta","ahorr","precio"," sale ","flash","deals"},AG412)))&gt;0),"Sí","No")</f>
        <v>Sí</v>
      </c>
      <c r="AJ412" s="102" t="str">
        <f>IF(SUMPRODUCT(--ISNUMBER(SEARCH({" hoy ","horas","tiempo limitado","antes de que","se acab","se agot","finalic","última oportunidad","oportunidad única","relámpago","express","no esperes","no volver","no parpadees"},AF412)))&gt;0,"Sí","No")</f>
        <v>No</v>
      </c>
      <c r="AK412" s="102" t="str">
        <f>IF(SUMPRODUCT(--ISNUMBER(SEARCH({" hoy ","horas","tiempo limitado","antes de que","se acab","se agot","finalic","última oportunidad","oportunidad única","relámpago","express","no esperes","no volver","no parpadees"},AG412)))&gt;0,"Sí","No")</f>
        <v>No</v>
      </c>
      <c r="AL412" s="102" t="str">
        <f t="shared" si="163"/>
        <v>Descuento sin tiempo límite</v>
      </c>
      <c r="AM412" s="102" t="str">
        <f>IF(SUMPRODUCT(--ISNUMBER(SEARCH({"0","1","2","3","4","5","6","7","8","9","favorit","maquillaje","piel","cabello","productos","belleza","regalo"},E412)))&gt;0,"Sí","No")</f>
        <v>Sí</v>
      </c>
      <c r="AN412" s="102" t="str">
        <f>IF(SUMPRODUCT(--ISNUMBER(SEARCH({"lo que tenemos","estas ofertas","algo especial","ofertas únicas","que preparamos","no te quedes","echa un vistazo"},F412)))&gt;0,"Sí","No")</f>
        <v>No</v>
      </c>
      <c r="AO412" s="102">
        <f t="shared" si="164"/>
        <v>58</v>
      </c>
      <c r="AP412" s="102">
        <f t="shared" si="165"/>
        <v>8</v>
      </c>
      <c r="AQ412" s="102">
        <f>SUMPRODUCT(LEN(E412)-LEN(SUBSTITUTE(E412,{"!","¡","?","¿",":",",",".","%","·","-",";"},"")))</f>
        <v>3</v>
      </c>
      <c r="AR412" s="102" t="str">
        <f t="shared" si="166"/>
        <v>Sí</v>
      </c>
      <c r="AS412" s="102" t="str">
        <f t="shared" si="167"/>
        <v>No</v>
      </c>
      <c r="AT412" s="102" t="str">
        <f>IF(SUMPRODUCT(--ISNUMBER(FIND({"0","1","2","3","4","5","6","7","8","9"},E412)))&gt;0,"Con cifra concreta",IF(OR(ISNUMBER(FIND("?",E412)),ISNUMBER(FIND("¿",E412))),"Pregunta abierta",IF(SUMPRODUCT(--ISNUMBER(SEARCH({" hoy ","horas","tiempo limitado","antes de que","se acab","se agot","finalic","última oportunidad","oportunidad única","relámpago","express","no esperes","no volver","no parpadees"," ya ","últimas horas","últimas unidades"," ahora "},AF412)))&gt;0,"Solo urgencia, sin cifra",IF(SUMPRODUCT(--ISNUMBER(SEARCH({"recompensa","sorpresa","regalo","lealtad","detalle","gracias","pensamos en ti","para ti"},E412)))&gt;0,"Recompensa o sorpresa","Otro: beneficio o novedad"))))</f>
        <v>Recompensa o sorpresa</v>
      </c>
    </row>
    <row r="413" spans="1:46" x14ac:dyDescent="0.2">
      <c r="A413" s="96" t="s">
        <v>1284</v>
      </c>
      <c r="B413" s="96" t="s">
        <v>277</v>
      </c>
      <c r="C413" s="96" t="s">
        <v>915</v>
      </c>
      <c r="D413" s="96" t="s">
        <v>769</v>
      </c>
      <c r="E413" s="96" t="s">
        <v>469</v>
      </c>
      <c r="F413" s="96" t="s">
        <v>470</v>
      </c>
      <c r="G413" s="97">
        <v>482280</v>
      </c>
      <c r="H413" s="97">
        <v>151897</v>
      </c>
      <c r="I413" s="97">
        <v>61343</v>
      </c>
      <c r="J413" s="98">
        <v>6.03</v>
      </c>
      <c r="K413" s="98">
        <v>0.19</v>
      </c>
      <c r="L413" s="99">
        <v>9682.26</v>
      </c>
      <c r="M413" s="100">
        <f t="shared" si="144"/>
        <v>31.49560421332006</v>
      </c>
      <c r="N413" s="100">
        <f t="shared" si="145"/>
        <v>12.719374637140252</v>
      </c>
      <c r="O413" s="100">
        <f t="shared" si="146"/>
        <v>40.384602724214439</v>
      </c>
      <c r="P413" s="100">
        <f t="shared" si="147"/>
        <v>20.076013933814384</v>
      </c>
      <c r="Q413" s="100">
        <f t="shared" si="148"/>
        <v>29.233022524783024</v>
      </c>
      <c r="R413" s="100">
        <f t="shared" si="149"/>
        <v>30.71114383300629</v>
      </c>
      <c r="S413" s="101">
        <f t="shared" si="150"/>
        <v>45954</v>
      </c>
      <c r="T413" s="102" t="str">
        <f t="shared" si="151"/>
        <v>Octubre</v>
      </c>
      <c r="U413" s="102" t="str">
        <f t="shared" si="152"/>
        <v>Viernes</v>
      </c>
      <c r="V413" s="102">
        <f t="shared" si="153"/>
        <v>13</v>
      </c>
      <c r="W413" s="102" t="str">
        <f t="shared" si="154"/>
        <v>Resto del mes</v>
      </c>
      <c r="X413" s="102">
        <f t="shared" si="155"/>
        <v>29</v>
      </c>
      <c r="Y413" s="102" t="str">
        <f t="shared" si="156"/>
        <v>Sí</v>
      </c>
      <c r="Z413" s="102" t="str">
        <f>CHOOSE(MATCH(B413,{"Customer Appreciation","Exclusive Offers","Flash Sale","Holiday Discounts","New Product Launch","Newsletter"},0),"Fidelizar","Vender","Vender","Vender","Lanzar","Educar")</f>
        <v>Vender</v>
      </c>
      <c r="AA413" s="102" t="str">
        <f t="shared" si="157"/>
        <v>Más de 400 mil</v>
      </c>
      <c r="AB413" s="102">
        <f>COUNTIFS($E$5:$E$493,E413,$S$5:$S$493,"&lt;"&amp;S413)+COUNTIFS($E$5:E413,E413,$S$5:S413,S413)</f>
        <v>14</v>
      </c>
      <c r="AC413" s="102">
        <f t="shared" si="158"/>
        <v>20</v>
      </c>
      <c r="AD413" s="102" t="str">
        <f t="shared" si="159"/>
        <v>Último tercio</v>
      </c>
      <c r="AE413" s="103">
        <f t="shared" si="160"/>
        <v>2.2625816885370362</v>
      </c>
      <c r="AF413" s="102" t="str">
        <f t="shared" si="161"/>
        <v xml:space="preserve">  celebra con nosotros  descuentos festivos para regalar </v>
      </c>
      <c r="AG413" s="102" t="str">
        <f t="shared" si="162"/>
        <v xml:space="preserve"> regalos perfectos y ofertas que te encantarán   descubre más  </v>
      </c>
      <c r="AH413" s="102" t="str">
        <f>IF(SUMPRODUCT(--(LEFT(IF(LEFT(LOWER(E413),1)="¡",MID(LOWER(E413),2,300),LOWER(E413)),LEN({"actualizaci","el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413" s="102" t="str">
        <f>IF(OR(SUMPRODUCT(--ISNUMBER(SEARCH({"descuento","oferta","ahorr","precio"," sale ","flash","deals"},AF413)))&gt;0,SUMPRODUCT(--ISNUMBER(SEARCH({"descuento","oferta","ahorr","precio"," sale ","flash","deals"},AG413)))&gt;0),"Sí","No")</f>
        <v>Sí</v>
      </c>
      <c r="AJ413" s="102" t="str">
        <f>IF(SUMPRODUCT(--ISNUMBER(SEARCH({" hoy ","horas","tiempo limitado","antes de que","se acab","se agot","finalic","última oportunidad","oportunidad única","relámpago","express","no esperes","no volver","no parpadees"},AF413)))&gt;0,"Sí","No")</f>
        <v>No</v>
      </c>
      <c r="AK413" s="102" t="str">
        <f>IF(SUMPRODUCT(--ISNUMBER(SEARCH({" hoy ","horas","tiempo limitado","antes de que","se acab","se agot","finalic","última oportunidad","oportunidad única","relámpago","express","no esperes","no volver","no parpadees"},AG413)))&gt;0,"Sí","No")</f>
        <v>No</v>
      </c>
      <c r="AL413" s="102" t="str">
        <f t="shared" si="163"/>
        <v>Descuento sin tiempo límite</v>
      </c>
      <c r="AM413" s="102" t="str">
        <f>IF(SUMPRODUCT(--ISNUMBER(SEARCH({"0","1","2","3","4","5","6","7","8","9","favorit","maquillaje","piel","cabello","productos","belleza","regalo"},E413)))&gt;0,"Sí","No")</f>
        <v>No</v>
      </c>
      <c r="AN413" s="102" t="str">
        <f>IF(SUMPRODUCT(--ISNUMBER(SEARCH({"lo que tenemos","estas ofertas","algo especial","ofertas únicas","que preparamos","no te quedes","echa un vistazo"},F413)))&gt;0,"Sí","No")</f>
        <v>No</v>
      </c>
      <c r="AO413" s="102">
        <f t="shared" si="164"/>
        <v>55</v>
      </c>
      <c r="AP413" s="102">
        <f t="shared" si="165"/>
        <v>7</v>
      </c>
      <c r="AQ413" s="102">
        <f>SUMPRODUCT(LEN(E413)-LEN(SUBSTITUTE(E413,{"!","¡","?","¿",":",",",".","%","·","-",";"},"")))</f>
        <v>2</v>
      </c>
      <c r="AR413" s="102" t="str">
        <f t="shared" si="166"/>
        <v>Sí</v>
      </c>
      <c r="AS413" s="102" t="str">
        <f t="shared" si="167"/>
        <v>No</v>
      </c>
      <c r="AT413" s="102" t="str">
        <f>IF(SUMPRODUCT(--ISNUMBER(FIND({"0","1","2","3","4","5","6","7","8","9"},E413)))&gt;0,"Con cifra concreta",IF(OR(ISNUMBER(FIND("?",E413)),ISNUMBER(FIND("¿",E413))),"Pregunta abierta",IF(SUMPRODUCT(--ISNUMBER(SEARCH({" hoy ","horas","tiempo limitado","antes de que","se acab","se agot","finalic","última oportunidad","oportunidad única","relámpago","express","no esperes","no volver","no parpadees"," ya ","últimas horas","últimas unidades"," ahora "},AF413)))&gt;0,"Solo urgencia, sin cifra",IF(SUMPRODUCT(--ISNUMBER(SEARCH({"recompensa","sorpresa","regalo","lealtad","detalle","gracias","pensamos en ti","para ti"},E413)))&gt;0,"Recompensa o sorpresa","Otro: beneficio o novedad"))))</f>
        <v>Otro: beneficio o novedad</v>
      </c>
    </row>
    <row r="414" spans="1:46" x14ac:dyDescent="0.2">
      <c r="A414" s="104" t="s">
        <v>1285</v>
      </c>
      <c r="B414" s="104" t="s">
        <v>274</v>
      </c>
      <c r="C414" s="104" t="s">
        <v>917</v>
      </c>
      <c r="D414" s="104" t="s">
        <v>774</v>
      </c>
      <c r="E414" s="104" t="s">
        <v>372</v>
      </c>
      <c r="F414" s="104" t="s">
        <v>480</v>
      </c>
      <c r="G414" s="105">
        <v>251485</v>
      </c>
      <c r="H414" s="105">
        <v>54573</v>
      </c>
      <c r="I414" s="105">
        <v>24645</v>
      </c>
      <c r="J414" s="106">
        <v>4.0999999999999996</v>
      </c>
      <c r="K414" s="106">
        <v>2.69</v>
      </c>
      <c r="L414" s="107">
        <v>9153.18</v>
      </c>
      <c r="M414" s="108">
        <f t="shared" si="144"/>
        <v>21.700300216712726</v>
      </c>
      <c r="N414" s="108">
        <f t="shared" si="145"/>
        <v>9.7997892518440466</v>
      </c>
      <c r="O414" s="108">
        <f t="shared" si="146"/>
        <v>45.159694354351053</v>
      </c>
      <c r="P414" s="108">
        <f t="shared" si="147"/>
        <v>36.396524643616914</v>
      </c>
      <c r="Q414" s="108">
        <f t="shared" si="148"/>
        <v>20.724631699294946</v>
      </c>
      <c r="R414" s="108">
        <f t="shared" si="149"/>
        <v>31.113650744455075</v>
      </c>
      <c r="S414" s="101">
        <f t="shared" si="150"/>
        <v>45916</v>
      </c>
      <c r="T414" s="102" t="str">
        <f t="shared" si="151"/>
        <v>Septiembre</v>
      </c>
      <c r="U414" s="102" t="str">
        <f t="shared" si="152"/>
        <v>Martes</v>
      </c>
      <c r="V414" s="102">
        <f t="shared" si="153"/>
        <v>11</v>
      </c>
      <c r="W414" s="102" t="str">
        <f t="shared" si="154"/>
        <v>Quincena</v>
      </c>
      <c r="X414" s="102">
        <f t="shared" si="155"/>
        <v>27</v>
      </c>
      <c r="Y414" s="102" t="str">
        <f t="shared" si="156"/>
        <v>Sí</v>
      </c>
      <c r="Z414" s="102" t="str">
        <f>CHOOSE(MATCH(B414,{"Customer Appreciation","Exclusive Offers","Flash Sale","Holiday Discounts","New Product Launch","Newsletter"},0),"Fidelizar","Vender","Vender","Vender","Lanzar","Educar")</f>
        <v>Fidelizar</v>
      </c>
      <c r="AA414" s="102" t="str">
        <f t="shared" si="157"/>
        <v>200 a 300 mil</v>
      </c>
      <c r="AB414" s="102">
        <f>COUNTIFS($E$5:$E$493,E414,$S$5:$S$493,"&lt;"&amp;S414)+COUNTIFS($E$5:E414,E414,$S$5:S414,S414)</f>
        <v>12</v>
      </c>
      <c r="AC414" s="102">
        <f t="shared" si="158"/>
        <v>14</v>
      </c>
      <c r="AD414" s="102" t="str">
        <f t="shared" si="159"/>
        <v>Último tercio</v>
      </c>
      <c r="AE414" s="103">
        <f t="shared" si="160"/>
        <v>0.97566851741778038</v>
      </c>
      <c r="AF414" s="102" t="str">
        <f t="shared" si="161"/>
        <v xml:space="preserve">  un pequeño detalle para agradecerte tu lealtad  l'oréal </v>
      </c>
      <c r="AG414" s="102" t="str">
        <f t="shared" si="162"/>
        <v xml:space="preserve"> echa un vistazo a lo que tenemos para ti   te va a encantar  </v>
      </c>
      <c r="AH414" s="102" t="str">
        <f>IF(SUMPRODUCT(--(LEFT(IF(LEFT(LOWER(E414),1)="¡",MID(LOWER(E414),2,300),LOWER(E414)),LEN({"actualizaci","el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Sí</v>
      </c>
      <c r="AI414" s="102" t="str">
        <f>IF(OR(SUMPRODUCT(--ISNUMBER(SEARCH({"descuento","oferta","ahorr","precio"," sale ","flash","deals"},AF414)))&gt;0,SUMPRODUCT(--ISNUMBER(SEARCH({"descuento","oferta","ahorr","precio"," sale ","flash","deals"},AG414)))&gt;0),"Sí","No")</f>
        <v>No</v>
      </c>
      <c r="AJ414" s="102" t="str">
        <f>IF(SUMPRODUCT(--ISNUMBER(SEARCH({" hoy ","horas","tiempo limitado","antes de que","se acab","se agot","finalic","última oportunidad","oportunidad única","relámpago","express","no esperes","no volver","no parpadees"},AF414)))&gt;0,"Sí","No")</f>
        <v>No</v>
      </c>
      <c r="AK414" s="102" t="str">
        <f>IF(SUMPRODUCT(--ISNUMBER(SEARCH({" hoy ","horas","tiempo limitado","antes de que","se acab","se agot","finalic","última oportunidad","oportunidad única","relámpago","express","no esperes","no volver","no parpadees"},AG414)))&gt;0,"Sí","No")</f>
        <v>No</v>
      </c>
      <c r="AL414" s="102" t="str">
        <f t="shared" si="163"/>
        <v>Sin descuento</v>
      </c>
      <c r="AM414" s="102" t="str">
        <f>IF(SUMPRODUCT(--ISNUMBER(SEARCH({"0","1","2","3","4","5","6","7","8","9","favorit","maquillaje","piel","cabello","productos","belleza","regalo"},E414)))&gt;0,"Sí","No")</f>
        <v>No</v>
      </c>
      <c r="AN414" s="102" t="str">
        <f>IF(SUMPRODUCT(--ISNUMBER(SEARCH({"lo que tenemos","estas ofertas","algo especial","ofertas únicas","que preparamos","no te quedes","echa un vistazo"},F414)))&gt;0,"Sí","No")</f>
        <v>Sí</v>
      </c>
      <c r="AO414" s="102">
        <f t="shared" si="164"/>
        <v>56</v>
      </c>
      <c r="AP414" s="102">
        <f t="shared" si="165"/>
        <v>8</v>
      </c>
      <c r="AQ414" s="102">
        <f>SUMPRODUCT(LEN(E414)-LEN(SUBSTITUTE(E414,{"!","¡","?","¿",":",",",".","%","·","-",";"},"")))</f>
        <v>2</v>
      </c>
      <c r="AR414" s="102" t="str">
        <f t="shared" si="166"/>
        <v>Sí</v>
      </c>
      <c r="AS414" s="102" t="str">
        <f t="shared" si="167"/>
        <v>No</v>
      </c>
      <c r="AT414" s="102" t="str">
        <f>IF(SUMPRODUCT(--ISNUMBER(FIND({"0","1","2","3","4","5","6","7","8","9"},E414)))&gt;0,"Con cifra concreta",IF(OR(ISNUMBER(FIND("?",E414)),ISNUMBER(FIND("¿",E414))),"Pregunta abierta",IF(SUMPRODUCT(--ISNUMBER(SEARCH({" hoy ","horas","tiempo limitado","antes de que","se acab","se agot","finalic","última oportunidad","oportunidad única","relámpago","express","no esperes","no volver","no parpadees"," ya ","últimas horas","últimas unidades"," ahora "},AF414)))&gt;0,"Solo urgencia, sin cifra",IF(SUMPRODUCT(--ISNUMBER(SEARCH({"recompensa","sorpresa","regalo","lealtad","detalle","gracias","pensamos en ti","para ti"},E414)))&gt;0,"Recompensa o sorpresa","Otro: beneficio o novedad"))))</f>
        <v>Recompensa o sorpresa</v>
      </c>
    </row>
    <row r="415" spans="1:46" x14ac:dyDescent="0.2">
      <c r="A415" s="96" t="s">
        <v>1286</v>
      </c>
      <c r="B415" s="96" t="s">
        <v>276</v>
      </c>
      <c r="C415" s="96" t="s">
        <v>793</v>
      </c>
      <c r="D415" s="96" t="s">
        <v>947</v>
      </c>
      <c r="E415" s="96" t="s">
        <v>474</v>
      </c>
      <c r="F415" s="96" t="s">
        <v>475</v>
      </c>
      <c r="G415" s="97">
        <v>473905</v>
      </c>
      <c r="H415" s="97">
        <v>162264</v>
      </c>
      <c r="I415" s="97">
        <v>13032</v>
      </c>
      <c r="J415" s="98">
        <v>2.9</v>
      </c>
      <c r="K415" s="98">
        <v>1.86</v>
      </c>
      <c r="L415" s="99">
        <v>34304.79</v>
      </c>
      <c r="M415" s="100">
        <f t="shared" si="144"/>
        <v>34.23977379432587</v>
      </c>
      <c r="N415" s="100">
        <f t="shared" si="145"/>
        <v>2.7499182325571581</v>
      </c>
      <c r="O415" s="100">
        <f t="shared" si="146"/>
        <v>8.0313563082384256</v>
      </c>
      <c r="P415" s="100">
        <f t="shared" si="147"/>
        <v>72.387482723330621</v>
      </c>
      <c r="Q415" s="100">
        <f t="shared" si="148"/>
        <v>22.775066640377752</v>
      </c>
      <c r="R415" s="100">
        <f t="shared" si="149"/>
        <v>29.440902453236173</v>
      </c>
      <c r="S415" s="101">
        <f t="shared" si="150"/>
        <v>45939</v>
      </c>
      <c r="T415" s="102" t="str">
        <f t="shared" si="151"/>
        <v>Octubre</v>
      </c>
      <c r="U415" s="102" t="str">
        <f t="shared" si="152"/>
        <v>Jueves</v>
      </c>
      <c r="V415" s="102">
        <f t="shared" si="153"/>
        <v>9</v>
      </c>
      <c r="W415" s="102" t="str">
        <f t="shared" si="154"/>
        <v>Resto del mes</v>
      </c>
      <c r="X415" s="102">
        <f t="shared" si="155"/>
        <v>27</v>
      </c>
      <c r="Y415" s="102" t="str">
        <f t="shared" si="156"/>
        <v>Sí</v>
      </c>
      <c r="Z415" s="102" t="str">
        <f>CHOOSE(MATCH(B415,{"Customer Appreciation","Exclusive Offers","Flash Sale","Holiday Discounts","New Product Launch","Newsletter"},0),"Fidelizar","Vender","Vender","Vender","Lanzar","Educar")</f>
        <v>Vender</v>
      </c>
      <c r="AA415" s="102" t="str">
        <f t="shared" si="157"/>
        <v>Más de 400 mil</v>
      </c>
      <c r="AB415" s="102">
        <f>COUNTIFS($E$5:$E$493,E415,$S$5:$S$493,"&lt;"&amp;S415)+COUNTIFS($E$5:E415,E415,$S$5:S415,S415)</f>
        <v>16</v>
      </c>
      <c r="AC415" s="102">
        <f t="shared" si="158"/>
        <v>20</v>
      </c>
      <c r="AD415" s="102" t="str">
        <f t="shared" si="159"/>
        <v>Último tercio</v>
      </c>
      <c r="AE415" s="103">
        <f t="shared" si="160"/>
        <v>11.464707153948119</v>
      </c>
      <c r="AF415" s="102" t="str">
        <f t="shared" si="161"/>
        <v xml:space="preserve">  aprovecha antes de que se acabe  oferta flash  productos top </v>
      </c>
      <c r="AG415" s="102" t="str">
        <f t="shared" si="162"/>
        <v xml:space="preserve"> grandes descuentos por tiempo limitado   no te lo pierdas  </v>
      </c>
      <c r="AH415" s="102" t="str">
        <f>IF(SUMPRODUCT(--(LEFT(IF(LEFT(LOWER(E415),1)="¡",MID(LOWER(E415),2,300),LOWER(E415)),LEN({"actualizaci","el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415" s="102" t="str">
        <f>IF(OR(SUMPRODUCT(--ISNUMBER(SEARCH({"descuento","oferta","ahorr","precio"," sale ","flash","deals"},AF415)))&gt;0,SUMPRODUCT(--ISNUMBER(SEARCH({"descuento","oferta","ahorr","precio"," sale ","flash","deals"},AG415)))&gt;0),"Sí","No")</f>
        <v>Sí</v>
      </c>
      <c r="AJ415" s="102" t="str">
        <f>IF(SUMPRODUCT(--ISNUMBER(SEARCH({" hoy ","horas","tiempo limitado","antes de que","se acab","se agot","finalic","última oportunidad","oportunidad única","relámpago","express","no esperes","no volver","no parpadees"},AF415)))&gt;0,"Sí","No")</f>
        <v>Sí</v>
      </c>
      <c r="AK415" s="102" t="str">
        <f>IF(SUMPRODUCT(--ISNUMBER(SEARCH({" hoy ","horas","tiempo limitado","antes de que","se acab","se agot","finalic","última oportunidad","oportunidad única","relámpago","express","no esperes","no volver","no parpadees"},AG415)))&gt;0,"Sí","No")</f>
        <v>Sí</v>
      </c>
      <c r="AL415" s="102" t="str">
        <f t="shared" si="163"/>
        <v>Descuento con tiempo límite en el asunto</v>
      </c>
      <c r="AM415" s="102" t="str">
        <f>IF(SUMPRODUCT(--ISNUMBER(SEARCH({"0","1","2","3","4","5","6","7","8","9","favorit","maquillaje","piel","cabello","productos","belleza","regalo"},E415)))&gt;0,"Sí","No")</f>
        <v>Sí</v>
      </c>
      <c r="AN415" s="102" t="str">
        <f>IF(SUMPRODUCT(--ISNUMBER(SEARCH({"lo que tenemos","estas ofertas","algo especial","ofertas únicas","que preparamos","no te quedes","echa un vistazo"},F415)))&gt;0,"Sí","No")</f>
        <v>No</v>
      </c>
      <c r="AO415" s="102">
        <f t="shared" si="164"/>
        <v>61</v>
      </c>
      <c r="AP415" s="102">
        <f t="shared" si="165"/>
        <v>10</v>
      </c>
      <c r="AQ415" s="102">
        <f>SUMPRODUCT(LEN(E415)-LEN(SUBSTITUTE(E415,{"!","¡","?","¿",":",",",".","%","·","-",";"},"")))</f>
        <v>3</v>
      </c>
      <c r="AR415" s="102" t="str">
        <f t="shared" si="166"/>
        <v>No</v>
      </c>
      <c r="AS415" s="102" t="str">
        <f t="shared" si="167"/>
        <v>No</v>
      </c>
      <c r="AT415" s="102" t="str">
        <f>IF(SUMPRODUCT(--ISNUMBER(FIND({"0","1","2","3","4","5","6","7","8","9"},E415)))&gt;0,"Con cifra concreta",IF(OR(ISNUMBER(FIND("?",E415)),ISNUMBER(FIND("¿",E415))),"Pregunta abierta",IF(SUMPRODUCT(--ISNUMBER(SEARCH({" hoy ","horas","tiempo limitado","antes de que","se acab","se agot","finalic","última oportunidad","oportunidad única","relámpago","express","no esperes","no volver","no parpadees"," ya ","últimas horas","últimas unidades"," ahora "},AF415)))&gt;0,"Solo urgencia, sin cifra",IF(SUMPRODUCT(--ISNUMBER(SEARCH({"recompensa","sorpresa","regalo","lealtad","detalle","gracias","pensamos en ti","para ti"},E415)))&gt;0,"Recompensa o sorpresa","Otro: beneficio o novedad"))))</f>
        <v>Solo urgencia, sin cifra</v>
      </c>
    </row>
    <row r="416" spans="1:46" x14ac:dyDescent="0.2">
      <c r="A416" s="104" t="s">
        <v>1287</v>
      </c>
      <c r="B416" s="104" t="s">
        <v>277</v>
      </c>
      <c r="C416" s="104" t="s">
        <v>830</v>
      </c>
      <c r="D416" s="104" t="s">
        <v>950</v>
      </c>
      <c r="E416" s="104" t="s">
        <v>461</v>
      </c>
      <c r="F416" s="104" t="s">
        <v>462</v>
      </c>
      <c r="G416" s="105">
        <v>285951</v>
      </c>
      <c r="H416" s="105">
        <v>93466</v>
      </c>
      <c r="I416" s="105">
        <v>3890</v>
      </c>
      <c r="J416" s="106">
        <v>2.38</v>
      </c>
      <c r="K416" s="106">
        <v>0.15</v>
      </c>
      <c r="L416" s="107">
        <v>11748.81</v>
      </c>
      <c r="M416" s="108">
        <f t="shared" si="144"/>
        <v>32.686019632734279</v>
      </c>
      <c r="N416" s="108">
        <f t="shared" si="145"/>
        <v>1.3603729310266444</v>
      </c>
      <c r="O416" s="108">
        <f t="shared" si="146"/>
        <v>4.1619412406650547</v>
      </c>
      <c r="P416" s="108">
        <f t="shared" si="147"/>
        <v>41.08679459068162</v>
      </c>
      <c r="Q416" s="108">
        <f t="shared" si="148"/>
        <v>35.409886702202286</v>
      </c>
      <c r="R416" s="108">
        <f t="shared" si="149"/>
        <v>30.71114383300629</v>
      </c>
      <c r="S416" s="101">
        <f t="shared" si="150"/>
        <v>45901</v>
      </c>
      <c r="T416" s="102" t="str">
        <f t="shared" si="151"/>
        <v>Septiembre</v>
      </c>
      <c r="U416" s="102" t="str">
        <f t="shared" si="152"/>
        <v>Lunes</v>
      </c>
      <c r="V416" s="102">
        <f t="shared" si="153"/>
        <v>14</v>
      </c>
      <c r="W416" s="102" t="str">
        <f t="shared" si="154"/>
        <v>Quincena</v>
      </c>
      <c r="X416" s="102">
        <f t="shared" si="155"/>
        <v>29</v>
      </c>
      <c r="Y416" s="102" t="str">
        <f t="shared" si="156"/>
        <v>Sí</v>
      </c>
      <c r="Z416" s="102" t="str">
        <f>CHOOSE(MATCH(B416,{"Customer Appreciation","Exclusive Offers","Flash Sale","Holiday Discounts","New Product Launch","Newsletter"},0),"Fidelizar","Vender","Vender","Vender","Lanzar","Educar")</f>
        <v>Vender</v>
      </c>
      <c r="AA416" s="102" t="str">
        <f t="shared" si="157"/>
        <v>200 a 300 mil</v>
      </c>
      <c r="AB416" s="102">
        <f>COUNTIFS($E$5:$E$493,E416,$S$5:$S$493,"&lt;"&amp;S416)+COUNTIFS($E$5:E416,E416,$S$5:S416,S416)</f>
        <v>14</v>
      </c>
      <c r="AC416" s="102">
        <f t="shared" si="158"/>
        <v>30</v>
      </c>
      <c r="AD416" s="102" t="str">
        <f t="shared" si="159"/>
        <v>Medio</v>
      </c>
      <c r="AE416" s="103">
        <f t="shared" si="160"/>
        <v>-2.7238670694680067</v>
      </c>
      <c r="AF416" s="102" t="str">
        <f t="shared" si="161"/>
        <v xml:space="preserve">  regalos perfectos te esperan  descuentos de lujo  l'oréal </v>
      </c>
      <c r="AG416" s="102" t="str">
        <f t="shared" si="162"/>
        <v xml:space="preserve"> encuentra ese detalle especial para ti o tus seres queridos   descubre  </v>
      </c>
      <c r="AH416" s="102" t="str">
        <f>IF(SUMPRODUCT(--(LEFT(IF(LEFT(LOWER(E416),1)="¡",MID(LOWER(E416),2,300),LOWER(E416)),LEN({"actualizaci","el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416" s="102" t="str">
        <f>IF(OR(SUMPRODUCT(--ISNUMBER(SEARCH({"descuento","oferta","ahorr","precio"," sale ","flash","deals"},AF416)))&gt;0,SUMPRODUCT(--ISNUMBER(SEARCH({"descuento","oferta","ahorr","precio"," sale ","flash","deals"},AG416)))&gt;0),"Sí","No")</f>
        <v>Sí</v>
      </c>
      <c r="AJ416" s="102" t="str">
        <f>IF(SUMPRODUCT(--ISNUMBER(SEARCH({" hoy ","horas","tiempo limitado","antes de que","se acab","se agot","finalic","última oportunidad","oportunidad única","relámpago","express","no esperes","no volver","no parpadees"},AF416)))&gt;0,"Sí","No")</f>
        <v>No</v>
      </c>
      <c r="AK416" s="102" t="str">
        <f>IF(SUMPRODUCT(--ISNUMBER(SEARCH({" hoy ","horas","tiempo limitado","antes de que","se acab","se agot","finalic","última oportunidad","oportunidad única","relámpago","express","no esperes","no volver","no parpadees"},AG416)))&gt;0,"Sí","No")</f>
        <v>No</v>
      </c>
      <c r="AL416" s="102" t="str">
        <f t="shared" si="163"/>
        <v>Descuento sin tiempo límite</v>
      </c>
      <c r="AM416" s="102" t="str">
        <f>IF(SUMPRODUCT(--ISNUMBER(SEARCH({"0","1","2","3","4","5","6","7","8","9","favorit","maquillaje","piel","cabello","productos","belleza","regalo"},E416)))&gt;0,"Sí","No")</f>
        <v>Sí</v>
      </c>
      <c r="AN416" s="102" t="str">
        <f>IF(SUMPRODUCT(--ISNUMBER(SEARCH({"lo que tenemos","estas ofertas","algo especial","ofertas únicas","que preparamos","no te quedes","echa un vistazo"},F416)))&gt;0,"Sí","No")</f>
        <v>No</v>
      </c>
      <c r="AO416" s="102">
        <f t="shared" si="164"/>
        <v>58</v>
      </c>
      <c r="AP416" s="102">
        <f t="shared" si="165"/>
        <v>8</v>
      </c>
      <c r="AQ416" s="102">
        <f>SUMPRODUCT(LEN(E416)-LEN(SUBSTITUTE(E416,{"!","¡","?","¿",":",",",".","%","·","-",";"},"")))</f>
        <v>3</v>
      </c>
      <c r="AR416" s="102" t="str">
        <f t="shared" si="166"/>
        <v>Sí</v>
      </c>
      <c r="AS416" s="102" t="str">
        <f t="shared" si="167"/>
        <v>No</v>
      </c>
      <c r="AT416" s="102" t="str">
        <f>IF(SUMPRODUCT(--ISNUMBER(FIND({"0","1","2","3","4","5","6","7","8","9"},E416)))&gt;0,"Con cifra concreta",IF(OR(ISNUMBER(FIND("?",E416)),ISNUMBER(FIND("¿",E416))),"Pregunta abierta",IF(SUMPRODUCT(--ISNUMBER(SEARCH({" hoy ","horas","tiempo limitado","antes de que","se acab","se agot","finalic","última oportunidad","oportunidad única","relámpago","express","no esperes","no volver","no parpadees"," ya ","últimas horas","últimas unidades"," ahora "},AF416)))&gt;0,"Solo urgencia, sin cifra",IF(SUMPRODUCT(--ISNUMBER(SEARCH({"recompensa","sorpresa","regalo","lealtad","detalle","gracias","pensamos en ti","para ti"},E416)))&gt;0,"Recompensa o sorpresa","Otro: beneficio o novedad"))))</f>
        <v>Recompensa o sorpresa</v>
      </c>
    </row>
    <row r="417" spans="1:46" x14ac:dyDescent="0.2">
      <c r="A417" s="96" t="s">
        <v>1288</v>
      </c>
      <c r="B417" s="96" t="s">
        <v>277</v>
      </c>
      <c r="C417" s="96" t="s">
        <v>976</v>
      </c>
      <c r="D417" s="96" t="s">
        <v>751</v>
      </c>
      <c r="E417" s="96" t="s">
        <v>469</v>
      </c>
      <c r="F417" s="96" t="s">
        <v>470</v>
      </c>
      <c r="G417" s="97">
        <v>198243</v>
      </c>
      <c r="H417" s="97">
        <v>84318</v>
      </c>
      <c r="I417" s="97">
        <v>9635</v>
      </c>
      <c r="J417" s="98">
        <v>6.36</v>
      </c>
      <c r="K417" s="98">
        <v>0.98</v>
      </c>
      <c r="L417" s="99">
        <v>23364.400000000001</v>
      </c>
      <c r="M417" s="100">
        <f t="shared" si="144"/>
        <v>42.5326493243141</v>
      </c>
      <c r="N417" s="100">
        <f t="shared" si="145"/>
        <v>4.8601968291440301</v>
      </c>
      <c r="O417" s="100">
        <f t="shared" si="146"/>
        <v>11.426978818283166</v>
      </c>
      <c r="P417" s="100">
        <f t="shared" si="147"/>
        <v>117.8573770574497</v>
      </c>
      <c r="Q417" s="100">
        <f t="shared" si="148"/>
        <v>29.233022524783024</v>
      </c>
      <c r="R417" s="100">
        <f t="shared" si="149"/>
        <v>30.71114383300629</v>
      </c>
      <c r="S417" s="101">
        <f t="shared" si="150"/>
        <v>45892</v>
      </c>
      <c r="T417" s="102" t="str">
        <f t="shared" si="151"/>
        <v>Agosto</v>
      </c>
      <c r="U417" s="102" t="str">
        <f t="shared" si="152"/>
        <v>Sábado</v>
      </c>
      <c r="V417" s="102">
        <f t="shared" si="153"/>
        <v>11</v>
      </c>
      <c r="W417" s="102" t="str">
        <f t="shared" si="154"/>
        <v>Resto del mes</v>
      </c>
      <c r="X417" s="102">
        <f t="shared" si="155"/>
        <v>25</v>
      </c>
      <c r="Y417" s="102" t="str">
        <f t="shared" si="156"/>
        <v>Sí</v>
      </c>
      <c r="Z417" s="102" t="str">
        <f>CHOOSE(MATCH(B417,{"Customer Appreciation","Exclusive Offers","Flash Sale","Holiday Discounts","New Product Launch","Newsletter"},0),"Fidelizar","Vender","Vender","Vender","Lanzar","Educar")</f>
        <v>Vender</v>
      </c>
      <c r="AA417" s="102" t="str">
        <f t="shared" si="157"/>
        <v>100 a 200 mil</v>
      </c>
      <c r="AB417" s="102">
        <f>COUNTIFS($E$5:$E$493,E417,$S$5:$S$493,"&lt;"&amp;S417)+COUNTIFS($E$5:E417,E417,$S$5:S417,S417)</f>
        <v>6</v>
      </c>
      <c r="AC417" s="102">
        <f t="shared" si="158"/>
        <v>20</v>
      </c>
      <c r="AD417" s="102" t="str">
        <f t="shared" si="159"/>
        <v>Primer tercio</v>
      </c>
      <c r="AE417" s="103">
        <f t="shared" si="160"/>
        <v>13.299626799531076</v>
      </c>
      <c r="AF417" s="102" t="str">
        <f t="shared" si="161"/>
        <v xml:space="preserve">  celebra con nosotros  descuentos festivos para regalar </v>
      </c>
      <c r="AG417" s="102" t="str">
        <f t="shared" si="162"/>
        <v xml:space="preserve"> regalos perfectos y ofertas que te encantarán   descubre más  </v>
      </c>
      <c r="AH417" s="102" t="str">
        <f>IF(SUMPRODUCT(--(LEFT(IF(LEFT(LOWER(E417),1)="¡",MID(LOWER(E417),2,300),LOWER(E417)),LEN({"actualizaci","el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417" s="102" t="str">
        <f>IF(OR(SUMPRODUCT(--ISNUMBER(SEARCH({"descuento","oferta","ahorr","precio"," sale ","flash","deals"},AF417)))&gt;0,SUMPRODUCT(--ISNUMBER(SEARCH({"descuento","oferta","ahorr","precio"," sale ","flash","deals"},AG417)))&gt;0),"Sí","No")</f>
        <v>Sí</v>
      </c>
      <c r="AJ417" s="102" t="str">
        <f>IF(SUMPRODUCT(--ISNUMBER(SEARCH({" hoy ","horas","tiempo limitado","antes de que","se acab","se agot","finalic","última oportunidad","oportunidad única","relámpago","express","no esperes","no volver","no parpadees"},AF417)))&gt;0,"Sí","No")</f>
        <v>No</v>
      </c>
      <c r="AK417" s="102" t="str">
        <f>IF(SUMPRODUCT(--ISNUMBER(SEARCH({" hoy ","horas","tiempo limitado","antes de que","se acab","se agot","finalic","última oportunidad","oportunidad única","relámpago","express","no esperes","no volver","no parpadees"},AG417)))&gt;0,"Sí","No")</f>
        <v>No</v>
      </c>
      <c r="AL417" s="102" t="str">
        <f t="shared" si="163"/>
        <v>Descuento sin tiempo límite</v>
      </c>
      <c r="AM417" s="102" t="str">
        <f>IF(SUMPRODUCT(--ISNUMBER(SEARCH({"0","1","2","3","4","5","6","7","8","9","favorit","maquillaje","piel","cabello","productos","belleza","regalo"},E417)))&gt;0,"Sí","No")</f>
        <v>No</v>
      </c>
      <c r="AN417" s="102" t="str">
        <f>IF(SUMPRODUCT(--ISNUMBER(SEARCH({"lo que tenemos","estas ofertas","algo especial","ofertas únicas","que preparamos","no te quedes","echa un vistazo"},F417)))&gt;0,"Sí","No")</f>
        <v>No</v>
      </c>
      <c r="AO417" s="102">
        <f t="shared" si="164"/>
        <v>55</v>
      </c>
      <c r="AP417" s="102">
        <f t="shared" si="165"/>
        <v>7</v>
      </c>
      <c r="AQ417" s="102">
        <f>SUMPRODUCT(LEN(E417)-LEN(SUBSTITUTE(E417,{"!","¡","?","¿",":",",",".","%","·","-",";"},"")))</f>
        <v>2</v>
      </c>
      <c r="AR417" s="102" t="str">
        <f t="shared" si="166"/>
        <v>Sí</v>
      </c>
      <c r="AS417" s="102" t="str">
        <f t="shared" si="167"/>
        <v>No</v>
      </c>
      <c r="AT417" s="102" t="str">
        <f>IF(SUMPRODUCT(--ISNUMBER(FIND({"0","1","2","3","4","5","6","7","8","9"},E417)))&gt;0,"Con cifra concreta",IF(OR(ISNUMBER(FIND("?",E417)),ISNUMBER(FIND("¿",E417))),"Pregunta abierta",IF(SUMPRODUCT(--ISNUMBER(SEARCH({" hoy ","horas","tiempo limitado","antes de que","se acab","se agot","finalic","última oportunidad","oportunidad única","relámpago","express","no esperes","no volver","no parpadees"," ya ","últimas horas","últimas unidades"," ahora "},AF417)))&gt;0,"Solo urgencia, sin cifra",IF(SUMPRODUCT(--ISNUMBER(SEARCH({"recompensa","sorpresa","regalo","lealtad","detalle","gracias","pensamos en ti","para ti"},E417)))&gt;0,"Recompensa o sorpresa","Otro: beneficio o novedad"))))</f>
        <v>Otro: beneficio o novedad</v>
      </c>
    </row>
    <row r="418" spans="1:46" x14ac:dyDescent="0.2">
      <c r="A418" s="104" t="s">
        <v>1289</v>
      </c>
      <c r="B418" s="104" t="s">
        <v>278</v>
      </c>
      <c r="C418" s="104" t="s">
        <v>773</v>
      </c>
      <c r="D418" s="104" t="s">
        <v>707</v>
      </c>
      <c r="E418" s="104" t="s">
        <v>367</v>
      </c>
      <c r="F418" s="104" t="s">
        <v>458</v>
      </c>
      <c r="G418" s="105">
        <v>172393</v>
      </c>
      <c r="H418" s="105">
        <v>64571</v>
      </c>
      <c r="I418" s="105">
        <v>26909</v>
      </c>
      <c r="J418" s="106">
        <v>4.16</v>
      </c>
      <c r="K418" s="106">
        <v>3.46</v>
      </c>
      <c r="L418" s="107">
        <v>77346.080000000002</v>
      </c>
      <c r="M418" s="108">
        <f t="shared" si="144"/>
        <v>37.455697157077147</v>
      </c>
      <c r="N418" s="108">
        <f t="shared" si="145"/>
        <v>15.609102457756405</v>
      </c>
      <c r="O418" s="108">
        <f t="shared" si="146"/>
        <v>41.673506682566476</v>
      </c>
      <c r="P418" s="108">
        <f t="shared" si="147"/>
        <v>448.66137256153092</v>
      </c>
      <c r="Q418" s="108">
        <f t="shared" si="148"/>
        <v>36.132518317209367</v>
      </c>
      <c r="R418" s="108">
        <f t="shared" si="149"/>
        <v>29.458247936272421</v>
      </c>
      <c r="S418" s="101">
        <f t="shared" si="150"/>
        <v>45909</v>
      </c>
      <c r="T418" s="102" t="str">
        <f t="shared" si="151"/>
        <v>Septiembre</v>
      </c>
      <c r="U418" s="102" t="str">
        <f t="shared" si="152"/>
        <v>Martes</v>
      </c>
      <c r="V418" s="102">
        <f t="shared" si="153"/>
        <v>13</v>
      </c>
      <c r="W418" s="102" t="str">
        <f t="shared" si="154"/>
        <v>Resto del mes</v>
      </c>
      <c r="X418" s="102">
        <f t="shared" si="155"/>
        <v>28</v>
      </c>
      <c r="Y418" s="102" t="str">
        <f t="shared" si="156"/>
        <v>Sí</v>
      </c>
      <c r="Z418" s="102" t="str">
        <f>CHOOSE(MATCH(B418,{"Customer Appreciation","Exclusive Offers","Flash Sale","Holiday Discounts","New Product Launch","Newsletter"},0),"Fidelizar","Vender","Vender","Vender","Lanzar","Educar")</f>
        <v>Lanzar</v>
      </c>
      <c r="AA418" s="102" t="str">
        <f t="shared" si="157"/>
        <v>100 a 200 mil</v>
      </c>
      <c r="AB418" s="102">
        <f>COUNTIFS($E$5:$E$493,E418,$S$5:$S$493,"&lt;"&amp;S418)+COUNTIFS($E$5:E418,E418,$S$5:S418,S418)</f>
        <v>6</v>
      </c>
      <c r="AC418" s="102">
        <f t="shared" si="158"/>
        <v>25</v>
      </c>
      <c r="AD418" s="102" t="str">
        <f t="shared" si="159"/>
        <v>Primer tercio</v>
      </c>
      <c r="AE418" s="103">
        <f t="shared" si="160"/>
        <v>1.3231788398677793</v>
      </c>
      <c r="AF418" s="102" t="str">
        <f t="shared" si="161"/>
        <v xml:space="preserve">  el futuro de tu piel ha llegado  nuevo producto revolucionario </v>
      </c>
      <c r="AG418" s="102" t="str">
        <f t="shared" si="162"/>
        <v xml:space="preserve"> una fórmula revolucionaria para resultados visibles   compruébalo  </v>
      </c>
      <c r="AH418" s="102" t="str">
        <f>IF(SUMPRODUCT(--(LEFT(IF(LEFT(LOWER(E418),1)="¡",MID(LOWER(E418),2,300),LOWER(E418)),LEN({"actualizaci","el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418" s="102" t="str">
        <f>IF(OR(SUMPRODUCT(--ISNUMBER(SEARCH({"descuento","oferta","ahorr","precio"," sale ","flash","deals"},AF418)))&gt;0,SUMPRODUCT(--ISNUMBER(SEARCH({"descuento","oferta","ahorr","precio"," sale ","flash","deals"},AG418)))&gt;0),"Sí","No")</f>
        <v>No</v>
      </c>
      <c r="AJ418" s="102" t="str">
        <f>IF(SUMPRODUCT(--ISNUMBER(SEARCH({" hoy ","horas","tiempo limitado","antes de que","se acab","se agot","finalic","última oportunidad","oportunidad única","relámpago","express","no esperes","no volver","no parpadees"},AF418)))&gt;0,"Sí","No")</f>
        <v>No</v>
      </c>
      <c r="AK418" s="102" t="str">
        <f>IF(SUMPRODUCT(--ISNUMBER(SEARCH({" hoy ","horas","tiempo limitado","antes de que","se acab","se agot","finalic","última oportunidad","oportunidad única","relámpago","express","no esperes","no volver","no parpadees"},AG418)))&gt;0,"Sí","No")</f>
        <v>No</v>
      </c>
      <c r="AL418" s="102" t="str">
        <f t="shared" si="163"/>
        <v>Sin descuento</v>
      </c>
      <c r="AM418" s="102" t="str">
        <f>IF(SUMPRODUCT(--ISNUMBER(SEARCH({"0","1","2","3","4","5","6","7","8","9","favorit","maquillaje","piel","cabello","productos","belleza","regalo"},E418)))&gt;0,"Sí","No")</f>
        <v>Sí</v>
      </c>
      <c r="AN418" s="102" t="str">
        <f>IF(SUMPRODUCT(--ISNUMBER(SEARCH({"lo que tenemos","estas ofertas","algo especial","ofertas únicas","que preparamos","no te quedes","echa un vistazo"},F418)))&gt;0,"Sí","No")</f>
        <v>No</v>
      </c>
      <c r="AO418" s="102">
        <f t="shared" si="164"/>
        <v>63</v>
      </c>
      <c r="AP418" s="102">
        <f t="shared" si="165"/>
        <v>10</v>
      </c>
      <c r="AQ418" s="102">
        <f>SUMPRODUCT(LEN(E418)-LEN(SUBSTITUTE(E418,{"!","¡","?","¿",":",",",".","%","·","-",";"},"")))</f>
        <v>2</v>
      </c>
      <c r="AR418" s="102" t="str">
        <f t="shared" si="166"/>
        <v>No</v>
      </c>
      <c r="AS418" s="102" t="str">
        <f t="shared" si="167"/>
        <v>No</v>
      </c>
      <c r="AT418" s="102" t="str">
        <f>IF(SUMPRODUCT(--ISNUMBER(FIND({"0","1","2","3","4","5","6","7","8","9"},E418)))&gt;0,"Con cifra concreta",IF(OR(ISNUMBER(FIND("?",E418)),ISNUMBER(FIND("¿",E418))),"Pregunta abierta",IF(SUMPRODUCT(--ISNUMBER(SEARCH({" hoy ","horas","tiempo limitado","antes de que","se acab","se agot","finalic","última oportunidad","oportunidad única","relámpago","express","no esperes","no volver","no parpadees"," ya ","últimas horas","últimas unidades"," ahora "},AF418)))&gt;0,"Solo urgencia, sin cifra",IF(SUMPRODUCT(--ISNUMBER(SEARCH({"recompensa","sorpresa","regalo","lealtad","detalle","gracias","pensamos en ti","para ti"},E418)))&gt;0,"Recompensa o sorpresa","Otro: beneficio o novedad"))))</f>
        <v>Otro: beneficio o novedad</v>
      </c>
    </row>
    <row r="419" spans="1:46" x14ac:dyDescent="0.2">
      <c r="A419" s="96" t="s">
        <v>1290</v>
      </c>
      <c r="B419" s="96" t="s">
        <v>278</v>
      </c>
      <c r="C419" s="96" t="s">
        <v>980</v>
      </c>
      <c r="D419" s="96" t="s">
        <v>824</v>
      </c>
      <c r="E419" s="96" t="s">
        <v>368</v>
      </c>
      <c r="F419" s="96" t="s">
        <v>471</v>
      </c>
      <c r="G419" s="97">
        <v>491973</v>
      </c>
      <c r="H419" s="97">
        <v>77732</v>
      </c>
      <c r="I419" s="97">
        <v>16382</v>
      </c>
      <c r="J419" s="98">
        <v>5.28</v>
      </c>
      <c r="K419" s="98">
        <v>2.0299999999999998</v>
      </c>
      <c r="L419" s="99">
        <v>30770.42</v>
      </c>
      <c r="M419" s="100">
        <f t="shared" si="144"/>
        <v>15.800054068007796</v>
      </c>
      <c r="N419" s="100">
        <f t="shared" si="145"/>
        <v>3.3298575328320861</v>
      </c>
      <c r="O419" s="100">
        <f t="shared" si="146"/>
        <v>21.074975557042144</v>
      </c>
      <c r="P419" s="100">
        <f t="shared" si="147"/>
        <v>62.544936409111877</v>
      </c>
      <c r="Q419" s="100">
        <f t="shared" si="148"/>
        <v>23.315840784070005</v>
      </c>
      <c r="R419" s="100">
        <f t="shared" si="149"/>
        <v>29.458247936272421</v>
      </c>
      <c r="S419" s="101">
        <f t="shared" si="150"/>
        <v>45875</v>
      </c>
      <c r="T419" s="102" t="str">
        <f t="shared" si="151"/>
        <v>Agosto</v>
      </c>
      <c r="U419" s="102" t="str">
        <f t="shared" si="152"/>
        <v>Miércoles</v>
      </c>
      <c r="V419" s="102">
        <f t="shared" si="153"/>
        <v>10</v>
      </c>
      <c r="W419" s="102" t="str">
        <f t="shared" si="154"/>
        <v>Resto del mes</v>
      </c>
      <c r="X419" s="102">
        <f t="shared" si="155"/>
        <v>28</v>
      </c>
      <c r="Y419" s="102" t="str">
        <f t="shared" si="156"/>
        <v>Sí</v>
      </c>
      <c r="Z419" s="102" t="str">
        <f>CHOOSE(MATCH(B419,{"Customer Appreciation","Exclusive Offers","Flash Sale","Holiday Discounts","New Product Launch","Newsletter"},0),"Fidelizar","Vender","Vender","Vender","Lanzar","Educar")</f>
        <v>Lanzar</v>
      </c>
      <c r="AA419" s="102" t="str">
        <f t="shared" si="157"/>
        <v>Más de 400 mil</v>
      </c>
      <c r="AB419" s="102">
        <f>COUNTIFS($E$5:$E$493,E419,$S$5:$S$493,"&lt;"&amp;S419)+COUNTIFS($E$5:E419,E419,$S$5:S419,S419)</f>
        <v>5</v>
      </c>
      <c r="AC419" s="102">
        <f t="shared" si="158"/>
        <v>33</v>
      </c>
      <c r="AD419" s="102" t="str">
        <f t="shared" si="159"/>
        <v>Primer tercio</v>
      </c>
      <c r="AE419" s="103">
        <f t="shared" si="160"/>
        <v>-7.5157867160622089</v>
      </c>
      <c r="AF419" s="102" t="str">
        <f t="shared" si="161"/>
        <v xml:space="preserve"> presentamos  nuestro último lanzamiento de belleza  imperdible  </v>
      </c>
      <c r="AG419" s="102" t="str">
        <f t="shared" si="162"/>
        <v xml:space="preserve"> una innovación que cambiará tu rutina   sé de los primeros  </v>
      </c>
      <c r="AH419" s="102" t="str">
        <f>IF(SUMPRODUCT(--(LEFT(IF(LEFT(LOWER(E419),1)="¡",MID(LOWER(E419),2,300),LOWER(E419)),LEN({"actualizaci","el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Sí</v>
      </c>
      <c r="AI419" s="102" t="str">
        <f>IF(OR(SUMPRODUCT(--ISNUMBER(SEARCH({"descuento","oferta","ahorr","precio"," sale ","flash","deals"},AF419)))&gt;0,SUMPRODUCT(--ISNUMBER(SEARCH({"descuento","oferta","ahorr","precio"," sale ","flash","deals"},AG419)))&gt;0),"Sí","No")</f>
        <v>No</v>
      </c>
      <c r="AJ419" s="102" t="str">
        <f>IF(SUMPRODUCT(--ISNUMBER(SEARCH({" hoy ","horas","tiempo limitado","antes de que","se acab","se agot","finalic","última oportunidad","oportunidad única","relámpago","express","no esperes","no volver","no parpadees"},AF419)))&gt;0,"Sí","No")</f>
        <v>No</v>
      </c>
      <c r="AK419" s="102" t="str">
        <f>IF(SUMPRODUCT(--ISNUMBER(SEARCH({" hoy ","horas","tiempo limitado","antes de que","se acab","se agot","finalic","última oportunidad","oportunidad única","relámpago","express","no esperes","no volver","no parpadees"},AG419)))&gt;0,"Sí","No")</f>
        <v>No</v>
      </c>
      <c r="AL419" s="102" t="str">
        <f t="shared" si="163"/>
        <v>Sin descuento</v>
      </c>
      <c r="AM419" s="102" t="str">
        <f>IF(SUMPRODUCT(--ISNUMBER(SEARCH({"0","1","2","3","4","5","6","7","8","9","favorit","maquillaje","piel","cabello","productos","belleza","regalo"},E419)))&gt;0,"Sí","No")</f>
        <v>Sí</v>
      </c>
      <c r="AN419" s="102" t="str">
        <f>IF(SUMPRODUCT(--ISNUMBER(SEARCH({"lo que tenemos","estas ofertas","algo especial","ofertas únicas","que preparamos","no te quedes","echa un vistazo"},F419)))&gt;0,"Sí","No")</f>
        <v>No</v>
      </c>
      <c r="AO419" s="102">
        <f t="shared" si="164"/>
        <v>63</v>
      </c>
      <c r="AP419" s="102">
        <f t="shared" si="165"/>
        <v>7</v>
      </c>
      <c r="AQ419" s="102">
        <f>SUMPRODUCT(LEN(E419)-LEN(SUBSTITUTE(E419,{"!","¡","?","¿",":",",",".","%","·","-",";"},"")))</f>
        <v>3</v>
      </c>
      <c r="AR419" s="102" t="str">
        <f t="shared" si="166"/>
        <v>No</v>
      </c>
      <c r="AS419" s="102" t="str">
        <f t="shared" si="167"/>
        <v>No</v>
      </c>
      <c r="AT419" s="102" t="str">
        <f>IF(SUMPRODUCT(--ISNUMBER(FIND({"0","1","2","3","4","5","6","7","8","9"},E419)))&gt;0,"Con cifra concreta",IF(OR(ISNUMBER(FIND("?",E419)),ISNUMBER(FIND("¿",E419))),"Pregunta abierta",IF(SUMPRODUCT(--ISNUMBER(SEARCH({" hoy ","horas","tiempo limitado","antes de que","se acab","se agot","finalic","última oportunidad","oportunidad única","relámpago","express","no esperes","no volver","no parpadees"," ya ","últimas horas","últimas unidades"," ahora "},AF419)))&gt;0,"Solo urgencia, sin cifra",IF(SUMPRODUCT(--ISNUMBER(SEARCH({"recompensa","sorpresa","regalo","lealtad","detalle","gracias","pensamos en ti","para ti"},E419)))&gt;0,"Recompensa o sorpresa","Otro: beneficio o novedad"))))</f>
        <v>Otro: beneficio o novedad</v>
      </c>
    </row>
    <row r="420" spans="1:46" x14ac:dyDescent="0.2">
      <c r="A420" s="104" t="s">
        <v>1291</v>
      </c>
      <c r="B420" s="104" t="s">
        <v>276</v>
      </c>
      <c r="C420" s="104" t="s">
        <v>815</v>
      </c>
      <c r="D420" s="104" t="s">
        <v>764</v>
      </c>
      <c r="E420" s="104" t="s">
        <v>450</v>
      </c>
      <c r="F420" s="104" t="s">
        <v>451</v>
      </c>
      <c r="G420" s="105">
        <v>430311</v>
      </c>
      <c r="H420" s="105">
        <v>148385</v>
      </c>
      <c r="I420" s="105">
        <v>54737</v>
      </c>
      <c r="J420" s="106">
        <v>1.72</v>
      </c>
      <c r="K420" s="106">
        <v>2.0299999999999998</v>
      </c>
      <c r="L420" s="107">
        <v>92615.49</v>
      </c>
      <c r="M420" s="108">
        <f t="shared" si="144"/>
        <v>34.48319936046255</v>
      </c>
      <c r="N420" s="108">
        <f t="shared" si="145"/>
        <v>12.720334827601432</v>
      </c>
      <c r="O420" s="108">
        <f t="shared" si="146"/>
        <v>36.888499511406145</v>
      </c>
      <c r="P420" s="108">
        <f t="shared" si="147"/>
        <v>215.22919469871792</v>
      </c>
      <c r="Q420" s="108">
        <f t="shared" si="148"/>
        <v>41.593592985418489</v>
      </c>
      <c r="R420" s="108">
        <f t="shared" si="149"/>
        <v>29.440902453236173</v>
      </c>
      <c r="S420" s="101">
        <f t="shared" si="150"/>
        <v>45959</v>
      </c>
      <c r="T420" s="102" t="str">
        <f t="shared" si="151"/>
        <v>Octubre</v>
      </c>
      <c r="U420" s="102" t="str">
        <f t="shared" si="152"/>
        <v>Miércoles</v>
      </c>
      <c r="V420" s="102">
        <f t="shared" si="153"/>
        <v>15</v>
      </c>
      <c r="W420" s="102" t="str">
        <f t="shared" si="154"/>
        <v>Resto del mes</v>
      </c>
      <c r="X420" s="102">
        <f t="shared" si="155"/>
        <v>27</v>
      </c>
      <c r="Y420" s="102" t="str">
        <f t="shared" si="156"/>
        <v>Sí</v>
      </c>
      <c r="Z420" s="102" t="str">
        <f>CHOOSE(MATCH(B420,{"Customer Appreciation","Exclusive Offers","Flash Sale","Holiday Discounts","New Product Launch","Newsletter"},0),"Fidelizar","Vender","Vender","Vender","Lanzar","Educar")</f>
        <v>Vender</v>
      </c>
      <c r="AA420" s="102" t="str">
        <f t="shared" si="157"/>
        <v>Más de 400 mil</v>
      </c>
      <c r="AB420" s="102">
        <f>COUNTIFS($E$5:$E$493,E420,$S$5:$S$493,"&lt;"&amp;S420)+COUNTIFS($E$5:E420,E420,$S$5:S420,S420)</f>
        <v>21</v>
      </c>
      <c r="AC420" s="102">
        <f t="shared" si="158"/>
        <v>21</v>
      </c>
      <c r="AD420" s="102" t="str">
        <f t="shared" si="159"/>
        <v>Último tercio</v>
      </c>
      <c r="AE420" s="103">
        <f t="shared" si="160"/>
        <v>-7.1103936249559396</v>
      </c>
      <c r="AF420" s="102" t="str">
        <f t="shared" si="161"/>
        <v xml:space="preserve">  ahorra ya  flash sale  hasta 50% en tus favoritos </v>
      </c>
      <c r="AG420" s="102" t="str">
        <f t="shared" si="162"/>
        <v xml:space="preserve"> edición limitada  maquillaje  cuidado de piel y más   corre  </v>
      </c>
      <c r="AH420" s="102" t="str">
        <f>IF(SUMPRODUCT(--(LEFT(IF(LEFT(LOWER(E420),1)="¡",MID(LOWER(E420),2,300),LOWER(E420)),LEN({"actualizaci","el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420" s="102" t="str">
        <f>IF(OR(SUMPRODUCT(--ISNUMBER(SEARCH({"descuento","oferta","ahorr","precio"," sale ","flash","deals"},AF420)))&gt;0,SUMPRODUCT(--ISNUMBER(SEARCH({"descuento","oferta","ahorr","precio"," sale ","flash","deals"},AG420)))&gt;0),"Sí","No")</f>
        <v>Sí</v>
      </c>
      <c r="AJ420" s="102" t="str">
        <f>IF(SUMPRODUCT(--ISNUMBER(SEARCH({" hoy ","horas","tiempo limitado","antes de que","se acab","se agot","finalic","última oportunidad","oportunidad única","relámpago","express","no esperes","no volver","no parpadees"},AF420)))&gt;0,"Sí","No")</f>
        <v>No</v>
      </c>
      <c r="AK420" s="102" t="str">
        <f>IF(SUMPRODUCT(--ISNUMBER(SEARCH({" hoy ","horas","tiempo limitado","antes de que","se acab","se agot","finalic","última oportunidad","oportunidad única","relámpago","express","no esperes","no volver","no parpadees"},AG420)))&gt;0,"Sí","No")</f>
        <v>No</v>
      </c>
      <c r="AL420" s="102" t="str">
        <f t="shared" si="163"/>
        <v>Descuento sin tiempo límite</v>
      </c>
      <c r="AM420" s="102" t="str">
        <f>IF(SUMPRODUCT(--ISNUMBER(SEARCH({"0","1","2","3","4","5","6","7","8","9","favorit","maquillaje","piel","cabello","productos","belleza","regalo"},E420)))&gt;0,"Sí","No")</f>
        <v>Sí</v>
      </c>
      <c r="AN420" s="102" t="str">
        <f>IF(SUMPRODUCT(--ISNUMBER(SEARCH({"lo que tenemos","estas ofertas","algo especial","ofertas únicas","que preparamos","no te quedes","echa un vistazo"},F420)))&gt;0,"Sí","No")</f>
        <v>No</v>
      </c>
      <c r="AO420" s="102">
        <f t="shared" si="164"/>
        <v>50</v>
      </c>
      <c r="AP420" s="102">
        <f t="shared" si="165"/>
        <v>9</v>
      </c>
      <c r="AQ420" s="102">
        <f>SUMPRODUCT(LEN(E420)-LEN(SUBSTITUTE(E420,{"!","¡","?","¿",":",",",".","%","·","-",";"},"")))</f>
        <v>4</v>
      </c>
      <c r="AR420" s="102" t="str">
        <f t="shared" si="166"/>
        <v>No</v>
      </c>
      <c r="AS420" s="102" t="str">
        <f t="shared" si="167"/>
        <v>No</v>
      </c>
      <c r="AT420" s="102" t="str">
        <f>IF(SUMPRODUCT(--ISNUMBER(FIND({"0","1","2","3","4","5","6","7","8","9"},E420)))&gt;0,"Con cifra concreta",IF(OR(ISNUMBER(FIND("?",E420)),ISNUMBER(FIND("¿",E420))),"Pregunta abierta",IF(SUMPRODUCT(--ISNUMBER(SEARCH({" hoy ","horas","tiempo limitado","antes de que","se acab","se agot","finalic","última oportunidad","oportunidad única","relámpago","express","no esperes","no volver","no parpadees"," ya ","últimas horas","últimas unidades"," ahora "},AF420)))&gt;0,"Solo urgencia, sin cifra",IF(SUMPRODUCT(--ISNUMBER(SEARCH({"recompensa","sorpresa","regalo","lealtad","detalle","gracias","pensamos en ti","para ti"},E420)))&gt;0,"Recompensa o sorpresa","Otro: beneficio o novedad"))))</f>
        <v>Con cifra concreta</v>
      </c>
    </row>
    <row r="421" spans="1:46" x14ac:dyDescent="0.2">
      <c r="A421" s="96" t="s">
        <v>1292</v>
      </c>
      <c r="B421" s="96" t="s">
        <v>276</v>
      </c>
      <c r="C421" s="96" t="s">
        <v>928</v>
      </c>
      <c r="D421" s="96" t="s">
        <v>715</v>
      </c>
      <c r="E421" s="96" t="s">
        <v>474</v>
      </c>
      <c r="F421" s="96" t="s">
        <v>475</v>
      </c>
      <c r="G421" s="97">
        <v>340512</v>
      </c>
      <c r="H421" s="97">
        <v>117978</v>
      </c>
      <c r="I421" s="97">
        <v>30376</v>
      </c>
      <c r="J421" s="98">
        <v>8.7200000000000006</v>
      </c>
      <c r="K421" s="98">
        <v>2.15</v>
      </c>
      <c r="L421" s="99">
        <v>34573.96</v>
      </c>
      <c r="M421" s="100">
        <f t="shared" si="144"/>
        <v>34.647237101776149</v>
      </c>
      <c r="N421" s="100">
        <f t="shared" si="145"/>
        <v>8.9206841462268578</v>
      </c>
      <c r="O421" s="100">
        <f t="shared" si="146"/>
        <v>25.747173201783387</v>
      </c>
      <c r="P421" s="100">
        <f t="shared" si="147"/>
        <v>101.5352175547411</v>
      </c>
      <c r="Q421" s="100">
        <f t="shared" si="148"/>
        <v>22.775066640377752</v>
      </c>
      <c r="R421" s="100">
        <f t="shared" si="149"/>
        <v>29.440902453236173</v>
      </c>
      <c r="S421" s="101">
        <f t="shared" si="150"/>
        <v>45883</v>
      </c>
      <c r="T421" s="102" t="str">
        <f t="shared" si="151"/>
        <v>Agosto</v>
      </c>
      <c r="U421" s="102" t="str">
        <f t="shared" si="152"/>
        <v>Jueves</v>
      </c>
      <c r="V421" s="102">
        <f t="shared" si="153"/>
        <v>11</v>
      </c>
      <c r="W421" s="102" t="str">
        <f t="shared" si="154"/>
        <v>Quincena</v>
      </c>
      <c r="X421" s="102">
        <f t="shared" si="155"/>
        <v>23</v>
      </c>
      <c r="Y421" s="102" t="str">
        <f t="shared" si="156"/>
        <v>Sí</v>
      </c>
      <c r="Z421" s="102" t="str">
        <f>CHOOSE(MATCH(B421,{"Customer Appreciation","Exclusive Offers","Flash Sale","Holiday Discounts","New Product Launch","Newsletter"},0),"Fidelizar","Vender","Vender","Vender","Lanzar","Educar")</f>
        <v>Vender</v>
      </c>
      <c r="AA421" s="102" t="str">
        <f t="shared" si="157"/>
        <v>300 a 400 mil</v>
      </c>
      <c r="AB421" s="102">
        <f>COUNTIFS($E$5:$E$493,E421,$S$5:$S$493,"&lt;"&amp;S421)+COUNTIFS($E$5:E421,E421,$S$5:S421,S421)</f>
        <v>3</v>
      </c>
      <c r="AC421" s="102">
        <f t="shared" si="158"/>
        <v>20</v>
      </c>
      <c r="AD421" s="102" t="str">
        <f t="shared" si="159"/>
        <v>Primer tercio</v>
      </c>
      <c r="AE421" s="103">
        <f t="shared" si="160"/>
        <v>11.872170461398397</v>
      </c>
      <c r="AF421" s="102" t="str">
        <f t="shared" si="161"/>
        <v xml:space="preserve">  aprovecha antes de que se acabe  oferta flash  productos top </v>
      </c>
      <c r="AG421" s="102" t="str">
        <f t="shared" si="162"/>
        <v xml:space="preserve"> grandes descuentos por tiempo limitado   no te lo pierdas  </v>
      </c>
      <c r="AH421" s="102" t="str">
        <f>IF(SUMPRODUCT(--(LEFT(IF(LEFT(LOWER(E421),1)="¡",MID(LOWER(E421),2,300),LOWER(E421)),LEN({"actualizaci","el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421" s="102" t="str">
        <f>IF(OR(SUMPRODUCT(--ISNUMBER(SEARCH({"descuento","oferta","ahorr","precio"," sale ","flash","deals"},AF421)))&gt;0,SUMPRODUCT(--ISNUMBER(SEARCH({"descuento","oferta","ahorr","precio"," sale ","flash","deals"},AG421)))&gt;0),"Sí","No")</f>
        <v>Sí</v>
      </c>
      <c r="AJ421" s="102" t="str">
        <f>IF(SUMPRODUCT(--ISNUMBER(SEARCH({" hoy ","horas","tiempo limitado","antes de que","se acab","se agot","finalic","última oportunidad","oportunidad única","relámpago","express","no esperes","no volver","no parpadees"},AF421)))&gt;0,"Sí","No")</f>
        <v>Sí</v>
      </c>
      <c r="AK421" s="102" t="str">
        <f>IF(SUMPRODUCT(--ISNUMBER(SEARCH({" hoy ","horas","tiempo limitado","antes de que","se acab","se agot","finalic","última oportunidad","oportunidad única","relámpago","express","no esperes","no volver","no parpadees"},AG421)))&gt;0,"Sí","No")</f>
        <v>Sí</v>
      </c>
      <c r="AL421" s="102" t="str">
        <f t="shared" si="163"/>
        <v>Descuento con tiempo límite en el asunto</v>
      </c>
      <c r="AM421" s="102" t="str">
        <f>IF(SUMPRODUCT(--ISNUMBER(SEARCH({"0","1","2","3","4","5","6","7","8","9","favorit","maquillaje","piel","cabello","productos","belleza","regalo"},E421)))&gt;0,"Sí","No")</f>
        <v>Sí</v>
      </c>
      <c r="AN421" s="102" t="str">
        <f>IF(SUMPRODUCT(--ISNUMBER(SEARCH({"lo que tenemos","estas ofertas","algo especial","ofertas únicas","que preparamos","no te quedes","echa un vistazo"},F421)))&gt;0,"Sí","No")</f>
        <v>No</v>
      </c>
      <c r="AO421" s="102">
        <f t="shared" si="164"/>
        <v>61</v>
      </c>
      <c r="AP421" s="102">
        <f t="shared" si="165"/>
        <v>10</v>
      </c>
      <c r="AQ421" s="102">
        <f>SUMPRODUCT(LEN(E421)-LEN(SUBSTITUTE(E421,{"!","¡","?","¿",":",",",".","%","·","-",";"},"")))</f>
        <v>3</v>
      </c>
      <c r="AR421" s="102" t="str">
        <f t="shared" si="166"/>
        <v>No</v>
      </c>
      <c r="AS421" s="102" t="str">
        <f t="shared" si="167"/>
        <v>No</v>
      </c>
      <c r="AT421" s="102" t="str">
        <f>IF(SUMPRODUCT(--ISNUMBER(FIND({"0","1","2","3","4","5","6","7","8","9"},E421)))&gt;0,"Con cifra concreta",IF(OR(ISNUMBER(FIND("?",E421)),ISNUMBER(FIND("¿",E421))),"Pregunta abierta",IF(SUMPRODUCT(--ISNUMBER(SEARCH({" hoy ","horas","tiempo limitado","antes de que","se acab","se agot","finalic","última oportunidad","oportunidad única","relámpago","express","no esperes","no volver","no parpadees"," ya ","últimas horas","últimas unidades"," ahora "},AF421)))&gt;0,"Solo urgencia, sin cifra",IF(SUMPRODUCT(--ISNUMBER(SEARCH({"recompensa","sorpresa","regalo","lealtad","detalle","gracias","pensamos en ti","para ti"},E421)))&gt;0,"Recompensa o sorpresa","Otro: beneficio o novedad"))))</f>
        <v>Solo urgencia, sin cifra</v>
      </c>
    </row>
    <row r="422" spans="1:46" x14ac:dyDescent="0.2">
      <c r="A422" s="104" t="s">
        <v>1293</v>
      </c>
      <c r="B422" s="104" t="s">
        <v>274</v>
      </c>
      <c r="C422" s="104" t="s">
        <v>944</v>
      </c>
      <c r="D422" s="104" t="s">
        <v>794</v>
      </c>
      <c r="E422" s="104" t="s">
        <v>372</v>
      </c>
      <c r="F422" s="104" t="s">
        <v>480</v>
      </c>
      <c r="G422" s="105">
        <v>362841</v>
      </c>
      <c r="H422" s="105">
        <v>88686</v>
      </c>
      <c r="I422" s="105">
        <v>58022</v>
      </c>
      <c r="J422" s="106">
        <v>5.51</v>
      </c>
      <c r="K422" s="106">
        <v>4.54</v>
      </c>
      <c r="L422" s="107">
        <v>44574.53</v>
      </c>
      <c r="M422" s="108">
        <f t="shared" si="144"/>
        <v>24.442111007300717</v>
      </c>
      <c r="N422" s="108">
        <f t="shared" si="145"/>
        <v>15.991026372433105</v>
      </c>
      <c r="O422" s="108">
        <f t="shared" si="146"/>
        <v>65.424080463658299</v>
      </c>
      <c r="P422" s="108">
        <f t="shared" si="147"/>
        <v>122.84865822770854</v>
      </c>
      <c r="Q422" s="108">
        <f t="shared" si="148"/>
        <v>20.724631699294946</v>
      </c>
      <c r="R422" s="108">
        <f t="shared" si="149"/>
        <v>31.113650744455075</v>
      </c>
      <c r="S422" s="101">
        <f t="shared" si="150"/>
        <v>45943</v>
      </c>
      <c r="T422" s="102" t="str">
        <f t="shared" si="151"/>
        <v>Octubre</v>
      </c>
      <c r="U422" s="102" t="str">
        <f t="shared" si="152"/>
        <v>Lunes</v>
      </c>
      <c r="V422" s="102">
        <f t="shared" si="153"/>
        <v>12</v>
      </c>
      <c r="W422" s="102" t="str">
        <f t="shared" si="154"/>
        <v>Resto del mes</v>
      </c>
      <c r="X422" s="102">
        <f t="shared" si="155"/>
        <v>23</v>
      </c>
      <c r="Y422" s="102" t="str">
        <f t="shared" si="156"/>
        <v>Sí</v>
      </c>
      <c r="Z422" s="102" t="str">
        <f>CHOOSE(MATCH(B422,{"Customer Appreciation","Exclusive Offers","Flash Sale","Holiday Discounts","New Product Launch","Newsletter"},0),"Fidelizar","Vender","Vender","Vender","Lanzar","Educar")</f>
        <v>Fidelizar</v>
      </c>
      <c r="AA422" s="102" t="str">
        <f t="shared" si="157"/>
        <v>300 a 400 mil</v>
      </c>
      <c r="AB422" s="102">
        <f>COUNTIFS($E$5:$E$493,E422,$S$5:$S$493,"&lt;"&amp;S422)+COUNTIFS($E$5:E422,E422,$S$5:S422,S422)</f>
        <v>13</v>
      </c>
      <c r="AC422" s="102">
        <f t="shared" si="158"/>
        <v>14</v>
      </c>
      <c r="AD422" s="102" t="str">
        <f t="shared" si="159"/>
        <v>Último tercio</v>
      </c>
      <c r="AE422" s="103">
        <f t="shared" si="160"/>
        <v>3.7174793080057711</v>
      </c>
      <c r="AF422" s="102" t="str">
        <f t="shared" si="161"/>
        <v xml:space="preserve">  un pequeño detalle para agradecerte tu lealtad  l'oréal </v>
      </c>
      <c r="AG422" s="102" t="str">
        <f t="shared" si="162"/>
        <v xml:space="preserve"> echa un vistazo a lo que tenemos para ti   te va a encantar  </v>
      </c>
      <c r="AH422" s="102" t="str">
        <f>IF(SUMPRODUCT(--(LEFT(IF(LEFT(LOWER(E422),1)="¡",MID(LOWER(E422),2,300),LOWER(E422)),LEN({"actualizaci","el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Sí</v>
      </c>
      <c r="AI422" s="102" t="str">
        <f>IF(OR(SUMPRODUCT(--ISNUMBER(SEARCH({"descuento","oferta","ahorr","precio"," sale ","flash","deals"},AF422)))&gt;0,SUMPRODUCT(--ISNUMBER(SEARCH({"descuento","oferta","ahorr","precio"," sale ","flash","deals"},AG422)))&gt;0),"Sí","No")</f>
        <v>No</v>
      </c>
      <c r="AJ422" s="102" t="str">
        <f>IF(SUMPRODUCT(--ISNUMBER(SEARCH({" hoy ","horas","tiempo limitado","antes de que","se acab","se agot","finalic","última oportunidad","oportunidad única","relámpago","express","no esperes","no volver","no parpadees"},AF422)))&gt;0,"Sí","No")</f>
        <v>No</v>
      </c>
      <c r="AK422" s="102" t="str">
        <f>IF(SUMPRODUCT(--ISNUMBER(SEARCH({" hoy ","horas","tiempo limitado","antes de que","se acab","se agot","finalic","última oportunidad","oportunidad única","relámpago","express","no esperes","no volver","no parpadees"},AG422)))&gt;0,"Sí","No")</f>
        <v>No</v>
      </c>
      <c r="AL422" s="102" t="str">
        <f t="shared" si="163"/>
        <v>Sin descuento</v>
      </c>
      <c r="AM422" s="102" t="str">
        <f>IF(SUMPRODUCT(--ISNUMBER(SEARCH({"0","1","2","3","4","5","6","7","8","9","favorit","maquillaje","piel","cabello","productos","belleza","regalo"},E422)))&gt;0,"Sí","No")</f>
        <v>No</v>
      </c>
      <c r="AN422" s="102" t="str">
        <f>IF(SUMPRODUCT(--ISNUMBER(SEARCH({"lo que tenemos","estas ofertas","algo especial","ofertas únicas","que preparamos","no te quedes","echa un vistazo"},F422)))&gt;0,"Sí","No")</f>
        <v>Sí</v>
      </c>
      <c r="AO422" s="102">
        <f t="shared" si="164"/>
        <v>56</v>
      </c>
      <c r="AP422" s="102">
        <f t="shared" si="165"/>
        <v>8</v>
      </c>
      <c r="AQ422" s="102">
        <f>SUMPRODUCT(LEN(E422)-LEN(SUBSTITUTE(E422,{"!","¡","?","¿",":",",",".","%","·","-",";"},"")))</f>
        <v>2</v>
      </c>
      <c r="AR422" s="102" t="str">
        <f t="shared" si="166"/>
        <v>Sí</v>
      </c>
      <c r="AS422" s="102" t="str">
        <f t="shared" si="167"/>
        <v>No</v>
      </c>
      <c r="AT422" s="102" t="str">
        <f>IF(SUMPRODUCT(--ISNUMBER(FIND({"0","1","2","3","4","5","6","7","8","9"},E422)))&gt;0,"Con cifra concreta",IF(OR(ISNUMBER(FIND("?",E422)),ISNUMBER(FIND("¿",E422))),"Pregunta abierta",IF(SUMPRODUCT(--ISNUMBER(SEARCH({" hoy ","horas","tiempo limitado","antes de que","se acab","se agot","finalic","última oportunidad","oportunidad única","relámpago","express","no esperes","no volver","no parpadees"," ya ","últimas horas","últimas unidades"," ahora "},AF422)))&gt;0,"Solo urgencia, sin cifra",IF(SUMPRODUCT(--ISNUMBER(SEARCH({"recompensa","sorpresa","regalo","lealtad","detalle","gracias","pensamos en ti","para ti"},E422)))&gt;0,"Recompensa o sorpresa","Otro: beneficio o novedad"))))</f>
        <v>Recompensa o sorpresa</v>
      </c>
    </row>
    <row r="423" spans="1:46" x14ac:dyDescent="0.2">
      <c r="A423" s="96" t="s">
        <v>1294</v>
      </c>
      <c r="B423" s="96" t="s">
        <v>278</v>
      </c>
      <c r="C423" s="96" t="s">
        <v>889</v>
      </c>
      <c r="D423" s="96" t="s">
        <v>761</v>
      </c>
      <c r="E423" s="96" t="s">
        <v>367</v>
      </c>
      <c r="F423" s="96" t="s">
        <v>458</v>
      </c>
      <c r="G423" s="97">
        <v>210807</v>
      </c>
      <c r="H423" s="97">
        <v>102434</v>
      </c>
      <c r="I423" s="97">
        <v>6324</v>
      </c>
      <c r="J423" s="98">
        <v>2.5099999999999998</v>
      </c>
      <c r="K423" s="98">
        <v>1.58</v>
      </c>
      <c r="L423" s="99">
        <v>68021.11</v>
      </c>
      <c r="M423" s="100">
        <f t="shared" si="144"/>
        <v>48.591365561864649</v>
      </c>
      <c r="N423" s="100">
        <f t="shared" si="145"/>
        <v>2.9999003828146122</v>
      </c>
      <c r="O423" s="100">
        <f t="shared" si="146"/>
        <v>6.1737313782533141</v>
      </c>
      <c r="P423" s="100">
        <f t="shared" si="147"/>
        <v>322.67007262567182</v>
      </c>
      <c r="Q423" s="100">
        <f t="shared" si="148"/>
        <v>36.132518317209367</v>
      </c>
      <c r="R423" s="100">
        <f t="shared" si="149"/>
        <v>29.458247936272421</v>
      </c>
      <c r="S423" s="101">
        <f t="shared" si="150"/>
        <v>45908</v>
      </c>
      <c r="T423" s="102" t="str">
        <f t="shared" si="151"/>
        <v>Septiembre</v>
      </c>
      <c r="U423" s="102" t="str">
        <f t="shared" si="152"/>
        <v>Lunes</v>
      </c>
      <c r="V423" s="102">
        <f t="shared" si="153"/>
        <v>10</v>
      </c>
      <c r="W423" s="102" t="str">
        <f t="shared" si="154"/>
        <v>Resto del mes</v>
      </c>
      <c r="X423" s="102">
        <f t="shared" si="155"/>
        <v>28</v>
      </c>
      <c r="Y423" s="102" t="str">
        <f t="shared" si="156"/>
        <v>Sí</v>
      </c>
      <c r="Z423" s="102" t="str">
        <f>CHOOSE(MATCH(B423,{"Customer Appreciation","Exclusive Offers","Flash Sale","Holiday Discounts","New Product Launch","Newsletter"},0),"Fidelizar","Vender","Vender","Vender","Lanzar","Educar")</f>
        <v>Lanzar</v>
      </c>
      <c r="AA423" s="102" t="str">
        <f t="shared" si="157"/>
        <v>200 a 300 mil</v>
      </c>
      <c r="AB423" s="102">
        <f>COUNTIFS($E$5:$E$493,E423,$S$5:$S$493,"&lt;"&amp;S423)+COUNTIFS($E$5:E423,E423,$S$5:S423,S423)</f>
        <v>5</v>
      </c>
      <c r="AC423" s="102">
        <f t="shared" si="158"/>
        <v>25</v>
      </c>
      <c r="AD423" s="102" t="str">
        <f t="shared" si="159"/>
        <v>Primer tercio</v>
      </c>
      <c r="AE423" s="103">
        <f t="shared" si="160"/>
        <v>12.458847244655281</v>
      </c>
      <c r="AF423" s="102" t="str">
        <f t="shared" si="161"/>
        <v xml:space="preserve">  el futuro de tu piel ha llegado  nuevo producto revolucionario </v>
      </c>
      <c r="AG423" s="102" t="str">
        <f t="shared" si="162"/>
        <v xml:space="preserve"> una fórmula revolucionaria para resultados visibles   compruébalo  </v>
      </c>
      <c r="AH423" s="102" t="str">
        <f>IF(SUMPRODUCT(--(LEFT(IF(LEFT(LOWER(E423),1)="¡",MID(LOWER(E423),2,300),LOWER(E423)),LEN({"actualizaci","el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423" s="102" t="str">
        <f>IF(OR(SUMPRODUCT(--ISNUMBER(SEARCH({"descuento","oferta","ahorr","precio"," sale ","flash","deals"},AF423)))&gt;0,SUMPRODUCT(--ISNUMBER(SEARCH({"descuento","oferta","ahorr","precio"," sale ","flash","deals"},AG423)))&gt;0),"Sí","No")</f>
        <v>No</v>
      </c>
      <c r="AJ423" s="102" t="str">
        <f>IF(SUMPRODUCT(--ISNUMBER(SEARCH({" hoy ","horas","tiempo limitado","antes de que","se acab","se agot","finalic","última oportunidad","oportunidad única","relámpago","express","no esperes","no volver","no parpadees"},AF423)))&gt;0,"Sí","No")</f>
        <v>No</v>
      </c>
      <c r="AK423" s="102" t="str">
        <f>IF(SUMPRODUCT(--ISNUMBER(SEARCH({" hoy ","horas","tiempo limitado","antes de que","se acab","se agot","finalic","última oportunidad","oportunidad única","relámpago","express","no esperes","no volver","no parpadees"},AG423)))&gt;0,"Sí","No")</f>
        <v>No</v>
      </c>
      <c r="AL423" s="102" t="str">
        <f t="shared" si="163"/>
        <v>Sin descuento</v>
      </c>
      <c r="AM423" s="102" t="str">
        <f>IF(SUMPRODUCT(--ISNUMBER(SEARCH({"0","1","2","3","4","5","6","7","8","9","favorit","maquillaje","piel","cabello","productos","belleza","regalo"},E423)))&gt;0,"Sí","No")</f>
        <v>Sí</v>
      </c>
      <c r="AN423" s="102" t="str">
        <f>IF(SUMPRODUCT(--ISNUMBER(SEARCH({"lo que tenemos","estas ofertas","algo especial","ofertas únicas","que preparamos","no te quedes","echa un vistazo"},F423)))&gt;0,"Sí","No")</f>
        <v>No</v>
      </c>
      <c r="AO423" s="102">
        <f t="shared" si="164"/>
        <v>63</v>
      </c>
      <c r="AP423" s="102">
        <f t="shared" si="165"/>
        <v>10</v>
      </c>
      <c r="AQ423" s="102">
        <f>SUMPRODUCT(LEN(E423)-LEN(SUBSTITUTE(E423,{"!","¡","?","¿",":",",",".","%","·","-",";"},"")))</f>
        <v>2</v>
      </c>
      <c r="AR423" s="102" t="str">
        <f t="shared" si="166"/>
        <v>No</v>
      </c>
      <c r="AS423" s="102" t="str">
        <f t="shared" si="167"/>
        <v>No</v>
      </c>
      <c r="AT423" s="102" t="str">
        <f>IF(SUMPRODUCT(--ISNUMBER(FIND({"0","1","2","3","4","5","6","7","8","9"},E423)))&gt;0,"Con cifra concreta",IF(OR(ISNUMBER(FIND("?",E423)),ISNUMBER(FIND("¿",E423))),"Pregunta abierta",IF(SUMPRODUCT(--ISNUMBER(SEARCH({" hoy ","horas","tiempo limitado","antes de que","se acab","se agot","finalic","última oportunidad","oportunidad única","relámpago","express","no esperes","no volver","no parpadees"," ya ","últimas horas","últimas unidades"," ahora "},AF423)))&gt;0,"Solo urgencia, sin cifra",IF(SUMPRODUCT(--ISNUMBER(SEARCH({"recompensa","sorpresa","regalo","lealtad","detalle","gracias","pensamos en ti","para ti"},E423)))&gt;0,"Recompensa o sorpresa","Otro: beneficio o novedad"))))</f>
        <v>Otro: beneficio o novedad</v>
      </c>
    </row>
    <row r="424" spans="1:46" x14ac:dyDescent="0.2">
      <c r="A424" s="104" t="s">
        <v>1295</v>
      </c>
      <c r="B424" s="104" t="s">
        <v>275</v>
      </c>
      <c r="C424" s="104" t="s">
        <v>891</v>
      </c>
      <c r="D424" s="104" t="s">
        <v>786</v>
      </c>
      <c r="E424" s="104" t="s">
        <v>465</v>
      </c>
      <c r="F424" s="104" t="s">
        <v>466</v>
      </c>
      <c r="G424" s="105">
        <v>359530</v>
      </c>
      <c r="H424" s="105">
        <v>115545</v>
      </c>
      <c r="I424" s="105">
        <v>59998</v>
      </c>
      <c r="J424" s="106">
        <v>3.17</v>
      </c>
      <c r="K424" s="106">
        <v>4.74</v>
      </c>
      <c r="L424" s="107">
        <v>64463.48</v>
      </c>
      <c r="M424" s="108">
        <f t="shared" si="144"/>
        <v>32.137791004923095</v>
      </c>
      <c r="N424" s="108">
        <f t="shared" si="145"/>
        <v>16.687898089171973</v>
      </c>
      <c r="O424" s="108">
        <f t="shared" si="146"/>
        <v>51.926089402397338</v>
      </c>
      <c r="P424" s="108">
        <f t="shared" si="147"/>
        <v>179.2993074291436</v>
      </c>
      <c r="Q424" s="108">
        <f t="shared" si="148"/>
        <v>33.047230763392911</v>
      </c>
      <c r="R424" s="108">
        <f t="shared" si="149"/>
        <v>27.021447627328243</v>
      </c>
      <c r="S424" s="101">
        <f t="shared" si="150"/>
        <v>45888</v>
      </c>
      <c r="T424" s="102" t="str">
        <f t="shared" si="151"/>
        <v>Agosto</v>
      </c>
      <c r="U424" s="102" t="str">
        <f t="shared" si="152"/>
        <v>Martes</v>
      </c>
      <c r="V424" s="102">
        <f t="shared" si="153"/>
        <v>15</v>
      </c>
      <c r="W424" s="102" t="str">
        <f t="shared" si="154"/>
        <v>Días después del pago</v>
      </c>
      <c r="X424" s="102">
        <f t="shared" si="155"/>
        <v>29</v>
      </c>
      <c r="Y424" s="102" t="str">
        <f t="shared" si="156"/>
        <v>Sí</v>
      </c>
      <c r="Z424" s="102" t="str">
        <f>CHOOSE(MATCH(B424,{"Customer Appreciation","Exclusive Offers","Flash Sale","Holiday Discounts","New Product Launch","Newsletter"},0),"Fidelizar","Vender","Vender","Vender","Lanzar","Educar")</f>
        <v>Vender</v>
      </c>
      <c r="AA424" s="102" t="str">
        <f t="shared" si="157"/>
        <v>300 a 400 mil</v>
      </c>
      <c r="AB424" s="102">
        <f>COUNTIFS($E$5:$E$493,E424,$S$5:$S$493,"&lt;"&amp;S424)+COUNTIFS($E$5:E424,E424,$S$5:S424,S424)</f>
        <v>4</v>
      </c>
      <c r="AC424" s="102">
        <f t="shared" si="158"/>
        <v>22</v>
      </c>
      <c r="AD424" s="102" t="str">
        <f t="shared" si="159"/>
        <v>Primer tercio</v>
      </c>
      <c r="AE424" s="103">
        <f t="shared" si="160"/>
        <v>-0.90943975846981573</v>
      </c>
      <c r="AF424" s="102" t="str">
        <f t="shared" si="161"/>
        <v xml:space="preserve">  ofertas exclusivas  solo para nuestra comunidad vip </v>
      </c>
      <c r="AG424" s="102" t="str">
        <f t="shared" si="162"/>
        <v xml:space="preserve"> productos premium con descuentos únicos   acceso limitado  </v>
      </c>
      <c r="AH424" s="102" t="str">
        <f>IF(SUMPRODUCT(--(LEFT(IF(LEFT(LOWER(E424),1)="¡",MID(LOWER(E424),2,300),LOWER(E424)),LEN({"actualizaci","el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424" s="102" t="str">
        <f>IF(OR(SUMPRODUCT(--ISNUMBER(SEARCH({"descuento","oferta","ahorr","precio"," sale ","flash","deals"},AF424)))&gt;0,SUMPRODUCT(--ISNUMBER(SEARCH({"descuento","oferta","ahorr","precio"," sale ","flash","deals"},AG424)))&gt;0),"Sí","No")</f>
        <v>Sí</v>
      </c>
      <c r="AJ424" s="102" t="str">
        <f>IF(SUMPRODUCT(--ISNUMBER(SEARCH({" hoy ","horas","tiempo limitado","antes de que","se acab","se agot","finalic","última oportunidad","oportunidad única","relámpago","express","no esperes","no volver","no parpadees"},AF424)))&gt;0,"Sí","No")</f>
        <v>No</v>
      </c>
      <c r="AK424" s="102" t="str">
        <f>IF(SUMPRODUCT(--ISNUMBER(SEARCH({" hoy ","horas","tiempo limitado","antes de que","se acab","se agot","finalic","última oportunidad","oportunidad única","relámpago","express","no esperes","no volver","no parpadees"},AG424)))&gt;0,"Sí","No")</f>
        <v>No</v>
      </c>
      <c r="AL424" s="102" t="str">
        <f t="shared" si="163"/>
        <v>Descuento sin tiempo límite</v>
      </c>
      <c r="AM424" s="102" t="str">
        <f>IF(SUMPRODUCT(--ISNUMBER(SEARCH({"0","1","2","3","4","5","6","7","8","9","favorit","maquillaje","piel","cabello","productos","belleza","regalo"},E424)))&gt;0,"Sí","No")</f>
        <v>No</v>
      </c>
      <c r="AN424" s="102" t="str">
        <f>IF(SUMPRODUCT(--ISNUMBER(SEARCH({"lo que tenemos","estas ofertas","algo especial","ofertas únicas","que preparamos","no te quedes","echa un vistazo"},F424)))&gt;0,"Sí","No")</f>
        <v>No</v>
      </c>
      <c r="AO424" s="102">
        <f t="shared" si="164"/>
        <v>52</v>
      </c>
      <c r="AP424" s="102">
        <f t="shared" si="165"/>
        <v>7</v>
      </c>
      <c r="AQ424" s="102">
        <f>SUMPRODUCT(LEN(E424)-LEN(SUBSTITUTE(E424,{"!","¡","?","¿",":",",",".","%","·","-",";"},"")))</f>
        <v>2</v>
      </c>
      <c r="AR424" s="102" t="str">
        <f t="shared" si="166"/>
        <v>Sí</v>
      </c>
      <c r="AS424" s="102" t="str">
        <f t="shared" si="167"/>
        <v>No</v>
      </c>
      <c r="AT424" s="102" t="str">
        <f>IF(SUMPRODUCT(--ISNUMBER(FIND({"0","1","2","3","4","5","6","7","8","9"},E424)))&gt;0,"Con cifra concreta",IF(OR(ISNUMBER(FIND("?",E424)),ISNUMBER(FIND("¿",E424))),"Pregunta abierta",IF(SUMPRODUCT(--ISNUMBER(SEARCH({" hoy ","horas","tiempo limitado","antes de que","se acab","se agot","finalic","última oportunidad","oportunidad única","relámpago","express","no esperes","no volver","no parpadees"," ya ","últimas horas","últimas unidades"," ahora "},AF424)))&gt;0,"Solo urgencia, sin cifra",IF(SUMPRODUCT(--ISNUMBER(SEARCH({"recompensa","sorpresa","regalo","lealtad","detalle","gracias","pensamos en ti","para ti"},E424)))&gt;0,"Recompensa o sorpresa","Otro: beneficio o novedad"))))</f>
        <v>Otro: beneficio o novedad</v>
      </c>
    </row>
    <row r="425" spans="1:46" x14ac:dyDescent="0.2">
      <c r="A425" s="96" t="s">
        <v>1296</v>
      </c>
      <c r="B425" s="96" t="s">
        <v>278</v>
      </c>
      <c r="C425" s="96" t="s">
        <v>915</v>
      </c>
      <c r="D425" s="96" t="s">
        <v>769</v>
      </c>
      <c r="E425" s="96" t="s">
        <v>368</v>
      </c>
      <c r="F425" s="96" t="s">
        <v>471</v>
      </c>
      <c r="G425" s="97">
        <v>473479</v>
      </c>
      <c r="H425" s="97">
        <v>216962</v>
      </c>
      <c r="I425" s="97">
        <v>74700</v>
      </c>
      <c r="J425" s="98">
        <v>1.58</v>
      </c>
      <c r="K425" s="98">
        <v>1.92</v>
      </c>
      <c r="L425" s="99">
        <v>84357.41</v>
      </c>
      <c r="M425" s="100">
        <f t="shared" si="144"/>
        <v>45.82294040495988</v>
      </c>
      <c r="N425" s="100">
        <f t="shared" si="145"/>
        <v>15.776834875464383</v>
      </c>
      <c r="O425" s="100">
        <f t="shared" si="146"/>
        <v>34.429992348890586</v>
      </c>
      <c r="P425" s="100">
        <f t="shared" si="147"/>
        <v>178.16505061470519</v>
      </c>
      <c r="Q425" s="100">
        <f t="shared" si="148"/>
        <v>23.315840784070005</v>
      </c>
      <c r="R425" s="100">
        <f t="shared" si="149"/>
        <v>29.458247936272421</v>
      </c>
      <c r="S425" s="101">
        <f t="shared" si="150"/>
        <v>45954</v>
      </c>
      <c r="T425" s="102" t="str">
        <f t="shared" si="151"/>
        <v>Octubre</v>
      </c>
      <c r="U425" s="102" t="str">
        <f t="shared" si="152"/>
        <v>Viernes</v>
      </c>
      <c r="V425" s="102">
        <f t="shared" si="153"/>
        <v>13</v>
      </c>
      <c r="W425" s="102" t="str">
        <f t="shared" si="154"/>
        <v>Resto del mes</v>
      </c>
      <c r="X425" s="102">
        <f t="shared" si="155"/>
        <v>29</v>
      </c>
      <c r="Y425" s="102" t="str">
        <f t="shared" si="156"/>
        <v>Sí</v>
      </c>
      <c r="Z425" s="102" t="str">
        <f>CHOOSE(MATCH(B425,{"Customer Appreciation","Exclusive Offers","Flash Sale","Holiday Discounts","New Product Launch","Newsletter"},0),"Fidelizar","Vender","Vender","Vender","Lanzar","Educar")</f>
        <v>Lanzar</v>
      </c>
      <c r="AA425" s="102" t="str">
        <f t="shared" si="157"/>
        <v>Más de 400 mil</v>
      </c>
      <c r="AB425" s="102">
        <f>COUNTIFS($E$5:$E$493,E425,$S$5:$S$493,"&lt;"&amp;S425)+COUNTIFS($E$5:E425,E425,$S$5:S425,S425)</f>
        <v>32</v>
      </c>
      <c r="AC425" s="102">
        <f t="shared" si="158"/>
        <v>33</v>
      </c>
      <c r="AD425" s="102" t="str">
        <f t="shared" si="159"/>
        <v>Último tercio</v>
      </c>
      <c r="AE425" s="103">
        <f t="shared" si="160"/>
        <v>22.507099620889875</v>
      </c>
      <c r="AF425" s="102" t="str">
        <f t="shared" si="161"/>
        <v xml:space="preserve"> presentamos  nuestro último lanzamiento de belleza  imperdible  </v>
      </c>
      <c r="AG425" s="102" t="str">
        <f t="shared" si="162"/>
        <v xml:space="preserve"> una innovación que cambiará tu rutina   sé de los primeros  </v>
      </c>
      <c r="AH425" s="102" t="str">
        <f>IF(SUMPRODUCT(--(LEFT(IF(LEFT(LOWER(E425),1)="¡",MID(LOWER(E425),2,300),LOWER(E425)),LEN({"actualizaci","el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Sí</v>
      </c>
      <c r="AI425" s="102" t="str">
        <f>IF(OR(SUMPRODUCT(--ISNUMBER(SEARCH({"descuento","oferta","ahorr","precio"," sale ","flash","deals"},AF425)))&gt;0,SUMPRODUCT(--ISNUMBER(SEARCH({"descuento","oferta","ahorr","precio"," sale ","flash","deals"},AG425)))&gt;0),"Sí","No")</f>
        <v>No</v>
      </c>
      <c r="AJ425" s="102" t="str">
        <f>IF(SUMPRODUCT(--ISNUMBER(SEARCH({" hoy ","horas","tiempo limitado","antes de que","se acab","se agot","finalic","última oportunidad","oportunidad única","relámpago","express","no esperes","no volver","no parpadees"},AF425)))&gt;0,"Sí","No")</f>
        <v>No</v>
      </c>
      <c r="AK425" s="102" t="str">
        <f>IF(SUMPRODUCT(--ISNUMBER(SEARCH({" hoy ","horas","tiempo limitado","antes de que","se acab","se agot","finalic","última oportunidad","oportunidad única","relámpago","express","no esperes","no volver","no parpadees"},AG425)))&gt;0,"Sí","No")</f>
        <v>No</v>
      </c>
      <c r="AL425" s="102" t="str">
        <f t="shared" si="163"/>
        <v>Sin descuento</v>
      </c>
      <c r="AM425" s="102" t="str">
        <f>IF(SUMPRODUCT(--ISNUMBER(SEARCH({"0","1","2","3","4","5","6","7","8","9","favorit","maquillaje","piel","cabello","productos","belleza","regalo"},E425)))&gt;0,"Sí","No")</f>
        <v>Sí</v>
      </c>
      <c r="AN425" s="102" t="str">
        <f>IF(SUMPRODUCT(--ISNUMBER(SEARCH({"lo que tenemos","estas ofertas","algo especial","ofertas únicas","que preparamos","no te quedes","echa un vistazo"},F425)))&gt;0,"Sí","No")</f>
        <v>No</v>
      </c>
      <c r="AO425" s="102">
        <f t="shared" si="164"/>
        <v>63</v>
      </c>
      <c r="AP425" s="102">
        <f t="shared" si="165"/>
        <v>7</v>
      </c>
      <c r="AQ425" s="102">
        <f>SUMPRODUCT(LEN(E425)-LEN(SUBSTITUTE(E425,{"!","¡","?","¿",":",",",".","%","·","-",";"},"")))</f>
        <v>3</v>
      </c>
      <c r="AR425" s="102" t="str">
        <f t="shared" si="166"/>
        <v>No</v>
      </c>
      <c r="AS425" s="102" t="str">
        <f t="shared" si="167"/>
        <v>No</v>
      </c>
      <c r="AT425" s="102" t="str">
        <f>IF(SUMPRODUCT(--ISNUMBER(FIND({"0","1","2","3","4","5","6","7","8","9"},E425)))&gt;0,"Con cifra concreta",IF(OR(ISNUMBER(FIND("?",E425)),ISNUMBER(FIND("¿",E425))),"Pregunta abierta",IF(SUMPRODUCT(--ISNUMBER(SEARCH({" hoy ","horas","tiempo limitado","antes de que","se acab","se agot","finalic","última oportunidad","oportunidad única","relámpago","express","no esperes","no volver","no parpadees"," ya ","últimas horas","últimas unidades"," ahora "},AF425)))&gt;0,"Solo urgencia, sin cifra",IF(SUMPRODUCT(--ISNUMBER(SEARCH({"recompensa","sorpresa","regalo","lealtad","detalle","gracias","pensamos en ti","para ti"},E425)))&gt;0,"Recompensa o sorpresa","Otro: beneficio o novedad"))))</f>
        <v>Otro: beneficio o novedad</v>
      </c>
    </row>
    <row r="426" spans="1:46" x14ac:dyDescent="0.2">
      <c r="A426" s="104" t="s">
        <v>1297</v>
      </c>
      <c r="B426" s="104" t="s">
        <v>279</v>
      </c>
      <c r="C426" s="104" t="s">
        <v>923</v>
      </c>
      <c r="D426" s="104" t="s">
        <v>729</v>
      </c>
      <c r="E426" s="104" t="s">
        <v>370</v>
      </c>
      <c r="F426" s="104" t="s">
        <v>485</v>
      </c>
      <c r="G426" s="105">
        <v>463381</v>
      </c>
      <c r="H426" s="105">
        <v>42194</v>
      </c>
      <c r="I426" s="105">
        <v>14917</v>
      </c>
      <c r="J426" s="106">
        <v>9.73</v>
      </c>
      <c r="K426" s="106">
        <v>0.59</v>
      </c>
      <c r="L426" s="107">
        <v>8100.14</v>
      </c>
      <c r="M426" s="108">
        <f t="shared" si="144"/>
        <v>9.1056819334413799</v>
      </c>
      <c r="N426" s="108">
        <f t="shared" si="145"/>
        <v>3.2191652225706275</v>
      </c>
      <c r="O426" s="108">
        <f t="shared" si="146"/>
        <v>35.353367777409112</v>
      </c>
      <c r="P426" s="108">
        <f t="shared" si="147"/>
        <v>17.480518191293992</v>
      </c>
      <c r="Q426" s="108">
        <f t="shared" si="148"/>
        <v>15.908213539730554</v>
      </c>
      <c r="R426" s="108">
        <f t="shared" si="149"/>
        <v>27.75136451093497</v>
      </c>
      <c r="S426" s="101">
        <f t="shared" si="150"/>
        <v>45873</v>
      </c>
      <c r="T426" s="102" t="str">
        <f t="shared" si="151"/>
        <v>Agosto</v>
      </c>
      <c r="U426" s="102" t="str">
        <f t="shared" si="152"/>
        <v>Lunes</v>
      </c>
      <c r="V426" s="102">
        <f t="shared" si="153"/>
        <v>10</v>
      </c>
      <c r="W426" s="102" t="str">
        <f t="shared" si="154"/>
        <v>Días después del pago</v>
      </c>
      <c r="X426" s="102">
        <f t="shared" si="155"/>
        <v>24</v>
      </c>
      <c r="Y426" s="102" t="str">
        <f t="shared" si="156"/>
        <v>Sí</v>
      </c>
      <c r="Z426" s="102" t="str">
        <f>CHOOSE(MATCH(B426,{"Customer Appreciation","Exclusive Offers","Flash Sale","Holiday Discounts","New Product Launch","Newsletter"},0),"Fidelizar","Vender","Vender","Vender","Lanzar","Educar")</f>
        <v>Educar</v>
      </c>
      <c r="AA426" s="102" t="str">
        <f t="shared" si="157"/>
        <v>Más de 400 mil</v>
      </c>
      <c r="AB426" s="102">
        <f>COUNTIFS($E$5:$E$493,E426,$S$5:$S$493,"&lt;"&amp;S426)+COUNTIFS($E$5:E426,E426,$S$5:S426,S426)</f>
        <v>2</v>
      </c>
      <c r="AC426" s="102">
        <f t="shared" si="158"/>
        <v>10</v>
      </c>
      <c r="AD426" s="102" t="str">
        <f t="shared" si="159"/>
        <v>Primer tercio</v>
      </c>
      <c r="AE426" s="103">
        <f t="shared" si="160"/>
        <v>-6.8025316062891736</v>
      </c>
      <c r="AF426" s="102" t="str">
        <f t="shared" si="161"/>
        <v xml:space="preserve"> actualización de l'oréal   qué hay de nuevo en el mundo beauty  </v>
      </c>
      <c r="AG426" s="102" t="str">
        <f t="shared" si="162"/>
        <v xml:space="preserve"> no te quedes atrás con las últimas tendencias   descubre más  </v>
      </c>
      <c r="AH426" s="102" t="str">
        <f>IF(SUMPRODUCT(--(LEFT(IF(LEFT(LOWER(E426),1)="¡",MID(LOWER(E426),2,300),LOWER(E426)),LEN({"actualizaci","el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Sí</v>
      </c>
      <c r="AI426" s="102" t="str">
        <f>IF(OR(SUMPRODUCT(--ISNUMBER(SEARCH({"descuento","oferta","ahorr","precio"," sale ","flash","deals"},AF426)))&gt;0,SUMPRODUCT(--ISNUMBER(SEARCH({"descuento","oferta","ahorr","precio"," sale ","flash","deals"},AG426)))&gt;0),"Sí","No")</f>
        <v>No</v>
      </c>
      <c r="AJ426" s="102" t="str">
        <f>IF(SUMPRODUCT(--ISNUMBER(SEARCH({" hoy ","horas","tiempo limitado","antes de que","se acab","se agot","finalic","última oportunidad","oportunidad única","relámpago","express","no esperes","no volver","no parpadees"},AF426)))&gt;0,"Sí","No")</f>
        <v>No</v>
      </c>
      <c r="AK426" s="102" t="str">
        <f>IF(SUMPRODUCT(--ISNUMBER(SEARCH({" hoy ","horas","tiempo limitado","antes de que","se acab","se agot","finalic","última oportunidad","oportunidad única","relámpago","express","no esperes","no volver","no parpadees"},AG426)))&gt;0,"Sí","No")</f>
        <v>No</v>
      </c>
      <c r="AL426" s="102" t="str">
        <f t="shared" si="163"/>
        <v>Sin descuento</v>
      </c>
      <c r="AM426" s="102" t="str">
        <f>IF(SUMPRODUCT(--ISNUMBER(SEARCH({"0","1","2","3","4","5","6","7","8","9","favorit","maquillaje","piel","cabello","productos","belleza","regalo"},E426)))&gt;0,"Sí","No")</f>
        <v>No</v>
      </c>
      <c r="AN426" s="102" t="str">
        <f>IF(SUMPRODUCT(--ISNUMBER(SEARCH({"lo que tenemos","estas ofertas","algo especial","ofertas únicas","que preparamos","no te quedes","echa un vistazo"},F426)))&gt;0,"Sí","No")</f>
        <v>Sí</v>
      </c>
      <c r="AO426" s="102">
        <f t="shared" si="164"/>
        <v>63</v>
      </c>
      <c r="AP426" s="102">
        <f t="shared" si="165"/>
        <v>11</v>
      </c>
      <c r="AQ426" s="102">
        <f>SUMPRODUCT(LEN(E426)-LEN(SUBSTITUTE(E426,{"!","¡","?","¿",":",",",".","%","·","-",";"},"")))</f>
        <v>3</v>
      </c>
      <c r="AR426" s="102" t="str">
        <f t="shared" si="166"/>
        <v>No</v>
      </c>
      <c r="AS426" s="102" t="str">
        <f t="shared" si="167"/>
        <v>No</v>
      </c>
      <c r="AT426" s="102" t="str">
        <f>IF(SUMPRODUCT(--ISNUMBER(FIND({"0","1","2","3","4","5","6","7","8","9"},E426)))&gt;0,"Con cifra concreta",IF(OR(ISNUMBER(FIND("?",E426)),ISNUMBER(FIND("¿",E426))),"Pregunta abierta",IF(SUMPRODUCT(--ISNUMBER(SEARCH({" hoy ","horas","tiempo limitado","antes de que","se acab","se agot","finalic","última oportunidad","oportunidad única","relámpago","express","no esperes","no volver","no parpadees"," ya ","últimas horas","últimas unidades"," ahora "},AF426)))&gt;0,"Solo urgencia, sin cifra",IF(SUMPRODUCT(--ISNUMBER(SEARCH({"recompensa","sorpresa","regalo","lealtad","detalle","gracias","pensamos en ti","para ti"},E426)))&gt;0,"Recompensa o sorpresa","Otro: beneficio o novedad"))))</f>
        <v>Pregunta abierta</v>
      </c>
    </row>
    <row r="427" spans="1:46" x14ac:dyDescent="0.2">
      <c r="A427" s="96" t="s">
        <v>1298</v>
      </c>
      <c r="B427" s="96" t="s">
        <v>278</v>
      </c>
      <c r="C427" s="96" t="s">
        <v>793</v>
      </c>
      <c r="D427" s="96" t="s">
        <v>947</v>
      </c>
      <c r="E427" s="96" t="s">
        <v>467</v>
      </c>
      <c r="F427" s="96" t="s">
        <v>468</v>
      </c>
      <c r="G427" s="97">
        <v>321314</v>
      </c>
      <c r="H427" s="97">
        <v>76127</v>
      </c>
      <c r="I427" s="97">
        <v>52981</v>
      </c>
      <c r="J427" s="98">
        <v>6.68</v>
      </c>
      <c r="K427" s="98">
        <v>4.76</v>
      </c>
      <c r="L427" s="99">
        <v>19206.830000000002</v>
      </c>
      <c r="M427" s="100">
        <f t="shared" si="144"/>
        <v>23.692400580117891</v>
      </c>
      <c r="N427" s="100">
        <f t="shared" si="145"/>
        <v>16.488855138587176</v>
      </c>
      <c r="O427" s="100">
        <f t="shared" si="146"/>
        <v>69.595544287834798</v>
      </c>
      <c r="P427" s="100">
        <f t="shared" si="147"/>
        <v>59.775889005770061</v>
      </c>
      <c r="Q427" s="100">
        <f t="shared" si="148"/>
        <v>30.93688234168668</v>
      </c>
      <c r="R427" s="100">
        <f t="shared" si="149"/>
        <v>29.458247936272421</v>
      </c>
      <c r="S427" s="101">
        <f t="shared" si="150"/>
        <v>45939</v>
      </c>
      <c r="T427" s="102" t="str">
        <f t="shared" si="151"/>
        <v>Octubre</v>
      </c>
      <c r="U427" s="102" t="str">
        <f t="shared" si="152"/>
        <v>Jueves</v>
      </c>
      <c r="V427" s="102">
        <f t="shared" si="153"/>
        <v>9</v>
      </c>
      <c r="W427" s="102" t="str">
        <f t="shared" si="154"/>
        <v>Resto del mes</v>
      </c>
      <c r="X427" s="102">
        <f t="shared" si="155"/>
        <v>27</v>
      </c>
      <c r="Y427" s="102" t="str">
        <f t="shared" si="156"/>
        <v>Sí</v>
      </c>
      <c r="Z427" s="102" t="str">
        <f>CHOOSE(MATCH(B427,{"Customer Appreciation","Exclusive Offers","Flash Sale","Holiday Discounts","New Product Launch","Newsletter"},0),"Fidelizar","Vender","Vender","Vender","Lanzar","Educar")</f>
        <v>Lanzar</v>
      </c>
      <c r="AA427" s="102" t="str">
        <f t="shared" si="157"/>
        <v>300 a 400 mil</v>
      </c>
      <c r="AB427" s="102">
        <f>COUNTIFS($E$5:$E$493,E427,$S$5:$S$493,"&lt;"&amp;S427)+COUNTIFS($E$5:E427,E427,$S$5:S427,S427)</f>
        <v>20</v>
      </c>
      <c r="AC427" s="102">
        <f t="shared" si="158"/>
        <v>22</v>
      </c>
      <c r="AD427" s="102" t="str">
        <f t="shared" si="159"/>
        <v>Último tercio</v>
      </c>
      <c r="AE427" s="103">
        <f t="shared" si="160"/>
        <v>-7.2444817615687889</v>
      </c>
      <c r="AF427" s="102" t="str">
        <f t="shared" si="161"/>
        <v xml:space="preserve">  lo nuevo de l'oréal  te va a encantar  innovación en belleza </v>
      </c>
      <c r="AG427" s="102" t="str">
        <f t="shared" si="162"/>
        <v xml:space="preserve"> prepárate para experimentar la innovación en tu belleza   descúbrela  </v>
      </c>
      <c r="AH427" s="102" t="str">
        <f>IF(SUMPRODUCT(--(LEFT(IF(LEFT(LOWER(E427),1)="¡",MID(LOWER(E427),2,300),LOWER(E427)),LEN({"actualizaci","el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427" s="102" t="str">
        <f>IF(OR(SUMPRODUCT(--ISNUMBER(SEARCH({"descuento","oferta","ahorr","precio"," sale ","flash","deals"},AF427)))&gt;0,SUMPRODUCT(--ISNUMBER(SEARCH({"descuento","oferta","ahorr","precio"," sale ","flash","deals"},AG427)))&gt;0),"Sí","No")</f>
        <v>No</v>
      </c>
      <c r="AJ427" s="102" t="str">
        <f>IF(SUMPRODUCT(--ISNUMBER(SEARCH({" hoy ","horas","tiempo limitado","antes de que","se acab","se agot","finalic","última oportunidad","oportunidad única","relámpago","express","no esperes","no volver","no parpadees"},AF427)))&gt;0,"Sí","No")</f>
        <v>No</v>
      </c>
      <c r="AK427" s="102" t="str">
        <f>IF(SUMPRODUCT(--ISNUMBER(SEARCH({" hoy ","horas","tiempo limitado","antes de que","se acab","se agot","finalic","última oportunidad","oportunidad única","relámpago","express","no esperes","no volver","no parpadees"},AG427)))&gt;0,"Sí","No")</f>
        <v>No</v>
      </c>
      <c r="AL427" s="102" t="str">
        <f t="shared" si="163"/>
        <v>Sin descuento</v>
      </c>
      <c r="AM427" s="102" t="str">
        <f>IF(SUMPRODUCT(--ISNUMBER(SEARCH({"0","1","2","3","4","5","6","7","8","9","favorit","maquillaje","piel","cabello","productos","belleza","regalo"},E427)))&gt;0,"Sí","No")</f>
        <v>Sí</v>
      </c>
      <c r="AN427" s="102" t="str">
        <f>IF(SUMPRODUCT(--ISNUMBER(SEARCH({"lo que tenemos","estas ofertas","algo especial","ofertas únicas","que preparamos","no te quedes","echa un vistazo"},F427)))&gt;0,"Sí","No")</f>
        <v>No</v>
      </c>
      <c r="AO427" s="102">
        <f t="shared" si="164"/>
        <v>61</v>
      </c>
      <c r="AP427" s="102">
        <f t="shared" si="165"/>
        <v>11</v>
      </c>
      <c r="AQ427" s="102">
        <f>SUMPRODUCT(LEN(E427)-LEN(SUBSTITUTE(E427,{"!","¡","?","¿",":",",",".","%","·","-",";"},"")))</f>
        <v>3</v>
      </c>
      <c r="AR427" s="102" t="str">
        <f t="shared" si="166"/>
        <v>No</v>
      </c>
      <c r="AS427" s="102" t="str">
        <f t="shared" si="167"/>
        <v>No</v>
      </c>
      <c r="AT427" s="102" t="str">
        <f>IF(SUMPRODUCT(--ISNUMBER(FIND({"0","1","2","3","4","5","6","7","8","9"},E427)))&gt;0,"Con cifra concreta",IF(OR(ISNUMBER(FIND("?",E427)),ISNUMBER(FIND("¿",E427))),"Pregunta abierta",IF(SUMPRODUCT(--ISNUMBER(SEARCH({" hoy ","horas","tiempo limitado","antes de que","se acab","se agot","finalic","última oportunidad","oportunidad única","relámpago","express","no esperes","no volver","no parpadees"," ya ","últimas horas","últimas unidades"," ahora "},AF427)))&gt;0,"Solo urgencia, sin cifra",IF(SUMPRODUCT(--ISNUMBER(SEARCH({"recompensa","sorpresa","regalo","lealtad","detalle","gracias","pensamos en ti","para ti"},E427)))&gt;0,"Recompensa o sorpresa","Otro: beneficio o novedad"))))</f>
        <v>Otro: beneficio o novedad</v>
      </c>
    </row>
    <row r="428" spans="1:46" x14ac:dyDescent="0.2">
      <c r="A428" s="104" t="s">
        <v>1299</v>
      </c>
      <c r="B428" s="104" t="s">
        <v>274</v>
      </c>
      <c r="C428" s="104" t="s">
        <v>830</v>
      </c>
      <c r="D428" s="104" t="s">
        <v>950</v>
      </c>
      <c r="E428" s="104" t="s">
        <v>453</v>
      </c>
      <c r="F428" s="104" t="s">
        <v>454</v>
      </c>
      <c r="G428" s="105">
        <v>108872</v>
      </c>
      <c r="H428" s="105">
        <v>48092</v>
      </c>
      <c r="I428" s="105">
        <v>20925</v>
      </c>
      <c r="J428" s="106">
        <v>5.48</v>
      </c>
      <c r="K428" s="106">
        <v>3.88</v>
      </c>
      <c r="L428" s="107">
        <v>31920.87</v>
      </c>
      <c r="M428" s="108">
        <f t="shared" si="144"/>
        <v>44.172973767359835</v>
      </c>
      <c r="N428" s="108">
        <f t="shared" si="145"/>
        <v>19.219817767653758</v>
      </c>
      <c r="O428" s="108">
        <f t="shared" si="146"/>
        <v>43.510355152624136</v>
      </c>
      <c r="P428" s="108">
        <f t="shared" si="147"/>
        <v>293.19632228672197</v>
      </c>
      <c r="Q428" s="108">
        <f t="shared" si="148"/>
        <v>39.210446566150395</v>
      </c>
      <c r="R428" s="108">
        <f t="shared" si="149"/>
        <v>31.113650744455075</v>
      </c>
      <c r="S428" s="101">
        <f t="shared" si="150"/>
        <v>45901</v>
      </c>
      <c r="T428" s="102" t="str">
        <f t="shared" si="151"/>
        <v>Septiembre</v>
      </c>
      <c r="U428" s="102" t="str">
        <f t="shared" si="152"/>
        <v>Lunes</v>
      </c>
      <c r="V428" s="102">
        <f t="shared" si="153"/>
        <v>14</v>
      </c>
      <c r="W428" s="102" t="str">
        <f t="shared" si="154"/>
        <v>Quincena</v>
      </c>
      <c r="X428" s="102">
        <f t="shared" si="155"/>
        <v>29</v>
      </c>
      <c r="Y428" s="102" t="str">
        <f t="shared" si="156"/>
        <v>Sí</v>
      </c>
      <c r="Z428" s="102" t="str">
        <f>CHOOSE(MATCH(B428,{"Customer Appreciation","Exclusive Offers","Flash Sale","Holiday Discounts","New Product Launch","Newsletter"},0),"Fidelizar","Vender","Vender","Vender","Lanzar","Educar")</f>
        <v>Fidelizar</v>
      </c>
      <c r="AA428" s="102" t="str">
        <f t="shared" si="157"/>
        <v>100 a 200 mil</v>
      </c>
      <c r="AB428" s="102">
        <f>COUNTIFS($E$5:$E$493,E428,$S$5:$S$493,"&lt;"&amp;S428)+COUNTIFS($E$5:E428,E428,$S$5:S428,S428)</f>
        <v>11</v>
      </c>
      <c r="AC428" s="102">
        <f t="shared" si="158"/>
        <v>20</v>
      </c>
      <c r="AD428" s="102" t="str">
        <f t="shared" si="159"/>
        <v>Medio</v>
      </c>
      <c r="AE428" s="103">
        <f t="shared" si="160"/>
        <v>4.9625272012094399</v>
      </c>
      <c r="AF428" s="102" t="str">
        <f t="shared" si="161"/>
        <v xml:space="preserve">  pensamos en ti  descubre estas sorpresas exclusivas </v>
      </c>
      <c r="AG428" s="102" t="str">
        <f t="shared" si="162"/>
        <v xml:space="preserve"> ofertas exclusivas por tu lealtad a l'oréal   aprovecha  </v>
      </c>
      <c r="AH428" s="102" t="str">
        <f>IF(SUMPRODUCT(--(LEFT(IF(LEFT(LOWER(E428),1)="¡",MID(LOWER(E428),2,300),LOWER(E428)),LEN({"actualizaci","el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428" s="102" t="str">
        <f>IF(OR(SUMPRODUCT(--ISNUMBER(SEARCH({"descuento","oferta","ahorr","precio"," sale ","flash","deals"},AF428)))&gt;0,SUMPRODUCT(--ISNUMBER(SEARCH({"descuento","oferta","ahorr","precio"," sale ","flash","deals"},AG428)))&gt;0),"Sí","No")</f>
        <v>Sí</v>
      </c>
      <c r="AJ428" s="102" t="str">
        <f>IF(SUMPRODUCT(--ISNUMBER(SEARCH({" hoy ","horas","tiempo limitado","antes de que","se acab","se agot","finalic","última oportunidad","oportunidad única","relámpago","express","no esperes","no volver","no parpadees"},AF428)))&gt;0,"Sí","No")</f>
        <v>No</v>
      </c>
      <c r="AK428" s="102" t="str">
        <f>IF(SUMPRODUCT(--ISNUMBER(SEARCH({" hoy ","horas","tiempo limitado","antes de que","se acab","se agot","finalic","última oportunidad","oportunidad única","relámpago","express","no esperes","no volver","no parpadees"},AG428)))&gt;0,"Sí","No")</f>
        <v>No</v>
      </c>
      <c r="AL428" s="102" t="str">
        <f t="shared" si="163"/>
        <v>Descuento sin tiempo límite</v>
      </c>
      <c r="AM428" s="102" t="str">
        <f>IF(SUMPRODUCT(--ISNUMBER(SEARCH({"0","1","2","3","4","5","6","7","8","9","favorit","maquillaje","piel","cabello","productos","belleza","regalo"},E428)))&gt;0,"Sí","No")</f>
        <v>No</v>
      </c>
      <c r="AN428" s="102" t="str">
        <f>IF(SUMPRODUCT(--ISNUMBER(SEARCH({"lo que tenemos","estas ofertas","algo especial","ofertas únicas","que preparamos","no te quedes","echa un vistazo"},F428)))&gt;0,"Sí","No")</f>
        <v>No</v>
      </c>
      <c r="AO428" s="102">
        <f t="shared" si="164"/>
        <v>52</v>
      </c>
      <c r="AP428" s="102">
        <f t="shared" si="165"/>
        <v>7</v>
      </c>
      <c r="AQ428" s="102">
        <f>SUMPRODUCT(LEN(E428)-LEN(SUBSTITUTE(E428,{"!","¡","?","¿",":",",",".","%","·","-",";"},"")))</f>
        <v>2</v>
      </c>
      <c r="AR428" s="102" t="str">
        <f t="shared" si="166"/>
        <v>Sí</v>
      </c>
      <c r="AS428" s="102" t="str">
        <f t="shared" si="167"/>
        <v>No</v>
      </c>
      <c r="AT428" s="102" t="str">
        <f>IF(SUMPRODUCT(--ISNUMBER(FIND({"0","1","2","3","4","5","6","7","8","9"},E428)))&gt;0,"Con cifra concreta",IF(OR(ISNUMBER(FIND("?",E428)),ISNUMBER(FIND("¿",E428))),"Pregunta abierta",IF(SUMPRODUCT(--ISNUMBER(SEARCH({" hoy ","horas","tiempo limitado","antes de que","se acab","se agot","finalic","última oportunidad","oportunidad única","relámpago","express","no esperes","no volver","no parpadees"," ya ","últimas horas","últimas unidades"," ahora "},AF428)))&gt;0,"Solo urgencia, sin cifra",IF(SUMPRODUCT(--ISNUMBER(SEARCH({"recompensa","sorpresa","regalo","lealtad","detalle","gracias","pensamos en ti","para ti"},E428)))&gt;0,"Recompensa o sorpresa","Otro: beneficio o novedad"))))</f>
        <v>Recompensa o sorpresa</v>
      </c>
    </row>
    <row r="429" spans="1:46" x14ac:dyDescent="0.2">
      <c r="A429" s="96" t="s">
        <v>1300</v>
      </c>
      <c r="B429" s="96" t="s">
        <v>277</v>
      </c>
      <c r="C429" s="96" t="s">
        <v>976</v>
      </c>
      <c r="D429" s="96" t="s">
        <v>751</v>
      </c>
      <c r="E429" s="96" t="s">
        <v>461</v>
      </c>
      <c r="F429" s="96" t="s">
        <v>462</v>
      </c>
      <c r="G429" s="97">
        <v>234013</v>
      </c>
      <c r="H429" s="97">
        <v>104928</v>
      </c>
      <c r="I429" s="97">
        <v>43927</v>
      </c>
      <c r="J429" s="98">
        <v>0.64</v>
      </c>
      <c r="K429" s="98">
        <v>3.19</v>
      </c>
      <c r="L429" s="99">
        <v>51400.77</v>
      </c>
      <c r="M429" s="100">
        <f t="shared" si="144"/>
        <v>44.838534611325009</v>
      </c>
      <c r="N429" s="100">
        <f t="shared" si="145"/>
        <v>18.771179378923396</v>
      </c>
      <c r="O429" s="100">
        <f t="shared" si="146"/>
        <v>41.863944800243978</v>
      </c>
      <c r="P429" s="100">
        <f t="shared" si="147"/>
        <v>219.649207522659</v>
      </c>
      <c r="Q429" s="100">
        <f t="shared" si="148"/>
        <v>35.409886702202286</v>
      </c>
      <c r="R429" s="100">
        <f t="shared" si="149"/>
        <v>30.71114383300629</v>
      </c>
      <c r="S429" s="101">
        <f t="shared" si="150"/>
        <v>45892</v>
      </c>
      <c r="T429" s="102" t="str">
        <f t="shared" si="151"/>
        <v>Agosto</v>
      </c>
      <c r="U429" s="102" t="str">
        <f t="shared" si="152"/>
        <v>Sábado</v>
      </c>
      <c r="V429" s="102">
        <f t="shared" si="153"/>
        <v>11</v>
      </c>
      <c r="W429" s="102" t="str">
        <f t="shared" si="154"/>
        <v>Resto del mes</v>
      </c>
      <c r="X429" s="102">
        <f t="shared" si="155"/>
        <v>25</v>
      </c>
      <c r="Y429" s="102" t="str">
        <f t="shared" si="156"/>
        <v>Sí</v>
      </c>
      <c r="Z429" s="102" t="str">
        <f>CHOOSE(MATCH(B429,{"Customer Appreciation","Exclusive Offers","Flash Sale","Holiday Discounts","New Product Launch","Newsletter"},0),"Fidelizar","Vender","Vender","Vender","Lanzar","Educar")</f>
        <v>Vender</v>
      </c>
      <c r="AA429" s="102" t="str">
        <f t="shared" si="157"/>
        <v>200 a 300 mil</v>
      </c>
      <c r="AB429" s="102">
        <f>COUNTIFS($E$5:$E$493,E429,$S$5:$S$493,"&lt;"&amp;S429)+COUNTIFS($E$5:E429,E429,$S$5:S429,S429)</f>
        <v>11</v>
      </c>
      <c r="AC429" s="102">
        <f t="shared" si="158"/>
        <v>30</v>
      </c>
      <c r="AD429" s="102" t="str">
        <f t="shared" si="159"/>
        <v>Medio</v>
      </c>
      <c r="AE429" s="103">
        <f t="shared" si="160"/>
        <v>9.4286479091227235</v>
      </c>
      <c r="AF429" s="102" t="str">
        <f t="shared" si="161"/>
        <v xml:space="preserve">  regalos perfectos te esperan  descuentos de lujo  l'oréal </v>
      </c>
      <c r="AG429" s="102" t="str">
        <f t="shared" si="162"/>
        <v xml:space="preserve"> encuentra ese detalle especial para ti o tus seres queridos   descubre  </v>
      </c>
      <c r="AH429" s="102" t="str">
        <f>IF(SUMPRODUCT(--(LEFT(IF(LEFT(LOWER(E429),1)="¡",MID(LOWER(E429),2,300),LOWER(E429)),LEN({"actualizaci","el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429" s="102" t="str">
        <f>IF(OR(SUMPRODUCT(--ISNUMBER(SEARCH({"descuento","oferta","ahorr","precio"," sale ","flash","deals"},AF429)))&gt;0,SUMPRODUCT(--ISNUMBER(SEARCH({"descuento","oferta","ahorr","precio"," sale ","flash","deals"},AG429)))&gt;0),"Sí","No")</f>
        <v>Sí</v>
      </c>
      <c r="AJ429" s="102" t="str">
        <f>IF(SUMPRODUCT(--ISNUMBER(SEARCH({" hoy ","horas","tiempo limitado","antes de que","se acab","se agot","finalic","última oportunidad","oportunidad única","relámpago","express","no esperes","no volver","no parpadees"},AF429)))&gt;0,"Sí","No")</f>
        <v>No</v>
      </c>
      <c r="AK429" s="102" t="str">
        <f>IF(SUMPRODUCT(--ISNUMBER(SEARCH({" hoy ","horas","tiempo limitado","antes de que","se acab","se agot","finalic","última oportunidad","oportunidad única","relámpago","express","no esperes","no volver","no parpadees"},AG429)))&gt;0,"Sí","No")</f>
        <v>No</v>
      </c>
      <c r="AL429" s="102" t="str">
        <f t="shared" si="163"/>
        <v>Descuento sin tiempo límite</v>
      </c>
      <c r="AM429" s="102" t="str">
        <f>IF(SUMPRODUCT(--ISNUMBER(SEARCH({"0","1","2","3","4","5","6","7","8","9","favorit","maquillaje","piel","cabello","productos","belleza","regalo"},E429)))&gt;0,"Sí","No")</f>
        <v>Sí</v>
      </c>
      <c r="AN429" s="102" t="str">
        <f>IF(SUMPRODUCT(--ISNUMBER(SEARCH({"lo que tenemos","estas ofertas","algo especial","ofertas únicas","que preparamos","no te quedes","echa un vistazo"},F429)))&gt;0,"Sí","No")</f>
        <v>No</v>
      </c>
      <c r="AO429" s="102">
        <f t="shared" si="164"/>
        <v>58</v>
      </c>
      <c r="AP429" s="102">
        <f t="shared" si="165"/>
        <v>8</v>
      </c>
      <c r="AQ429" s="102">
        <f>SUMPRODUCT(LEN(E429)-LEN(SUBSTITUTE(E429,{"!","¡","?","¿",":",",",".","%","·","-",";"},"")))</f>
        <v>3</v>
      </c>
      <c r="AR429" s="102" t="str">
        <f t="shared" si="166"/>
        <v>Sí</v>
      </c>
      <c r="AS429" s="102" t="str">
        <f t="shared" si="167"/>
        <v>No</v>
      </c>
      <c r="AT429" s="102" t="str">
        <f>IF(SUMPRODUCT(--ISNUMBER(FIND({"0","1","2","3","4","5","6","7","8","9"},E429)))&gt;0,"Con cifra concreta",IF(OR(ISNUMBER(FIND("?",E429)),ISNUMBER(FIND("¿",E429))),"Pregunta abierta",IF(SUMPRODUCT(--ISNUMBER(SEARCH({" hoy ","horas","tiempo limitado","antes de que","se acab","se agot","finalic","última oportunidad","oportunidad única","relámpago","express","no esperes","no volver","no parpadees"," ya ","últimas horas","últimas unidades"," ahora "},AF429)))&gt;0,"Solo urgencia, sin cifra",IF(SUMPRODUCT(--ISNUMBER(SEARCH({"recompensa","sorpresa","regalo","lealtad","detalle","gracias","pensamos en ti","para ti"},E429)))&gt;0,"Recompensa o sorpresa","Otro: beneficio o novedad"))))</f>
        <v>Recompensa o sorpresa</v>
      </c>
    </row>
    <row r="430" spans="1:46" x14ac:dyDescent="0.2">
      <c r="A430" s="104" t="s">
        <v>1301</v>
      </c>
      <c r="B430" s="104" t="s">
        <v>278</v>
      </c>
      <c r="C430" s="104" t="s">
        <v>742</v>
      </c>
      <c r="D430" s="104" t="s">
        <v>702</v>
      </c>
      <c r="E430" s="104" t="s">
        <v>367</v>
      </c>
      <c r="F430" s="104" t="s">
        <v>458</v>
      </c>
      <c r="G430" s="105">
        <v>167019</v>
      </c>
      <c r="H430" s="105">
        <v>67895</v>
      </c>
      <c r="I430" s="105">
        <v>25405</v>
      </c>
      <c r="J430" s="106">
        <v>5.76</v>
      </c>
      <c r="K430" s="106">
        <v>2.8</v>
      </c>
      <c r="L430" s="107">
        <v>31968.98</v>
      </c>
      <c r="M430" s="108">
        <f t="shared" si="144"/>
        <v>40.651063651440857</v>
      </c>
      <c r="N430" s="108">
        <f t="shared" si="145"/>
        <v>15.210844275202223</v>
      </c>
      <c r="O430" s="108">
        <f t="shared" si="146"/>
        <v>37.418072022976659</v>
      </c>
      <c r="P430" s="108">
        <f t="shared" si="147"/>
        <v>191.40924086481178</v>
      </c>
      <c r="Q430" s="108">
        <f t="shared" si="148"/>
        <v>36.132518317209367</v>
      </c>
      <c r="R430" s="108">
        <f t="shared" si="149"/>
        <v>29.458247936272421</v>
      </c>
      <c r="S430" s="101">
        <f t="shared" si="150"/>
        <v>45948</v>
      </c>
      <c r="T430" s="102" t="str">
        <f t="shared" si="151"/>
        <v>Octubre</v>
      </c>
      <c r="U430" s="102" t="str">
        <f t="shared" si="152"/>
        <v>Sábado</v>
      </c>
      <c r="V430" s="102">
        <f t="shared" si="153"/>
        <v>16</v>
      </c>
      <c r="W430" s="102" t="str">
        <f t="shared" si="154"/>
        <v>Días después del pago</v>
      </c>
      <c r="X430" s="102">
        <f t="shared" si="155"/>
        <v>27</v>
      </c>
      <c r="Y430" s="102" t="str">
        <f t="shared" si="156"/>
        <v>Sí</v>
      </c>
      <c r="Z430" s="102" t="str">
        <f>CHOOSE(MATCH(B430,{"Customer Appreciation","Exclusive Offers","Flash Sale","Holiday Discounts","New Product Launch","Newsletter"},0),"Fidelizar","Vender","Vender","Vender","Lanzar","Educar")</f>
        <v>Lanzar</v>
      </c>
      <c r="AA430" s="102" t="str">
        <f t="shared" si="157"/>
        <v>100 a 200 mil</v>
      </c>
      <c r="AB430" s="102">
        <f>COUNTIFS($E$5:$E$493,E430,$S$5:$S$493,"&lt;"&amp;S430)+COUNTIFS($E$5:E430,E430,$S$5:S430,S430)</f>
        <v>19</v>
      </c>
      <c r="AC430" s="102">
        <f t="shared" si="158"/>
        <v>25</v>
      </c>
      <c r="AD430" s="102" t="str">
        <f t="shared" si="159"/>
        <v>Último tercio</v>
      </c>
      <c r="AE430" s="103">
        <f t="shared" si="160"/>
        <v>4.5185453342314901</v>
      </c>
      <c r="AF430" s="102" t="str">
        <f t="shared" si="161"/>
        <v xml:space="preserve">  el futuro de tu piel ha llegado  nuevo producto revolucionario </v>
      </c>
      <c r="AG430" s="102" t="str">
        <f t="shared" si="162"/>
        <v xml:space="preserve"> una fórmula revolucionaria para resultados visibles   compruébalo  </v>
      </c>
      <c r="AH430" s="102" t="str">
        <f>IF(SUMPRODUCT(--(LEFT(IF(LEFT(LOWER(E430),1)="¡",MID(LOWER(E430),2,300),LOWER(E430)),LEN({"actualizaci","el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430" s="102" t="str">
        <f>IF(OR(SUMPRODUCT(--ISNUMBER(SEARCH({"descuento","oferta","ahorr","precio"," sale ","flash","deals"},AF430)))&gt;0,SUMPRODUCT(--ISNUMBER(SEARCH({"descuento","oferta","ahorr","precio"," sale ","flash","deals"},AG430)))&gt;0),"Sí","No")</f>
        <v>No</v>
      </c>
      <c r="AJ430" s="102" t="str">
        <f>IF(SUMPRODUCT(--ISNUMBER(SEARCH({" hoy ","horas","tiempo limitado","antes de que","se acab","se agot","finalic","última oportunidad","oportunidad única","relámpago","express","no esperes","no volver","no parpadees"},AF430)))&gt;0,"Sí","No")</f>
        <v>No</v>
      </c>
      <c r="AK430" s="102" t="str">
        <f>IF(SUMPRODUCT(--ISNUMBER(SEARCH({" hoy ","horas","tiempo limitado","antes de que","se acab","se agot","finalic","última oportunidad","oportunidad única","relámpago","express","no esperes","no volver","no parpadees"},AG430)))&gt;0,"Sí","No")</f>
        <v>No</v>
      </c>
      <c r="AL430" s="102" t="str">
        <f t="shared" si="163"/>
        <v>Sin descuento</v>
      </c>
      <c r="AM430" s="102" t="str">
        <f>IF(SUMPRODUCT(--ISNUMBER(SEARCH({"0","1","2","3","4","5","6","7","8","9","favorit","maquillaje","piel","cabello","productos","belleza","regalo"},E430)))&gt;0,"Sí","No")</f>
        <v>Sí</v>
      </c>
      <c r="AN430" s="102" t="str">
        <f>IF(SUMPRODUCT(--ISNUMBER(SEARCH({"lo que tenemos","estas ofertas","algo especial","ofertas únicas","que preparamos","no te quedes","echa un vistazo"},F430)))&gt;0,"Sí","No")</f>
        <v>No</v>
      </c>
      <c r="AO430" s="102">
        <f t="shared" si="164"/>
        <v>63</v>
      </c>
      <c r="AP430" s="102">
        <f t="shared" si="165"/>
        <v>10</v>
      </c>
      <c r="AQ430" s="102">
        <f>SUMPRODUCT(LEN(E430)-LEN(SUBSTITUTE(E430,{"!","¡","?","¿",":",",",".","%","·","-",";"},"")))</f>
        <v>2</v>
      </c>
      <c r="AR430" s="102" t="str">
        <f t="shared" si="166"/>
        <v>No</v>
      </c>
      <c r="AS430" s="102" t="str">
        <f t="shared" si="167"/>
        <v>No</v>
      </c>
      <c r="AT430" s="102" t="str">
        <f>IF(SUMPRODUCT(--ISNUMBER(FIND({"0","1","2","3","4","5","6","7","8","9"},E430)))&gt;0,"Con cifra concreta",IF(OR(ISNUMBER(FIND("?",E430)),ISNUMBER(FIND("¿",E430))),"Pregunta abierta",IF(SUMPRODUCT(--ISNUMBER(SEARCH({" hoy ","horas","tiempo limitado","antes de que","se acab","se agot","finalic","última oportunidad","oportunidad única","relámpago","express","no esperes","no volver","no parpadees"," ya ","últimas horas","últimas unidades"," ahora "},AF430)))&gt;0,"Solo urgencia, sin cifra",IF(SUMPRODUCT(--ISNUMBER(SEARCH({"recompensa","sorpresa","regalo","lealtad","detalle","gracias","pensamos en ti","para ti"},E430)))&gt;0,"Recompensa o sorpresa","Otro: beneficio o novedad"))))</f>
        <v>Otro: beneficio o novedad</v>
      </c>
    </row>
    <row r="431" spans="1:46" x14ac:dyDescent="0.2">
      <c r="A431" s="96" t="s">
        <v>1302</v>
      </c>
      <c r="B431" s="96" t="s">
        <v>275</v>
      </c>
      <c r="C431" s="96" t="s">
        <v>773</v>
      </c>
      <c r="D431" s="96" t="s">
        <v>707</v>
      </c>
      <c r="E431" s="96" t="s">
        <v>465</v>
      </c>
      <c r="F431" s="96" t="s">
        <v>466</v>
      </c>
      <c r="G431" s="97">
        <v>124744</v>
      </c>
      <c r="H431" s="97">
        <v>51381</v>
      </c>
      <c r="I431" s="97">
        <v>6452</v>
      </c>
      <c r="J431" s="98">
        <v>0.97</v>
      </c>
      <c r="K431" s="98">
        <v>2.97</v>
      </c>
      <c r="L431" s="99">
        <v>34655.93</v>
      </c>
      <c r="M431" s="100">
        <f t="shared" si="144"/>
        <v>41.189155390239208</v>
      </c>
      <c r="N431" s="100">
        <f t="shared" si="145"/>
        <v>5.1721926505483236</v>
      </c>
      <c r="O431" s="100">
        <f t="shared" si="146"/>
        <v>12.557170938673828</v>
      </c>
      <c r="P431" s="100">
        <f t="shared" si="147"/>
        <v>277.81640800359139</v>
      </c>
      <c r="Q431" s="100">
        <f t="shared" si="148"/>
        <v>33.047230763392911</v>
      </c>
      <c r="R431" s="100">
        <f t="shared" si="149"/>
        <v>27.021447627328243</v>
      </c>
      <c r="S431" s="101">
        <f t="shared" si="150"/>
        <v>45909</v>
      </c>
      <c r="T431" s="102" t="str">
        <f t="shared" si="151"/>
        <v>Septiembre</v>
      </c>
      <c r="U431" s="102" t="str">
        <f t="shared" si="152"/>
        <v>Martes</v>
      </c>
      <c r="V431" s="102">
        <f t="shared" si="153"/>
        <v>13</v>
      </c>
      <c r="W431" s="102" t="str">
        <f t="shared" si="154"/>
        <v>Resto del mes</v>
      </c>
      <c r="X431" s="102">
        <f t="shared" si="155"/>
        <v>28</v>
      </c>
      <c r="Y431" s="102" t="str">
        <f t="shared" si="156"/>
        <v>Sí</v>
      </c>
      <c r="Z431" s="102" t="str">
        <f>CHOOSE(MATCH(B431,{"Customer Appreciation","Exclusive Offers","Flash Sale","Holiday Discounts","New Product Launch","Newsletter"},0),"Fidelizar","Vender","Vender","Vender","Lanzar","Educar")</f>
        <v>Vender</v>
      </c>
      <c r="AA431" s="102" t="str">
        <f t="shared" si="157"/>
        <v>100 a 200 mil</v>
      </c>
      <c r="AB431" s="102">
        <f>COUNTIFS($E$5:$E$493,E431,$S$5:$S$493,"&lt;"&amp;S431)+COUNTIFS($E$5:E431,E431,$S$5:S431,S431)</f>
        <v>8</v>
      </c>
      <c r="AC431" s="102">
        <f t="shared" si="158"/>
        <v>22</v>
      </c>
      <c r="AD431" s="102" t="str">
        <f t="shared" si="159"/>
        <v>Medio</v>
      </c>
      <c r="AE431" s="103">
        <f t="shared" si="160"/>
        <v>8.141924626846297</v>
      </c>
      <c r="AF431" s="102" t="str">
        <f t="shared" si="161"/>
        <v xml:space="preserve">  ofertas exclusivas  solo para nuestra comunidad vip </v>
      </c>
      <c r="AG431" s="102" t="str">
        <f t="shared" si="162"/>
        <v xml:space="preserve"> productos premium con descuentos únicos   acceso limitado  </v>
      </c>
      <c r="AH431" s="102" t="str">
        <f>IF(SUMPRODUCT(--(LEFT(IF(LEFT(LOWER(E431),1)="¡",MID(LOWER(E431),2,300),LOWER(E431)),LEN({"actualizaci","el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431" s="102" t="str">
        <f>IF(OR(SUMPRODUCT(--ISNUMBER(SEARCH({"descuento","oferta","ahorr","precio"," sale ","flash","deals"},AF431)))&gt;0,SUMPRODUCT(--ISNUMBER(SEARCH({"descuento","oferta","ahorr","precio"," sale ","flash","deals"},AG431)))&gt;0),"Sí","No")</f>
        <v>Sí</v>
      </c>
      <c r="AJ431" s="102" t="str">
        <f>IF(SUMPRODUCT(--ISNUMBER(SEARCH({" hoy ","horas","tiempo limitado","antes de que","se acab","se agot","finalic","última oportunidad","oportunidad única","relámpago","express","no esperes","no volver","no parpadees"},AF431)))&gt;0,"Sí","No")</f>
        <v>No</v>
      </c>
      <c r="AK431" s="102" t="str">
        <f>IF(SUMPRODUCT(--ISNUMBER(SEARCH({" hoy ","horas","tiempo limitado","antes de que","se acab","se agot","finalic","última oportunidad","oportunidad única","relámpago","express","no esperes","no volver","no parpadees"},AG431)))&gt;0,"Sí","No")</f>
        <v>No</v>
      </c>
      <c r="AL431" s="102" t="str">
        <f t="shared" si="163"/>
        <v>Descuento sin tiempo límite</v>
      </c>
      <c r="AM431" s="102" t="str">
        <f>IF(SUMPRODUCT(--ISNUMBER(SEARCH({"0","1","2","3","4","5","6","7","8","9","favorit","maquillaje","piel","cabello","productos","belleza","regalo"},E431)))&gt;0,"Sí","No")</f>
        <v>No</v>
      </c>
      <c r="AN431" s="102" t="str">
        <f>IF(SUMPRODUCT(--ISNUMBER(SEARCH({"lo que tenemos","estas ofertas","algo especial","ofertas únicas","que preparamos","no te quedes","echa un vistazo"},F431)))&gt;0,"Sí","No")</f>
        <v>No</v>
      </c>
      <c r="AO431" s="102">
        <f t="shared" si="164"/>
        <v>52</v>
      </c>
      <c r="AP431" s="102">
        <f t="shared" si="165"/>
        <v>7</v>
      </c>
      <c r="AQ431" s="102">
        <f>SUMPRODUCT(LEN(E431)-LEN(SUBSTITUTE(E431,{"!","¡","?","¿",":",",",".","%","·","-",";"},"")))</f>
        <v>2</v>
      </c>
      <c r="AR431" s="102" t="str">
        <f t="shared" si="166"/>
        <v>Sí</v>
      </c>
      <c r="AS431" s="102" t="str">
        <f t="shared" si="167"/>
        <v>No</v>
      </c>
      <c r="AT431" s="102" t="str">
        <f>IF(SUMPRODUCT(--ISNUMBER(FIND({"0","1","2","3","4","5","6","7","8","9"},E431)))&gt;0,"Con cifra concreta",IF(OR(ISNUMBER(FIND("?",E431)),ISNUMBER(FIND("¿",E431))),"Pregunta abierta",IF(SUMPRODUCT(--ISNUMBER(SEARCH({" hoy ","horas","tiempo limitado","antes de que","se acab","se agot","finalic","última oportunidad","oportunidad única","relámpago","express","no esperes","no volver","no parpadees"," ya ","últimas horas","últimas unidades"," ahora "},AF431)))&gt;0,"Solo urgencia, sin cifra",IF(SUMPRODUCT(--ISNUMBER(SEARCH({"recompensa","sorpresa","regalo","lealtad","detalle","gracias","pensamos en ti","para ti"},E431)))&gt;0,"Recompensa o sorpresa","Otro: beneficio o novedad"))))</f>
        <v>Otro: beneficio o novedad</v>
      </c>
    </row>
    <row r="432" spans="1:46" x14ac:dyDescent="0.2">
      <c r="A432" s="104" t="s">
        <v>1303</v>
      </c>
      <c r="B432" s="104" t="s">
        <v>279</v>
      </c>
      <c r="C432" s="104" t="s">
        <v>980</v>
      </c>
      <c r="D432" s="104" t="s">
        <v>824</v>
      </c>
      <c r="E432" s="104" t="s">
        <v>1008</v>
      </c>
      <c r="F432" s="104" t="s">
        <v>1009</v>
      </c>
      <c r="G432" s="105">
        <v>388672</v>
      </c>
      <c r="H432" s="105">
        <v>103503</v>
      </c>
      <c r="I432" s="105">
        <v>23157</v>
      </c>
      <c r="J432" s="106">
        <v>0.87</v>
      </c>
      <c r="K432" s="106">
        <v>2.13</v>
      </c>
      <c r="L432" s="107">
        <v>9226.3700000000008</v>
      </c>
      <c r="M432" s="108">
        <f t="shared" si="144"/>
        <v>26.629909023546851</v>
      </c>
      <c r="N432" s="108">
        <f t="shared" si="145"/>
        <v>5.9579799934134696</v>
      </c>
      <c r="O432" s="108">
        <f t="shared" si="146"/>
        <v>22.373264543056724</v>
      </c>
      <c r="P432" s="108">
        <f t="shared" si="147"/>
        <v>23.738190556561833</v>
      </c>
      <c r="Q432" s="108">
        <f t="shared" si="148"/>
        <v>20.124757314949409</v>
      </c>
      <c r="R432" s="108">
        <f t="shared" si="149"/>
        <v>27.75136451093497</v>
      </c>
      <c r="S432" s="101">
        <f t="shared" si="150"/>
        <v>45875</v>
      </c>
      <c r="T432" s="102" t="str">
        <f t="shared" si="151"/>
        <v>Agosto</v>
      </c>
      <c r="U432" s="102" t="str">
        <f t="shared" si="152"/>
        <v>Miércoles</v>
      </c>
      <c r="V432" s="102">
        <f t="shared" si="153"/>
        <v>10</v>
      </c>
      <c r="W432" s="102" t="str">
        <f t="shared" si="154"/>
        <v>Resto del mes</v>
      </c>
      <c r="X432" s="102">
        <f t="shared" si="155"/>
        <v>28</v>
      </c>
      <c r="Y432" s="102" t="str">
        <f t="shared" si="156"/>
        <v>Sí</v>
      </c>
      <c r="Z432" s="102" t="str">
        <f>CHOOSE(MATCH(B432,{"Customer Appreciation","Exclusive Offers","Flash Sale","Holiday Discounts","New Product Launch","Newsletter"},0),"Fidelizar","Vender","Vender","Vender","Lanzar","Educar")</f>
        <v>Educar</v>
      </c>
      <c r="AA432" s="102" t="str">
        <f t="shared" si="157"/>
        <v>300 a 400 mil</v>
      </c>
      <c r="AB432" s="102">
        <f>COUNTIFS($E$5:$E$493,E432,$S$5:$S$493,"&lt;"&amp;S432)+COUNTIFS($E$5:E432,E432,$S$5:S432,S432)</f>
        <v>4</v>
      </c>
      <c r="AC432" s="102">
        <f t="shared" si="158"/>
        <v>6</v>
      </c>
      <c r="AD432" s="102" t="str">
        <f t="shared" si="159"/>
        <v/>
      </c>
      <c r="AE432" s="103">
        <f t="shared" si="160"/>
        <v>6.5051517085974417</v>
      </c>
      <c r="AF432" s="102" t="str">
        <f t="shared" si="161"/>
        <v xml:space="preserve"> actualización de l'oréal  lo más relevante </v>
      </c>
      <c r="AG432" s="102" t="str">
        <f t="shared" si="162"/>
        <v xml:space="preserve"> mantente al tanto de todas las novedades   infórmate  </v>
      </c>
      <c r="AH432" s="102" t="str">
        <f>IF(SUMPRODUCT(--(LEFT(IF(LEFT(LOWER(E432),1)="¡",MID(LOWER(E432),2,300),LOWER(E432)),LEN({"actualizaci","el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Sí</v>
      </c>
      <c r="AI432" s="102" t="str">
        <f>IF(OR(SUMPRODUCT(--ISNUMBER(SEARCH({"descuento","oferta","ahorr","precio"," sale ","flash","deals"},AF432)))&gt;0,SUMPRODUCT(--ISNUMBER(SEARCH({"descuento","oferta","ahorr","precio"," sale ","flash","deals"},AG432)))&gt;0),"Sí","No")</f>
        <v>No</v>
      </c>
      <c r="AJ432" s="102" t="str">
        <f>IF(SUMPRODUCT(--ISNUMBER(SEARCH({" hoy ","horas","tiempo limitado","antes de que","se acab","se agot","finalic","última oportunidad","oportunidad única","relámpago","express","no esperes","no volver","no parpadees"},AF432)))&gt;0,"Sí","No")</f>
        <v>No</v>
      </c>
      <c r="AK432" s="102" t="str">
        <f>IF(SUMPRODUCT(--ISNUMBER(SEARCH({" hoy ","horas","tiempo limitado","antes de que","se acab","se agot","finalic","última oportunidad","oportunidad única","relámpago","express","no esperes","no volver","no parpadees"},AG432)))&gt;0,"Sí","No")</f>
        <v>No</v>
      </c>
      <c r="AL432" s="102" t="str">
        <f t="shared" si="163"/>
        <v>Sin descuento</v>
      </c>
      <c r="AM432" s="102" t="str">
        <f>IF(SUMPRODUCT(--ISNUMBER(SEARCH({"0","1","2","3","4","5","6","7","8","9","favorit","maquillaje","piel","cabello","productos","belleza","regalo"},E432)))&gt;0,"Sí","No")</f>
        <v>No</v>
      </c>
      <c r="AN432" s="102" t="str">
        <f>IF(SUMPRODUCT(--ISNUMBER(SEARCH({"lo que tenemos","estas ofertas","algo especial","ofertas únicas","que preparamos","no te quedes","echa un vistazo"},F432)))&gt;0,"Sí","No")</f>
        <v>No</v>
      </c>
      <c r="AO432" s="102">
        <f t="shared" si="164"/>
        <v>42</v>
      </c>
      <c r="AP432" s="102">
        <f t="shared" si="165"/>
        <v>6</v>
      </c>
      <c r="AQ432" s="102">
        <f>SUMPRODUCT(LEN(E432)-LEN(SUBSTITUTE(E432,{"!","¡","?","¿",":",",",".","%","·","-",";"},"")))</f>
        <v>1</v>
      </c>
      <c r="AR432" s="102" t="str">
        <f t="shared" si="166"/>
        <v>Sí</v>
      </c>
      <c r="AS432" s="102" t="str">
        <f t="shared" si="167"/>
        <v>No</v>
      </c>
      <c r="AT432" s="102" t="str">
        <f>IF(SUMPRODUCT(--ISNUMBER(FIND({"0","1","2","3","4","5","6","7","8","9"},E432)))&gt;0,"Con cifra concreta",IF(OR(ISNUMBER(FIND("?",E432)),ISNUMBER(FIND("¿",E432))),"Pregunta abierta",IF(SUMPRODUCT(--ISNUMBER(SEARCH({" hoy ","horas","tiempo limitado","antes de que","se acab","se agot","finalic","última oportunidad","oportunidad única","relámpago","express","no esperes","no volver","no parpadees"," ya ","últimas horas","últimas unidades"," ahora "},AF432)))&gt;0,"Solo urgencia, sin cifra",IF(SUMPRODUCT(--ISNUMBER(SEARCH({"recompensa","sorpresa","regalo","lealtad","detalle","gracias","pensamos en ti","para ti"},E432)))&gt;0,"Recompensa o sorpresa","Otro: beneficio o novedad"))))</f>
        <v>Otro: beneficio o novedad</v>
      </c>
    </row>
    <row r="433" spans="1:46" x14ac:dyDescent="0.2">
      <c r="A433" s="96" t="s">
        <v>1304</v>
      </c>
      <c r="B433" s="96" t="s">
        <v>279</v>
      </c>
      <c r="C433" s="96" t="s">
        <v>815</v>
      </c>
      <c r="D433" s="96" t="s">
        <v>764</v>
      </c>
      <c r="E433" s="96" t="s">
        <v>463</v>
      </c>
      <c r="F433" s="96" t="s">
        <v>464</v>
      </c>
      <c r="G433" s="97">
        <v>247918</v>
      </c>
      <c r="H433" s="97">
        <v>58639</v>
      </c>
      <c r="I433" s="97">
        <v>36768</v>
      </c>
      <c r="J433" s="98">
        <v>7.55</v>
      </c>
      <c r="K433" s="98">
        <v>4.3600000000000003</v>
      </c>
      <c r="L433" s="99">
        <v>98115.71</v>
      </c>
      <c r="M433" s="100">
        <f t="shared" si="144"/>
        <v>23.652578675207124</v>
      </c>
      <c r="N433" s="100">
        <f t="shared" si="145"/>
        <v>14.830710154163876</v>
      </c>
      <c r="O433" s="100">
        <f t="shared" si="146"/>
        <v>62.702297106021589</v>
      </c>
      <c r="P433" s="100">
        <f t="shared" si="147"/>
        <v>395.75871860857222</v>
      </c>
      <c r="Q433" s="100">
        <f t="shared" si="148"/>
        <v>33.412775116147934</v>
      </c>
      <c r="R433" s="100">
        <f t="shared" si="149"/>
        <v>27.75136451093497</v>
      </c>
      <c r="S433" s="101">
        <f t="shared" si="150"/>
        <v>45959</v>
      </c>
      <c r="T433" s="102" t="str">
        <f t="shared" si="151"/>
        <v>Octubre</v>
      </c>
      <c r="U433" s="102" t="str">
        <f t="shared" si="152"/>
        <v>Miércoles</v>
      </c>
      <c r="V433" s="102">
        <f t="shared" si="153"/>
        <v>15</v>
      </c>
      <c r="W433" s="102" t="str">
        <f t="shared" si="154"/>
        <v>Resto del mes</v>
      </c>
      <c r="X433" s="102">
        <f t="shared" si="155"/>
        <v>27</v>
      </c>
      <c r="Y433" s="102" t="str">
        <f t="shared" si="156"/>
        <v>Sí</v>
      </c>
      <c r="Z433" s="102" t="str">
        <f>CHOOSE(MATCH(B433,{"Customer Appreciation","Exclusive Offers","Flash Sale","Holiday Discounts","New Product Launch","Newsletter"},0),"Fidelizar","Vender","Vender","Vender","Lanzar","Educar")</f>
        <v>Educar</v>
      </c>
      <c r="AA433" s="102" t="str">
        <f t="shared" si="157"/>
        <v>200 a 300 mil</v>
      </c>
      <c r="AB433" s="102">
        <f>COUNTIFS($E$5:$E$493,E433,$S$5:$S$493,"&lt;"&amp;S433)+COUNTIFS($E$5:E433,E433,$S$5:S433,S433)</f>
        <v>24</v>
      </c>
      <c r="AC433" s="102">
        <f t="shared" si="158"/>
        <v>25</v>
      </c>
      <c r="AD433" s="102" t="str">
        <f t="shared" si="159"/>
        <v>Último tercio</v>
      </c>
      <c r="AE433" s="103">
        <f t="shared" si="160"/>
        <v>-9.7601964409408097</v>
      </c>
      <c r="AF433" s="102" t="str">
        <f t="shared" si="161"/>
        <v xml:space="preserve"> tu dosis de belleza   no te lo pierdas  tips y trucos </v>
      </c>
      <c r="AG433" s="102" t="str">
        <f t="shared" si="162"/>
        <v xml:space="preserve"> consejos expertos  tendencias y más en tu bandeja de entrada   descúbrelo  </v>
      </c>
      <c r="AH433" s="102" t="str">
        <f>IF(SUMPRODUCT(--(LEFT(IF(LEFT(LOWER(E433),1)="¡",MID(LOWER(E433),2,300),LOWER(E433)),LEN({"actualizaci","el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433" s="102" t="str">
        <f>IF(OR(SUMPRODUCT(--ISNUMBER(SEARCH({"descuento","oferta","ahorr","precio"," sale ","flash","deals"},AF433)))&gt;0,SUMPRODUCT(--ISNUMBER(SEARCH({"descuento","oferta","ahorr","precio"," sale ","flash","deals"},AG433)))&gt;0),"Sí","No")</f>
        <v>No</v>
      </c>
      <c r="AJ433" s="102" t="str">
        <f>IF(SUMPRODUCT(--ISNUMBER(SEARCH({" hoy ","horas","tiempo limitado","antes de que","se acab","se agot","finalic","última oportunidad","oportunidad única","relámpago","express","no esperes","no volver","no parpadees"},AF433)))&gt;0,"Sí","No")</f>
        <v>No</v>
      </c>
      <c r="AK433" s="102" t="str">
        <f>IF(SUMPRODUCT(--ISNUMBER(SEARCH({" hoy ","horas","tiempo limitado","antes de que","se acab","se agot","finalic","última oportunidad","oportunidad única","relámpago","express","no esperes","no volver","no parpadees"},AG433)))&gt;0,"Sí","No")</f>
        <v>No</v>
      </c>
      <c r="AL433" s="102" t="str">
        <f t="shared" si="163"/>
        <v>Sin descuento</v>
      </c>
      <c r="AM433" s="102" t="str">
        <f>IF(SUMPRODUCT(--ISNUMBER(SEARCH({"0","1","2","3","4","5","6","7","8","9","favorit","maquillaje","piel","cabello","productos","belleza","regalo"},E433)))&gt;0,"Sí","No")</f>
        <v>Sí</v>
      </c>
      <c r="AN433" s="102" t="str">
        <f>IF(SUMPRODUCT(--ISNUMBER(SEARCH({"lo que tenemos","estas ofertas","algo especial","ofertas únicas","que preparamos","no te quedes","echa un vistazo"},F433)))&gt;0,"Sí","No")</f>
        <v>No</v>
      </c>
      <c r="AO433" s="102">
        <f t="shared" si="164"/>
        <v>53</v>
      </c>
      <c r="AP433" s="102">
        <f t="shared" si="165"/>
        <v>11</v>
      </c>
      <c r="AQ433" s="102">
        <f>SUMPRODUCT(LEN(E433)-LEN(SUBSTITUTE(E433,{"!","¡","?","¿",":",",",".","%","·","-",";"},"")))</f>
        <v>3</v>
      </c>
      <c r="AR433" s="102" t="str">
        <f t="shared" si="166"/>
        <v>No</v>
      </c>
      <c r="AS433" s="102" t="str">
        <f t="shared" si="167"/>
        <v>No</v>
      </c>
      <c r="AT433" s="102" t="str">
        <f>IF(SUMPRODUCT(--ISNUMBER(FIND({"0","1","2","3","4","5","6","7","8","9"},E433)))&gt;0,"Con cifra concreta",IF(OR(ISNUMBER(FIND("?",E433)),ISNUMBER(FIND("¿",E433))),"Pregunta abierta",IF(SUMPRODUCT(--ISNUMBER(SEARCH({" hoy ","horas","tiempo limitado","antes de que","se acab","se agot","finalic","última oportunidad","oportunidad única","relámpago","express","no esperes","no volver","no parpadees"," ya ","últimas horas","últimas unidades"," ahora "},AF433)))&gt;0,"Solo urgencia, sin cifra",IF(SUMPRODUCT(--ISNUMBER(SEARCH({"recompensa","sorpresa","regalo","lealtad","detalle","gracias","pensamos en ti","para ti"},E433)))&gt;0,"Recompensa o sorpresa","Otro: beneficio o novedad"))))</f>
        <v>Otro: beneficio o novedad</v>
      </c>
    </row>
    <row r="434" spans="1:46" x14ac:dyDescent="0.2">
      <c r="A434" s="104" t="s">
        <v>1305</v>
      </c>
      <c r="B434" s="104" t="s">
        <v>278</v>
      </c>
      <c r="C434" s="104" t="s">
        <v>869</v>
      </c>
      <c r="D434" s="104" t="s">
        <v>821</v>
      </c>
      <c r="E434" s="104" t="s">
        <v>368</v>
      </c>
      <c r="F434" s="104" t="s">
        <v>471</v>
      </c>
      <c r="G434" s="105">
        <v>240058</v>
      </c>
      <c r="H434" s="105">
        <v>36709</v>
      </c>
      <c r="I434" s="105">
        <v>6361</v>
      </c>
      <c r="J434" s="106">
        <v>5.57</v>
      </c>
      <c r="K434" s="106">
        <v>0.73</v>
      </c>
      <c r="L434" s="107">
        <v>4568.13</v>
      </c>
      <c r="M434" s="108">
        <f t="shared" si="144"/>
        <v>15.291721167384548</v>
      </c>
      <c r="N434" s="108">
        <f t="shared" si="145"/>
        <v>2.6497763040598521</v>
      </c>
      <c r="O434" s="108">
        <f t="shared" si="146"/>
        <v>17.328175651747525</v>
      </c>
      <c r="P434" s="108">
        <f t="shared" si="147"/>
        <v>19.029276258237591</v>
      </c>
      <c r="Q434" s="108">
        <f t="shared" si="148"/>
        <v>23.315840784070005</v>
      </c>
      <c r="R434" s="108">
        <f t="shared" si="149"/>
        <v>29.458247936272421</v>
      </c>
      <c r="S434" s="101">
        <f t="shared" si="150"/>
        <v>45917</v>
      </c>
      <c r="T434" s="102" t="str">
        <f t="shared" si="151"/>
        <v>Septiembre</v>
      </c>
      <c r="U434" s="102" t="str">
        <f t="shared" si="152"/>
        <v>Miércoles</v>
      </c>
      <c r="V434" s="102">
        <f t="shared" si="153"/>
        <v>8</v>
      </c>
      <c r="W434" s="102" t="str">
        <f t="shared" si="154"/>
        <v>Días después del pago</v>
      </c>
      <c r="X434" s="102">
        <f t="shared" si="155"/>
        <v>26</v>
      </c>
      <c r="Y434" s="102" t="str">
        <f t="shared" si="156"/>
        <v>Sí</v>
      </c>
      <c r="Z434" s="102" t="str">
        <f>CHOOSE(MATCH(B434,{"Customer Appreciation","Exclusive Offers","Flash Sale","Holiday Discounts","New Product Launch","Newsletter"},0),"Fidelizar","Vender","Vender","Vender","Lanzar","Educar")</f>
        <v>Lanzar</v>
      </c>
      <c r="AA434" s="102" t="str">
        <f t="shared" si="157"/>
        <v>200 a 300 mil</v>
      </c>
      <c r="AB434" s="102">
        <f>COUNTIFS($E$5:$E$493,E434,$S$5:$S$493,"&lt;"&amp;S434)+COUNTIFS($E$5:E434,E434,$S$5:S434,S434)</f>
        <v>19</v>
      </c>
      <c r="AC434" s="102">
        <f t="shared" si="158"/>
        <v>33</v>
      </c>
      <c r="AD434" s="102" t="str">
        <f t="shared" si="159"/>
        <v>Medio</v>
      </c>
      <c r="AE434" s="103">
        <f t="shared" si="160"/>
        <v>-8.0241196166854571</v>
      </c>
      <c r="AF434" s="102" t="str">
        <f t="shared" si="161"/>
        <v xml:space="preserve"> presentamos  nuestro último lanzamiento de belleza  imperdible  </v>
      </c>
      <c r="AG434" s="102" t="str">
        <f t="shared" si="162"/>
        <v xml:space="preserve"> una innovación que cambiará tu rutina   sé de los primeros  </v>
      </c>
      <c r="AH434" s="102" t="str">
        <f>IF(SUMPRODUCT(--(LEFT(IF(LEFT(LOWER(E434),1)="¡",MID(LOWER(E434),2,300),LOWER(E434)),LEN({"actualizaci","el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Sí</v>
      </c>
      <c r="AI434" s="102" t="str">
        <f>IF(OR(SUMPRODUCT(--ISNUMBER(SEARCH({"descuento","oferta","ahorr","precio"," sale ","flash","deals"},AF434)))&gt;0,SUMPRODUCT(--ISNUMBER(SEARCH({"descuento","oferta","ahorr","precio"," sale ","flash","deals"},AG434)))&gt;0),"Sí","No")</f>
        <v>No</v>
      </c>
      <c r="AJ434" s="102" t="str">
        <f>IF(SUMPRODUCT(--ISNUMBER(SEARCH({" hoy ","horas","tiempo limitado","antes de que","se acab","se agot","finalic","última oportunidad","oportunidad única","relámpago","express","no esperes","no volver","no parpadees"},AF434)))&gt;0,"Sí","No")</f>
        <v>No</v>
      </c>
      <c r="AK434" s="102" t="str">
        <f>IF(SUMPRODUCT(--ISNUMBER(SEARCH({" hoy ","horas","tiempo limitado","antes de que","se acab","se agot","finalic","última oportunidad","oportunidad única","relámpago","express","no esperes","no volver","no parpadees"},AG434)))&gt;0,"Sí","No")</f>
        <v>No</v>
      </c>
      <c r="AL434" s="102" t="str">
        <f t="shared" si="163"/>
        <v>Sin descuento</v>
      </c>
      <c r="AM434" s="102" t="str">
        <f>IF(SUMPRODUCT(--ISNUMBER(SEARCH({"0","1","2","3","4","5","6","7","8","9","favorit","maquillaje","piel","cabello","productos","belleza","regalo"},E434)))&gt;0,"Sí","No")</f>
        <v>Sí</v>
      </c>
      <c r="AN434" s="102" t="str">
        <f>IF(SUMPRODUCT(--ISNUMBER(SEARCH({"lo que tenemos","estas ofertas","algo especial","ofertas únicas","que preparamos","no te quedes","echa un vistazo"},F434)))&gt;0,"Sí","No")</f>
        <v>No</v>
      </c>
      <c r="AO434" s="102">
        <f t="shared" si="164"/>
        <v>63</v>
      </c>
      <c r="AP434" s="102">
        <f t="shared" si="165"/>
        <v>7</v>
      </c>
      <c r="AQ434" s="102">
        <f>SUMPRODUCT(LEN(E434)-LEN(SUBSTITUTE(E434,{"!","¡","?","¿",":",",",".","%","·","-",";"},"")))</f>
        <v>3</v>
      </c>
      <c r="AR434" s="102" t="str">
        <f t="shared" si="166"/>
        <v>No</v>
      </c>
      <c r="AS434" s="102" t="str">
        <f t="shared" si="167"/>
        <v>No</v>
      </c>
      <c r="AT434" s="102" t="str">
        <f>IF(SUMPRODUCT(--ISNUMBER(FIND({"0","1","2","3","4","5","6","7","8","9"},E434)))&gt;0,"Con cifra concreta",IF(OR(ISNUMBER(FIND("?",E434)),ISNUMBER(FIND("¿",E434))),"Pregunta abierta",IF(SUMPRODUCT(--ISNUMBER(SEARCH({" hoy ","horas","tiempo limitado","antes de que","se acab","se agot","finalic","última oportunidad","oportunidad única","relámpago","express","no esperes","no volver","no parpadees"," ya ","últimas horas","últimas unidades"," ahora "},AF434)))&gt;0,"Solo urgencia, sin cifra",IF(SUMPRODUCT(--ISNUMBER(SEARCH({"recompensa","sorpresa","regalo","lealtad","detalle","gracias","pensamos en ti","para ti"},E434)))&gt;0,"Recompensa o sorpresa","Otro: beneficio o novedad"))))</f>
        <v>Otro: beneficio o novedad</v>
      </c>
    </row>
    <row r="435" spans="1:46" x14ac:dyDescent="0.2">
      <c r="A435" s="96" t="s">
        <v>1306</v>
      </c>
      <c r="B435" s="96" t="s">
        <v>276</v>
      </c>
      <c r="C435" s="96" t="s">
        <v>928</v>
      </c>
      <c r="D435" s="96" t="s">
        <v>715</v>
      </c>
      <c r="E435" s="96" t="s">
        <v>474</v>
      </c>
      <c r="F435" s="96" t="s">
        <v>475</v>
      </c>
      <c r="G435" s="97">
        <v>358916</v>
      </c>
      <c r="H435" s="97">
        <v>131109</v>
      </c>
      <c r="I435" s="97">
        <v>6747</v>
      </c>
      <c r="J435" s="98">
        <v>2.02</v>
      </c>
      <c r="K435" s="98">
        <v>4.71</v>
      </c>
      <c r="L435" s="99">
        <v>17963.29</v>
      </c>
      <c r="M435" s="100">
        <f t="shared" si="144"/>
        <v>36.529160026301419</v>
      </c>
      <c r="N435" s="100">
        <f t="shared" si="145"/>
        <v>1.8798270347379333</v>
      </c>
      <c r="O435" s="100">
        <f t="shared" si="146"/>
        <v>5.1460998100816875</v>
      </c>
      <c r="P435" s="100">
        <f t="shared" si="147"/>
        <v>50.048730064973419</v>
      </c>
      <c r="Q435" s="100">
        <f t="shared" si="148"/>
        <v>22.775066640377752</v>
      </c>
      <c r="R435" s="100">
        <f t="shared" si="149"/>
        <v>29.440902453236173</v>
      </c>
      <c r="S435" s="101">
        <f t="shared" si="150"/>
        <v>45883</v>
      </c>
      <c r="T435" s="102" t="str">
        <f t="shared" si="151"/>
        <v>Agosto</v>
      </c>
      <c r="U435" s="102" t="str">
        <f t="shared" si="152"/>
        <v>Jueves</v>
      </c>
      <c r="V435" s="102">
        <f t="shared" si="153"/>
        <v>11</v>
      </c>
      <c r="W435" s="102" t="str">
        <f t="shared" si="154"/>
        <v>Quincena</v>
      </c>
      <c r="X435" s="102">
        <f t="shared" si="155"/>
        <v>23</v>
      </c>
      <c r="Y435" s="102" t="str">
        <f t="shared" si="156"/>
        <v>Sí</v>
      </c>
      <c r="Z435" s="102" t="str">
        <f>CHOOSE(MATCH(B435,{"Customer Appreciation","Exclusive Offers","Flash Sale","Holiday Discounts","New Product Launch","Newsletter"},0),"Fidelizar","Vender","Vender","Vender","Lanzar","Educar")</f>
        <v>Vender</v>
      </c>
      <c r="AA435" s="102" t="str">
        <f t="shared" si="157"/>
        <v>300 a 400 mil</v>
      </c>
      <c r="AB435" s="102">
        <f>COUNTIFS($E$5:$E$493,E435,$S$5:$S$493,"&lt;"&amp;S435)+COUNTIFS($E$5:E435,E435,$S$5:S435,S435)</f>
        <v>4</v>
      </c>
      <c r="AC435" s="102">
        <f t="shared" si="158"/>
        <v>20</v>
      </c>
      <c r="AD435" s="102" t="str">
        <f t="shared" si="159"/>
        <v>Primer tercio</v>
      </c>
      <c r="AE435" s="103">
        <f t="shared" si="160"/>
        <v>13.754093385923667</v>
      </c>
      <c r="AF435" s="102" t="str">
        <f t="shared" si="161"/>
        <v xml:space="preserve">  aprovecha antes de que se acabe  oferta flash  productos top </v>
      </c>
      <c r="AG435" s="102" t="str">
        <f t="shared" si="162"/>
        <v xml:space="preserve"> grandes descuentos por tiempo limitado   no te lo pierdas  </v>
      </c>
      <c r="AH435" s="102" t="str">
        <f>IF(SUMPRODUCT(--(LEFT(IF(LEFT(LOWER(E435),1)="¡",MID(LOWER(E435),2,300),LOWER(E435)),LEN({"actualizaci","el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435" s="102" t="str">
        <f>IF(OR(SUMPRODUCT(--ISNUMBER(SEARCH({"descuento","oferta","ahorr","precio"," sale ","flash","deals"},AF435)))&gt;0,SUMPRODUCT(--ISNUMBER(SEARCH({"descuento","oferta","ahorr","precio"," sale ","flash","deals"},AG435)))&gt;0),"Sí","No")</f>
        <v>Sí</v>
      </c>
      <c r="AJ435" s="102" t="str">
        <f>IF(SUMPRODUCT(--ISNUMBER(SEARCH({" hoy ","horas","tiempo limitado","antes de que","se acab","se agot","finalic","última oportunidad","oportunidad única","relámpago","express","no esperes","no volver","no parpadees"},AF435)))&gt;0,"Sí","No")</f>
        <v>Sí</v>
      </c>
      <c r="AK435" s="102" t="str">
        <f>IF(SUMPRODUCT(--ISNUMBER(SEARCH({" hoy ","horas","tiempo limitado","antes de que","se acab","se agot","finalic","última oportunidad","oportunidad única","relámpago","express","no esperes","no volver","no parpadees"},AG435)))&gt;0,"Sí","No")</f>
        <v>Sí</v>
      </c>
      <c r="AL435" s="102" t="str">
        <f t="shared" si="163"/>
        <v>Descuento con tiempo límite en el asunto</v>
      </c>
      <c r="AM435" s="102" t="str">
        <f>IF(SUMPRODUCT(--ISNUMBER(SEARCH({"0","1","2","3","4","5","6","7","8","9","favorit","maquillaje","piel","cabello","productos","belleza","regalo"},E435)))&gt;0,"Sí","No")</f>
        <v>Sí</v>
      </c>
      <c r="AN435" s="102" t="str">
        <f>IF(SUMPRODUCT(--ISNUMBER(SEARCH({"lo que tenemos","estas ofertas","algo especial","ofertas únicas","que preparamos","no te quedes","echa un vistazo"},F435)))&gt;0,"Sí","No")</f>
        <v>No</v>
      </c>
      <c r="AO435" s="102">
        <f t="shared" si="164"/>
        <v>61</v>
      </c>
      <c r="AP435" s="102">
        <f t="shared" si="165"/>
        <v>10</v>
      </c>
      <c r="AQ435" s="102">
        <f>SUMPRODUCT(LEN(E435)-LEN(SUBSTITUTE(E435,{"!","¡","?","¿",":",",",".","%","·","-",";"},"")))</f>
        <v>3</v>
      </c>
      <c r="AR435" s="102" t="str">
        <f t="shared" si="166"/>
        <v>No</v>
      </c>
      <c r="AS435" s="102" t="str">
        <f t="shared" si="167"/>
        <v>No</v>
      </c>
      <c r="AT435" s="102" t="str">
        <f>IF(SUMPRODUCT(--ISNUMBER(FIND({"0","1","2","3","4","5","6","7","8","9"},E435)))&gt;0,"Con cifra concreta",IF(OR(ISNUMBER(FIND("?",E435)),ISNUMBER(FIND("¿",E435))),"Pregunta abierta",IF(SUMPRODUCT(--ISNUMBER(SEARCH({" hoy ","horas","tiempo limitado","antes de que","se acab","se agot","finalic","última oportunidad","oportunidad única","relámpago","express","no esperes","no volver","no parpadees"," ya ","últimas horas","últimas unidades"," ahora "},AF435)))&gt;0,"Solo urgencia, sin cifra",IF(SUMPRODUCT(--ISNUMBER(SEARCH({"recompensa","sorpresa","regalo","lealtad","detalle","gracias","pensamos en ti","para ti"},E435)))&gt;0,"Recompensa o sorpresa","Otro: beneficio o novedad"))))</f>
        <v>Solo urgencia, sin cifra</v>
      </c>
    </row>
    <row r="436" spans="1:46" x14ac:dyDescent="0.2">
      <c r="A436" s="104" t="s">
        <v>1307</v>
      </c>
      <c r="B436" s="104" t="s">
        <v>279</v>
      </c>
      <c r="C436" s="104" t="s">
        <v>889</v>
      </c>
      <c r="D436" s="104" t="s">
        <v>761</v>
      </c>
      <c r="E436" s="104" t="s">
        <v>472</v>
      </c>
      <c r="F436" s="104" t="s">
        <v>473</v>
      </c>
      <c r="G436" s="105">
        <v>484743</v>
      </c>
      <c r="H436" s="105">
        <v>25207</v>
      </c>
      <c r="I436" s="105">
        <v>22687</v>
      </c>
      <c r="J436" s="106">
        <v>4.7699999999999996</v>
      </c>
      <c r="K436" s="106">
        <v>4.34</v>
      </c>
      <c r="L436" s="107">
        <v>3221.17</v>
      </c>
      <c r="M436" s="108">
        <f t="shared" si="144"/>
        <v>5.2000750913370597</v>
      </c>
      <c r="N436" s="108">
        <f t="shared" si="145"/>
        <v>4.6802119886207745</v>
      </c>
      <c r="O436" s="108">
        <f t="shared" si="146"/>
        <v>90.00277700638712</v>
      </c>
      <c r="P436" s="108">
        <f t="shared" si="147"/>
        <v>6.6451088514945038</v>
      </c>
      <c r="Q436" s="108">
        <f t="shared" si="148"/>
        <v>22.891293825435607</v>
      </c>
      <c r="R436" s="108">
        <f t="shared" si="149"/>
        <v>27.75136451093497</v>
      </c>
      <c r="S436" s="101">
        <f t="shared" si="150"/>
        <v>45908</v>
      </c>
      <c r="T436" s="102" t="str">
        <f t="shared" si="151"/>
        <v>Septiembre</v>
      </c>
      <c r="U436" s="102" t="str">
        <f t="shared" si="152"/>
        <v>Lunes</v>
      </c>
      <c r="V436" s="102">
        <f t="shared" si="153"/>
        <v>10</v>
      </c>
      <c r="W436" s="102" t="str">
        <f t="shared" si="154"/>
        <v>Resto del mes</v>
      </c>
      <c r="X436" s="102">
        <f t="shared" si="155"/>
        <v>28</v>
      </c>
      <c r="Y436" s="102" t="str">
        <f t="shared" si="156"/>
        <v>Sí</v>
      </c>
      <c r="Z436" s="102" t="str">
        <f>CHOOSE(MATCH(B436,{"Customer Appreciation","Exclusive Offers","Flash Sale","Holiday Discounts","New Product Launch","Newsletter"},0),"Fidelizar","Vender","Vender","Vender","Lanzar","Educar")</f>
        <v>Educar</v>
      </c>
      <c r="AA436" s="102" t="str">
        <f t="shared" si="157"/>
        <v>Más de 400 mil</v>
      </c>
      <c r="AB436" s="102">
        <f>COUNTIFS($E$5:$E$493,E436,$S$5:$S$493,"&lt;"&amp;S436)+COUNTIFS($E$5:E436,E436,$S$5:S436,S436)</f>
        <v>10</v>
      </c>
      <c r="AC436" s="102">
        <f t="shared" si="158"/>
        <v>22</v>
      </c>
      <c r="AD436" s="102" t="str">
        <f t="shared" si="159"/>
        <v>Medio</v>
      </c>
      <c r="AE436" s="103">
        <f t="shared" si="160"/>
        <v>-17.691218734098548</v>
      </c>
      <c r="AF436" s="102" t="str">
        <f t="shared" si="161"/>
        <v xml:space="preserve"> tu dosis semanal de belleza  novedades y tips </v>
      </c>
      <c r="AG436" s="102" t="str">
        <f t="shared" si="162"/>
        <v xml:space="preserve"> novedades  tips y más para tu rutina diaria   entra ya  </v>
      </c>
      <c r="AH436" s="102" t="str">
        <f>IF(SUMPRODUCT(--(LEFT(IF(LEFT(LOWER(E436),1)="¡",MID(LOWER(E436),2,300),LOWER(E436)),LEN({"actualizaci","el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436" s="102" t="str">
        <f>IF(OR(SUMPRODUCT(--ISNUMBER(SEARCH({"descuento","oferta","ahorr","precio"," sale ","flash","deals"},AF436)))&gt;0,SUMPRODUCT(--ISNUMBER(SEARCH({"descuento","oferta","ahorr","precio"," sale ","flash","deals"},AG436)))&gt;0),"Sí","No")</f>
        <v>No</v>
      </c>
      <c r="AJ436" s="102" t="str">
        <f>IF(SUMPRODUCT(--ISNUMBER(SEARCH({" hoy ","horas","tiempo limitado","antes de que","se acab","se agot","finalic","última oportunidad","oportunidad única","relámpago","express","no esperes","no volver","no parpadees"},AF436)))&gt;0,"Sí","No")</f>
        <v>No</v>
      </c>
      <c r="AK436" s="102" t="str">
        <f>IF(SUMPRODUCT(--ISNUMBER(SEARCH({" hoy ","horas","tiempo limitado","antes de que","se acab","se agot","finalic","última oportunidad","oportunidad única","relámpago","express","no esperes","no volver","no parpadees"},AG436)))&gt;0,"Sí","No")</f>
        <v>No</v>
      </c>
      <c r="AL436" s="102" t="str">
        <f t="shared" si="163"/>
        <v>Sin descuento</v>
      </c>
      <c r="AM436" s="102" t="str">
        <f>IF(SUMPRODUCT(--ISNUMBER(SEARCH({"0","1","2","3","4","5","6","7","8","9","favorit","maquillaje","piel","cabello","productos","belleza","regalo"},E436)))&gt;0,"Sí","No")</f>
        <v>Sí</v>
      </c>
      <c r="AN436" s="102" t="str">
        <f>IF(SUMPRODUCT(--ISNUMBER(SEARCH({"lo que tenemos","estas ofertas","algo especial","ofertas únicas","que preparamos","no te quedes","echa un vistazo"},F436)))&gt;0,"Sí","No")</f>
        <v>No</v>
      </c>
      <c r="AO436" s="102">
        <f t="shared" si="164"/>
        <v>45</v>
      </c>
      <c r="AP436" s="102">
        <f t="shared" si="165"/>
        <v>8</v>
      </c>
      <c r="AQ436" s="102">
        <f>SUMPRODUCT(LEN(E436)-LEN(SUBSTITUTE(E436,{"!","¡","?","¿",":",",",".","%","·","-",";"},"")))</f>
        <v>1</v>
      </c>
      <c r="AR436" s="102" t="str">
        <f t="shared" si="166"/>
        <v>Sí</v>
      </c>
      <c r="AS436" s="102" t="str">
        <f t="shared" si="167"/>
        <v>No</v>
      </c>
      <c r="AT436" s="102" t="str">
        <f>IF(SUMPRODUCT(--ISNUMBER(FIND({"0","1","2","3","4","5","6","7","8","9"},E436)))&gt;0,"Con cifra concreta",IF(OR(ISNUMBER(FIND("?",E436)),ISNUMBER(FIND("¿",E436))),"Pregunta abierta",IF(SUMPRODUCT(--ISNUMBER(SEARCH({" hoy ","horas","tiempo limitado","antes de que","se acab","se agot","finalic","última oportunidad","oportunidad única","relámpago","express","no esperes","no volver","no parpadees"," ya ","últimas horas","últimas unidades"," ahora "},AF436)))&gt;0,"Solo urgencia, sin cifra",IF(SUMPRODUCT(--ISNUMBER(SEARCH({"recompensa","sorpresa","regalo","lealtad","detalle","gracias","pensamos en ti","para ti"},E436)))&gt;0,"Recompensa o sorpresa","Otro: beneficio o novedad"))))</f>
        <v>Otro: beneficio o novedad</v>
      </c>
    </row>
    <row r="437" spans="1:46" x14ac:dyDescent="0.2">
      <c r="A437" s="96" t="s">
        <v>1308</v>
      </c>
      <c r="B437" s="96" t="s">
        <v>274</v>
      </c>
      <c r="C437" s="96" t="s">
        <v>891</v>
      </c>
      <c r="D437" s="96" t="s">
        <v>786</v>
      </c>
      <c r="E437" s="96" t="s">
        <v>372</v>
      </c>
      <c r="F437" s="96" t="s">
        <v>480</v>
      </c>
      <c r="G437" s="97">
        <v>337292</v>
      </c>
      <c r="H437" s="97">
        <v>65706</v>
      </c>
      <c r="I437" s="97">
        <v>34958</v>
      </c>
      <c r="J437" s="98">
        <v>5.95</v>
      </c>
      <c r="K437" s="98">
        <v>2.69</v>
      </c>
      <c r="L437" s="99">
        <v>48198.62</v>
      </c>
      <c r="M437" s="100">
        <f t="shared" si="144"/>
        <v>19.480450173736703</v>
      </c>
      <c r="N437" s="100">
        <f t="shared" si="145"/>
        <v>10.364313413896564</v>
      </c>
      <c r="O437" s="100">
        <f t="shared" si="146"/>
        <v>53.203664809910812</v>
      </c>
      <c r="P437" s="100">
        <f t="shared" si="147"/>
        <v>142.8987939233661</v>
      </c>
      <c r="Q437" s="100">
        <f t="shared" si="148"/>
        <v>20.724631699294946</v>
      </c>
      <c r="R437" s="100">
        <f t="shared" si="149"/>
        <v>31.113650744455075</v>
      </c>
      <c r="S437" s="101">
        <f t="shared" si="150"/>
        <v>45888</v>
      </c>
      <c r="T437" s="102" t="str">
        <f t="shared" si="151"/>
        <v>Agosto</v>
      </c>
      <c r="U437" s="102" t="str">
        <f t="shared" si="152"/>
        <v>Martes</v>
      </c>
      <c r="V437" s="102">
        <f t="shared" si="153"/>
        <v>15</v>
      </c>
      <c r="W437" s="102" t="str">
        <f t="shared" si="154"/>
        <v>Días después del pago</v>
      </c>
      <c r="X437" s="102">
        <f t="shared" si="155"/>
        <v>29</v>
      </c>
      <c r="Y437" s="102" t="str">
        <f t="shared" si="156"/>
        <v>Sí</v>
      </c>
      <c r="Z437" s="102" t="str">
        <f>CHOOSE(MATCH(B437,{"Customer Appreciation","Exclusive Offers","Flash Sale","Holiday Discounts","New Product Launch","Newsletter"},0),"Fidelizar","Vender","Vender","Vender","Lanzar","Educar")</f>
        <v>Fidelizar</v>
      </c>
      <c r="AA437" s="102" t="str">
        <f t="shared" si="157"/>
        <v>300 a 400 mil</v>
      </c>
      <c r="AB437" s="102">
        <f>COUNTIFS($E$5:$E$493,E437,$S$5:$S$493,"&lt;"&amp;S437)+COUNTIFS($E$5:E437,E437,$S$5:S437,S437)</f>
        <v>6</v>
      </c>
      <c r="AC437" s="102">
        <f t="shared" si="158"/>
        <v>14</v>
      </c>
      <c r="AD437" s="102" t="str">
        <f t="shared" si="159"/>
        <v>Medio</v>
      </c>
      <c r="AE437" s="103">
        <f t="shared" si="160"/>
        <v>-1.2441815255582434</v>
      </c>
      <c r="AF437" s="102" t="str">
        <f t="shared" si="161"/>
        <v xml:space="preserve">  un pequeño detalle para agradecerte tu lealtad  l'oréal </v>
      </c>
      <c r="AG437" s="102" t="str">
        <f t="shared" si="162"/>
        <v xml:space="preserve"> echa un vistazo a lo que tenemos para ti   te va a encantar  </v>
      </c>
      <c r="AH437" s="102" t="str">
        <f>IF(SUMPRODUCT(--(LEFT(IF(LEFT(LOWER(E437),1)="¡",MID(LOWER(E437),2,300),LOWER(E437)),LEN({"actualizaci","el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Sí</v>
      </c>
      <c r="AI437" s="102" t="str">
        <f>IF(OR(SUMPRODUCT(--ISNUMBER(SEARCH({"descuento","oferta","ahorr","precio"," sale ","flash","deals"},AF437)))&gt;0,SUMPRODUCT(--ISNUMBER(SEARCH({"descuento","oferta","ahorr","precio"," sale ","flash","deals"},AG437)))&gt;0),"Sí","No")</f>
        <v>No</v>
      </c>
      <c r="AJ437" s="102" t="str">
        <f>IF(SUMPRODUCT(--ISNUMBER(SEARCH({" hoy ","horas","tiempo limitado","antes de que","se acab","se agot","finalic","última oportunidad","oportunidad única","relámpago","express","no esperes","no volver","no parpadees"},AF437)))&gt;0,"Sí","No")</f>
        <v>No</v>
      </c>
      <c r="AK437" s="102" t="str">
        <f>IF(SUMPRODUCT(--ISNUMBER(SEARCH({" hoy ","horas","tiempo limitado","antes de que","se acab","se agot","finalic","última oportunidad","oportunidad única","relámpago","express","no esperes","no volver","no parpadees"},AG437)))&gt;0,"Sí","No")</f>
        <v>No</v>
      </c>
      <c r="AL437" s="102" t="str">
        <f t="shared" si="163"/>
        <v>Sin descuento</v>
      </c>
      <c r="AM437" s="102" t="str">
        <f>IF(SUMPRODUCT(--ISNUMBER(SEARCH({"0","1","2","3","4","5","6","7","8","9","favorit","maquillaje","piel","cabello","productos","belleza","regalo"},E437)))&gt;0,"Sí","No")</f>
        <v>No</v>
      </c>
      <c r="AN437" s="102" t="str">
        <f>IF(SUMPRODUCT(--ISNUMBER(SEARCH({"lo que tenemos","estas ofertas","algo especial","ofertas únicas","que preparamos","no te quedes","echa un vistazo"},F437)))&gt;0,"Sí","No")</f>
        <v>Sí</v>
      </c>
      <c r="AO437" s="102">
        <f t="shared" si="164"/>
        <v>56</v>
      </c>
      <c r="AP437" s="102">
        <f t="shared" si="165"/>
        <v>8</v>
      </c>
      <c r="AQ437" s="102">
        <f>SUMPRODUCT(LEN(E437)-LEN(SUBSTITUTE(E437,{"!","¡","?","¿",":",",",".","%","·","-",";"},"")))</f>
        <v>2</v>
      </c>
      <c r="AR437" s="102" t="str">
        <f t="shared" si="166"/>
        <v>Sí</v>
      </c>
      <c r="AS437" s="102" t="str">
        <f t="shared" si="167"/>
        <v>No</v>
      </c>
      <c r="AT437" s="102" t="str">
        <f>IF(SUMPRODUCT(--ISNUMBER(FIND({"0","1","2","3","4","5","6","7","8","9"},E437)))&gt;0,"Con cifra concreta",IF(OR(ISNUMBER(FIND("?",E437)),ISNUMBER(FIND("¿",E437))),"Pregunta abierta",IF(SUMPRODUCT(--ISNUMBER(SEARCH({" hoy ","horas","tiempo limitado","antes de que","se acab","se agot","finalic","última oportunidad","oportunidad única","relámpago","express","no esperes","no volver","no parpadees"," ya ","últimas horas","últimas unidades"," ahora "},AF437)))&gt;0,"Solo urgencia, sin cifra",IF(SUMPRODUCT(--ISNUMBER(SEARCH({"recompensa","sorpresa","regalo","lealtad","detalle","gracias","pensamos en ti","para ti"},E437)))&gt;0,"Recompensa o sorpresa","Otro: beneficio o novedad"))))</f>
        <v>Recompensa o sorpresa</v>
      </c>
    </row>
    <row r="438" spans="1:46" x14ac:dyDescent="0.2">
      <c r="A438" s="104" t="s">
        <v>1309</v>
      </c>
      <c r="B438" s="104" t="s">
        <v>279</v>
      </c>
      <c r="C438" s="104" t="s">
        <v>915</v>
      </c>
      <c r="D438" s="104" t="s">
        <v>769</v>
      </c>
      <c r="E438" s="104" t="s">
        <v>369</v>
      </c>
      <c r="F438" s="104" t="s">
        <v>457</v>
      </c>
      <c r="G438" s="105">
        <v>41390</v>
      </c>
      <c r="H438" s="105">
        <v>8310</v>
      </c>
      <c r="I438" s="105">
        <v>2309</v>
      </c>
      <c r="J438" s="106">
        <v>5.19</v>
      </c>
      <c r="K438" s="106">
        <v>2.16</v>
      </c>
      <c r="L438" s="107">
        <v>10180.969999999999</v>
      </c>
      <c r="M438" s="108">
        <f t="shared" si="144"/>
        <v>20.077313360715149</v>
      </c>
      <c r="N438" s="108">
        <f t="shared" si="145"/>
        <v>5.5786421841024403</v>
      </c>
      <c r="O438" s="108">
        <f t="shared" si="146"/>
        <v>27.785800240673886</v>
      </c>
      <c r="P438" s="108">
        <f t="shared" si="147"/>
        <v>245.97656438753322</v>
      </c>
      <c r="Q438" s="108">
        <f t="shared" si="148"/>
        <v>36.827379346292652</v>
      </c>
      <c r="R438" s="108">
        <f t="shared" si="149"/>
        <v>27.75136451093497</v>
      </c>
      <c r="S438" s="101">
        <f t="shared" si="150"/>
        <v>45954</v>
      </c>
      <c r="T438" s="102" t="str">
        <f t="shared" si="151"/>
        <v>Octubre</v>
      </c>
      <c r="U438" s="102" t="str">
        <f t="shared" si="152"/>
        <v>Viernes</v>
      </c>
      <c r="V438" s="102">
        <f t="shared" si="153"/>
        <v>13</v>
      </c>
      <c r="W438" s="102" t="str">
        <f t="shared" si="154"/>
        <v>Resto del mes</v>
      </c>
      <c r="X438" s="102">
        <f t="shared" si="155"/>
        <v>29</v>
      </c>
      <c r="Y438" s="102" t="str">
        <f t="shared" si="156"/>
        <v>Sí</v>
      </c>
      <c r="Z438" s="102" t="str">
        <f>CHOOSE(MATCH(B438,{"Customer Appreciation","Exclusive Offers","Flash Sale","Holiday Discounts","New Product Launch","Newsletter"},0),"Fidelizar","Vender","Vender","Vender","Lanzar","Educar")</f>
        <v>Educar</v>
      </c>
      <c r="AA438" s="102" t="str">
        <f t="shared" si="157"/>
        <v>Menos de 100 mil</v>
      </c>
      <c r="AB438" s="102">
        <f>COUNTIFS($E$5:$E$493,E438,$S$5:$S$493,"&lt;"&amp;S438)+COUNTIFS($E$5:E438,E438,$S$5:S438,S438)</f>
        <v>17</v>
      </c>
      <c r="AC438" s="102">
        <f t="shared" si="158"/>
        <v>19</v>
      </c>
      <c r="AD438" s="102" t="str">
        <f t="shared" si="159"/>
        <v>Último tercio</v>
      </c>
      <c r="AE438" s="103">
        <f t="shared" si="160"/>
        <v>-16.750065985577503</v>
      </c>
      <c r="AF438" s="102" t="str">
        <f t="shared" si="161"/>
        <v xml:space="preserve"> lo último en l'oréal  mantente informad@ de las novedades </v>
      </c>
      <c r="AG438" s="102" t="str">
        <f t="shared" si="162"/>
        <v xml:space="preserve"> descubre las novedades y tips de la semana   entra ya  </v>
      </c>
      <c r="AH438" s="102" t="str">
        <f>IF(SUMPRODUCT(--(LEFT(IF(LEFT(LOWER(E438),1)="¡",MID(LOWER(E438),2,300),LOWER(E438)),LEN({"actualizaci","el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438" s="102" t="str">
        <f>IF(OR(SUMPRODUCT(--ISNUMBER(SEARCH({"descuento","oferta","ahorr","precio"," sale ","flash","deals"},AF438)))&gt;0,SUMPRODUCT(--ISNUMBER(SEARCH({"descuento","oferta","ahorr","precio"," sale ","flash","deals"},AG438)))&gt;0),"Sí","No")</f>
        <v>No</v>
      </c>
      <c r="AJ438" s="102" t="str">
        <f>IF(SUMPRODUCT(--ISNUMBER(SEARCH({" hoy ","horas","tiempo limitado","antes de que","se acab","se agot","finalic","última oportunidad","oportunidad única","relámpago","express","no esperes","no volver","no parpadees"},AF438)))&gt;0,"Sí","No")</f>
        <v>No</v>
      </c>
      <c r="AK438" s="102" t="str">
        <f>IF(SUMPRODUCT(--ISNUMBER(SEARCH({" hoy ","horas","tiempo limitado","antes de que","se acab","se agot","finalic","última oportunidad","oportunidad única","relámpago","express","no esperes","no volver","no parpadees"},AG438)))&gt;0,"Sí","No")</f>
        <v>No</v>
      </c>
      <c r="AL438" s="102" t="str">
        <f t="shared" si="163"/>
        <v>Sin descuento</v>
      </c>
      <c r="AM438" s="102" t="str">
        <f>IF(SUMPRODUCT(--ISNUMBER(SEARCH({"0","1","2","3","4","5","6","7","8","9","favorit","maquillaje","piel","cabello","productos","belleza","regalo"},E438)))&gt;0,"Sí","No")</f>
        <v>No</v>
      </c>
      <c r="AN438" s="102" t="str">
        <f>IF(SUMPRODUCT(--ISNUMBER(SEARCH({"lo que tenemos","estas ofertas","algo especial","ofertas únicas","que preparamos","no te quedes","echa un vistazo"},F438)))&gt;0,"Sí","No")</f>
        <v>No</v>
      </c>
      <c r="AO438" s="102">
        <f t="shared" si="164"/>
        <v>57</v>
      </c>
      <c r="AP438" s="102">
        <f t="shared" si="165"/>
        <v>9</v>
      </c>
      <c r="AQ438" s="102">
        <f>SUMPRODUCT(LEN(E438)-LEN(SUBSTITUTE(E438,{"!","¡","?","¿",":",",",".","%","·","-",";"},"")))</f>
        <v>1</v>
      </c>
      <c r="AR438" s="102" t="str">
        <f t="shared" si="166"/>
        <v>Sí</v>
      </c>
      <c r="AS438" s="102" t="str">
        <f t="shared" si="167"/>
        <v>No</v>
      </c>
      <c r="AT438" s="102" t="str">
        <f>IF(SUMPRODUCT(--ISNUMBER(FIND({"0","1","2","3","4","5","6","7","8","9"},E438)))&gt;0,"Con cifra concreta",IF(OR(ISNUMBER(FIND("?",E438)),ISNUMBER(FIND("¿",E438))),"Pregunta abierta",IF(SUMPRODUCT(--ISNUMBER(SEARCH({" hoy ","horas","tiempo limitado","antes de que","se acab","se agot","finalic","última oportunidad","oportunidad única","relámpago","express","no esperes","no volver","no parpadees"," ya ","últimas horas","últimas unidades"," ahora "},AF438)))&gt;0,"Solo urgencia, sin cifra",IF(SUMPRODUCT(--ISNUMBER(SEARCH({"recompensa","sorpresa","regalo","lealtad","detalle","gracias","pensamos en ti","para ti"},E438)))&gt;0,"Recompensa o sorpresa","Otro: beneficio o novedad"))))</f>
        <v>Otro: beneficio o novedad</v>
      </c>
    </row>
    <row r="439" spans="1:46" x14ac:dyDescent="0.2">
      <c r="A439" s="96" t="s">
        <v>1310</v>
      </c>
      <c r="B439" s="96" t="s">
        <v>279</v>
      </c>
      <c r="C439" s="96" t="s">
        <v>923</v>
      </c>
      <c r="D439" s="96" t="s">
        <v>729</v>
      </c>
      <c r="E439" s="96" t="s">
        <v>463</v>
      </c>
      <c r="F439" s="96" t="s">
        <v>464</v>
      </c>
      <c r="G439" s="97">
        <v>103574</v>
      </c>
      <c r="H439" s="97">
        <v>23086</v>
      </c>
      <c r="I439" s="97">
        <v>20063</v>
      </c>
      <c r="J439" s="98">
        <v>6.42</v>
      </c>
      <c r="K439" s="98">
        <v>2.14</v>
      </c>
      <c r="L439" s="99">
        <v>57100.44</v>
      </c>
      <c r="M439" s="100">
        <f t="shared" si="144"/>
        <v>22.289377643037827</v>
      </c>
      <c r="N439" s="100">
        <f t="shared" si="145"/>
        <v>19.370691486280343</v>
      </c>
      <c r="O439" s="100">
        <f t="shared" si="146"/>
        <v>86.905483843021742</v>
      </c>
      <c r="P439" s="100">
        <f t="shared" si="147"/>
        <v>551.30090563268777</v>
      </c>
      <c r="Q439" s="100">
        <f t="shared" si="148"/>
        <v>33.412775116147934</v>
      </c>
      <c r="R439" s="100">
        <f t="shared" si="149"/>
        <v>27.75136451093497</v>
      </c>
      <c r="S439" s="101">
        <f t="shared" si="150"/>
        <v>45873</v>
      </c>
      <c r="T439" s="102" t="str">
        <f t="shared" si="151"/>
        <v>Agosto</v>
      </c>
      <c r="U439" s="102" t="str">
        <f t="shared" si="152"/>
        <v>Lunes</v>
      </c>
      <c r="V439" s="102">
        <f t="shared" si="153"/>
        <v>10</v>
      </c>
      <c r="W439" s="102" t="str">
        <f t="shared" si="154"/>
        <v>Días después del pago</v>
      </c>
      <c r="X439" s="102">
        <f t="shared" si="155"/>
        <v>24</v>
      </c>
      <c r="Y439" s="102" t="str">
        <f t="shared" si="156"/>
        <v>Sí</v>
      </c>
      <c r="Z439" s="102" t="str">
        <f>CHOOSE(MATCH(B439,{"Customer Appreciation","Exclusive Offers","Flash Sale","Holiday Discounts","New Product Launch","Newsletter"},0),"Fidelizar","Vender","Vender","Vender","Lanzar","Educar")</f>
        <v>Educar</v>
      </c>
      <c r="AA439" s="102" t="str">
        <f t="shared" si="157"/>
        <v>100 a 200 mil</v>
      </c>
      <c r="AB439" s="102">
        <f>COUNTIFS($E$5:$E$493,E439,$S$5:$S$493,"&lt;"&amp;S439)+COUNTIFS($E$5:E439,E439,$S$5:S439,S439)</f>
        <v>4</v>
      </c>
      <c r="AC439" s="102">
        <f t="shared" si="158"/>
        <v>25</v>
      </c>
      <c r="AD439" s="102" t="str">
        <f t="shared" si="159"/>
        <v>Primer tercio</v>
      </c>
      <c r="AE439" s="103">
        <f t="shared" si="160"/>
        <v>-11.123397473110106</v>
      </c>
      <c r="AF439" s="102" t="str">
        <f t="shared" si="161"/>
        <v xml:space="preserve"> tu dosis de belleza   no te lo pierdas  tips y trucos </v>
      </c>
      <c r="AG439" s="102" t="str">
        <f t="shared" si="162"/>
        <v xml:space="preserve"> consejos expertos  tendencias y más en tu bandeja de entrada   descúbrelo  </v>
      </c>
      <c r="AH439" s="102" t="str">
        <f>IF(SUMPRODUCT(--(LEFT(IF(LEFT(LOWER(E439),1)="¡",MID(LOWER(E439),2,300),LOWER(E439)),LEN({"actualizaci","el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439" s="102" t="str">
        <f>IF(OR(SUMPRODUCT(--ISNUMBER(SEARCH({"descuento","oferta","ahorr","precio"," sale ","flash","deals"},AF439)))&gt;0,SUMPRODUCT(--ISNUMBER(SEARCH({"descuento","oferta","ahorr","precio"," sale ","flash","deals"},AG439)))&gt;0),"Sí","No")</f>
        <v>No</v>
      </c>
      <c r="AJ439" s="102" t="str">
        <f>IF(SUMPRODUCT(--ISNUMBER(SEARCH({" hoy ","horas","tiempo limitado","antes de que","se acab","se agot","finalic","última oportunidad","oportunidad única","relámpago","express","no esperes","no volver","no parpadees"},AF439)))&gt;0,"Sí","No")</f>
        <v>No</v>
      </c>
      <c r="AK439" s="102" t="str">
        <f>IF(SUMPRODUCT(--ISNUMBER(SEARCH({" hoy ","horas","tiempo limitado","antes de que","se acab","se agot","finalic","última oportunidad","oportunidad única","relámpago","express","no esperes","no volver","no parpadees"},AG439)))&gt;0,"Sí","No")</f>
        <v>No</v>
      </c>
      <c r="AL439" s="102" t="str">
        <f t="shared" si="163"/>
        <v>Sin descuento</v>
      </c>
      <c r="AM439" s="102" t="str">
        <f>IF(SUMPRODUCT(--ISNUMBER(SEARCH({"0","1","2","3","4","5","6","7","8","9","favorit","maquillaje","piel","cabello","productos","belleza","regalo"},E439)))&gt;0,"Sí","No")</f>
        <v>Sí</v>
      </c>
      <c r="AN439" s="102" t="str">
        <f>IF(SUMPRODUCT(--ISNUMBER(SEARCH({"lo que tenemos","estas ofertas","algo especial","ofertas únicas","que preparamos","no te quedes","echa un vistazo"},F439)))&gt;0,"Sí","No")</f>
        <v>No</v>
      </c>
      <c r="AO439" s="102">
        <f t="shared" si="164"/>
        <v>53</v>
      </c>
      <c r="AP439" s="102">
        <f t="shared" si="165"/>
        <v>11</v>
      </c>
      <c r="AQ439" s="102">
        <f>SUMPRODUCT(LEN(E439)-LEN(SUBSTITUTE(E439,{"!","¡","?","¿",":",",",".","%","·","-",";"},"")))</f>
        <v>3</v>
      </c>
      <c r="AR439" s="102" t="str">
        <f t="shared" si="166"/>
        <v>No</v>
      </c>
      <c r="AS439" s="102" t="str">
        <f t="shared" si="167"/>
        <v>No</v>
      </c>
      <c r="AT439" s="102" t="str">
        <f>IF(SUMPRODUCT(--ISNUMBER(FIND({"0","1","2","3","4","5","6","7","8","9"},E439)))&gt;0,"Con cifra concreta",IF(OR(ISNUMBER(FIND("?",E439)),ISNUMBER(FIND("¿",E439))),"Pregunta abierta",IF(SUMPRODUCT(--ISNUMBER(SEARCH({" hoy ","horas","tiempo limitado","antes de que","se acab","se agot","finalic","última oportunidad","oportunidad única","relámpago","express","no esperes","no volver","no parpadees"," ya ","últimas horas","últimas unidades"," ahora "},AF439)))&gt;0,"Solo urgencia, sin cifra",IF(SUMPRODUCT(--ISNUMBER(SEARCH({"recompensa","sorpresa","regalo","lealtad","detalle","gracias","pensamos en ti","para ti"},E439)))&gt;0,"Recompensa o sorpresa","Otro: beneficio o novedad"))))</f>
        <v>Otro: beneficio o novedad</v>
      </c>
    </row>
    <row r="440" spans="1:46" x14ac:dyDescent="0.2">
      <c r="A440" s="104" t="s">
        <v>1311</v>
      </c>
      <c r="B440" s="104" t="s">
        <v>278</v>
      </c>
      <c r="C440" s="104" t="s">
        <v>793</v>
      </c>
      <c r="D440" s="104" t="s">
        <v>947</v>
      </c>
      <c r="E440" s="104" t="s">
        <v>368</v>
      </c>
      <c r="F440" s="104" t="s">
        <v>471</v>
      </c>
      <c r="G440" s="105">
        <v>397183</v>
      </c>
      <c r="H440" s="105">
        <v>44484</v>
      </c>
      <c r="I440" s="105">
        <v>12511</v>
      </c>
      <c r="J440" s="106">
        <v>5.65</v>
      </c>
      <c r="K440" s="106">
        <v>4.43</v>
      </c>
      <c r="L440" s="107">
        <v>38278.410000000003</v>
      </c>
      <c r="M440" s="108">
        <f t="shared" si="144"/>
        <v>11.199875120536378</v>
      </c>
      <c r="N440" s="108">
        <f t="shared" si="145"/>
        <v>3.1499334060118387</v>
      </c>
      <c r="O440" s="108">
        <f t="shared" si="146"/>
        <v>28.124719000089922</v>
      </c>
      <c r="P440" s="108">
        <f t="shared" si="147"/>
        <v>96.374744135574801</v>
      </c>
      <c r="Q440" s="108">
        <f t="shared" si="148"/>
        <v>23.315840784070005</v>
      </c>
      <c r="R440" s="108">
        <f t="shared" si="149"/>
        <v>29.458247936272421</v>
      </c>
      <c r="S440" s="101">
        <f t="shared" si="150"/>
        <v>45939</v>
      </c>
      <c r="T440" s="102" t="str">
        <f t="shared" si="151"/>
        <v>Octubre</v>
      </c>
      <c r="U440" s="102" t="str">
        <f t="shared" si="152"/>
        <v>Jueves</v>
      </c>
      <c r="V440" s="102">
        <f t="shared" si="153"/>
        <v>9</v>
      </c>
      <c r="W440" s="102" t="str">
        <f t="shared" si="154"/>
        <v>Resto del mes</v>
      </c>
      <c r="X440" s="102">
        <f t="shared" si="155"/>
        <v>27</v>
      </c>
      <c r="Y440" s="102" t="str">
        <f t="shared" si="156"/>
        <v>Sí</v>
      </c>
      <c r="Z440" s="102" t="str">
        <f>CHOOSE(MATCH(B440,{"Customer Appreciation","Exclusive Offers","Flash Sale","Holiday Discounts","New Product Launch","Newsletter"},0),"Fidelizar","Vender","Vender","Vender","Lanzar","Educar")</f>
        <v>Lanzar</v>
      </c>
      <c r="AA440" s="102" t="str">
        <f t="shared" si="157"/>
        <v>300 a 400 mil</v>
      </c>
      <c r="AB440" s="102">
        <f>COUNTIFS($E$5:$E$493,E440,$S$5:$S$493,"&lt;"&amp;S440)+COUNTIFS($E$5:E440,E440,$S$5:S440,S440)</f>
        <v>22</v>
      </c>
      <c r="AC440" s="102">
        <f t="shared" si="158"/>
        <v>33</v>
      </c>
      <c r="AD440" s="102" t="str">
        <f t="shared" si="159"/>
        <v>Medio</v>
      </c>
      <c r="AE440" s="103">
        <f t="shared" si="160"/>
        <v>-12.115965663533627</v>
      </c>
      <c r="AF440" s="102" t="str">
        <f t="shared" si="161"/>
        <v xml:space="preserve"> presentamos  nuestro último lanzamiento de belleza  imperdible  </v>
      </c>
      <c r="AG440" s="102" t="str">
        <f t="shared" si="162"/>
        <v xml:space="preserve"> una innovación que cambiará tu rutina   sé de los primeros  </v>
      </c>
      <c r="AH440" s="102" t="str">
        <f>IF(SUMPRODUCT(--(LEFT(IF(LEFT(LOWER(E440),1)="¡",MID(LOWER(E440),2,300),LOWER(E440)),LEN({"actualizaci","el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Sí</v>
      </c>
      <c r="AI440" s="102" t="str">
        <f>IF(OR(SUMPRODUCT(--ISNUMBER(SEARCH({"descuento","oferta","ahorr","precio"," sale ","flash","deals"},AF440)))&gt;0,SUMPRODUCT(--ISNUMBER(SEARCH({"descuento","oferta","ahorr","precio"," sale ","flash","deals"},AG440)))&gt;0),"Sí","No")</f>
        <v>No</v>
      </c>
      <c r="AJ440" s="102" t="str">
        <f>IF(SUMPRODUCT(--ISNUMBER(SEARCH({" hoy ","horas","tiempo limitado","antes de que","se acab","se agot","finalic","última oportunidad","oportunidad única","relámpago","express","no esperes","no volver","no parpadees"},AF440)))&gt;0,"Sí","No")</f>
        <v>No</v>
      </c>
      <c r="AK440" s="102" t="str">
        <f>IF(SUMPRODUCT(--ISNUMBER(SEARCH({" hoy ","horas","tiempo limitado","antes de que","se acab","se agot","finalic","última oportunidad","oportunidad única","relámpago","express","no esperes","no volver","no parpadees"},AG440)))&gt;0,"Sí","No")</f>
        <v>No</v>
      </c>
      <c r="AL440" s="102" t="str">
        <f t="shared" si="163"/>
        <v>Sin descuento</v>
      </c>
      <c r="AM440" s="102" t="str">
        <f>IF(SUMPRODUCT(--ISNUMBER(SEARCH({"0","1","2","3","4","5","6","7","8","9","favorit","maquillaje","piel","cabello","productos","belleza","regalo"},E440)))&gt;0,"Sí","No")</f>
        <v>Sí</v>
      </c>
      <c r="AN440" s="102" t="str">
        <f>IF(SUMPRODUCT(--ISNUMBER(SEARCH({"lo que tenemos","estas ofertas","algo especial","ofertas únicas","que preparamos","no te quedes","echa un vistazo"},F440)))&gt;0,"Sí","No")</f>
        <v>No</v>
      </c>
      <c r="AO440" s="102">
        <f t="shared" si="164"/>
        <v>63</v>
      </c>
      <c r="AP440" s="102">
        <f t="shared" si="165"/>
        <v>7</v>
      </c>
      <c r="AQ440" s="102">
        <f>SUMPRODUCT(LEN(E440)-LEN(SUBSTITUTE(E440,{"!","¡","?","¿",":",",",".","%","·","-",";"},"")))</f>
        <v>3</v>
      </c>
      <c r="AR440" s="102" t="str">
        <f t="shared" si="166"/>
        <v>No</v>
      </c>
      <c r="AS440" s="102" t="str">
        <f t="shared" si="167"/>
        <v>No</v>
      </c>
      <c r="AT440" s="102" t="str">
        <f>IF(SUMPRODUCT(--ISNUMBER(FIND({"0","1","2","3","4","5","6","7","8","9"},E440)))&gt;0,"Con cifra concreta",IF(OR(ISNUMBER(FIND("?",E440)),ISNUMBER(FIND("¿",E440))),"Pregunta abierta",IF(SUMPRODUCT(--ISNUMBER(SEARCH({" hoy ","horas","tiempo limitado","antes de que","se acab","se agot","finalic","última oportunidad","oportunidad única","relámpago","express","no esperes","no volver","no parpadees"," ya ","últimas horas","últimas unidades"," ahora "},AF440)))&gt;0,"Solo urgencia, sin cifra",IF(SUMPRODUCT(--ISNUMBER(SEARCH({"recompensa","sorpresa","regalo","lealtad","detalle","gracias","pensamos en ti","para ti"},E440)))&gt;0,"Recompensa o sorpresa","Otro: beneficio o novedad"))))</f>
        <v>Otro: beneficio o novedad</v>
      </c>
    </row>
    <row r="441" spans="1:46" x14ac:dyDescent="0.2">
      <c r="A441" s="96" t="s">
        <v>1312</v>
      </c>
      <c r="B441" s="96" t="s">
        <v>279</v>
      </c>
      <c r="C441" s="96" t="s">
        <v>830</v>
      </c>
      <c r="D441" s="96" t="s">
        <v>950</v>
      </c>
      <c r="E441" s="96" t="s">
        <v>472</v>
      </c>
      <c r="F441" s="96" t="s">
        <v>473</v>
      </c>
      <c r="G441" s="97">
        <v>411766</v>
      </c>
      <c r="H441" s="97">
        <v>185402</v>
      </c>
      <c r="I441" s="97">
        <v>49575</v>
      </c>
      <c r="J441" s="98">
        <v>9.64</v>
      </c>
      <c r="K441" s="98">
        <v>2.06</v>
      </c>
      <c r="L441" s="99">
        <v>71952.03</v>
      </c>
      <c r="M441" s="100">
        <f t="shared" si="144"/>
        <v>45.026058489530463</v>
      </c>
      <c r="N441" s="100">
        <f t="shared" si="145"/>
        <v>12.039605018384227</v>
      </c>
      <c r="O441" s="100">
        <f t="shared" si="146"/>
        <v>26.739193751955209</v>
      </c>
      <c r="P441" s="100">
        <f t="shared" si="147"/>
        <v>174.74009510255826</v>
      </c>
      <c r="Q441" s="100">
        <f t="shared" si="148"/>
        <v>22.891293825435607</v>
      </c>
      <c r="R441" s="100">
        <f t="shared" si="149"/>
        <v>27.75136451093497</v>
      </c>
      <c r="S441" s="101">
        <f t="shared" si="150"/>
        <v>45901</v>
      </c>
      <c r="T441" s="102" t="str">
        <f t="shared" si="151"/>
        <v>Septiembre</v>
      </c>
      <c r="U441" s="102" t="str">
        <f t="shared" si="152"/>
        <v>Lunes</v>
      </c>
      <c r="V441" s="102">
        <f t="shared" si="153"/>
        <v>14</v>
      </c>
      <c r="W441" s="102" t="str">
        <f t="shared" si="154"/>
        <v>Quincena</v>
      </c>
      <c r="X441" s="102">
        <f t="shared" si="155"/>
        <v>29</v>
      </c>
      <c r="Y441" s="102" t="str">
        <f t="shared" si="156"/>
        <v>Sí</v>
      </c>
      <c r="Z441" s="102" t="str">
        <f>CHOOSE(MATCH(B441,{"Customer Appreciation","Exclusive Offers","Flash Sale","Holiday Discounts","New Product Launch","Newsletter"},0),"Fidelizar","Vender","Vender","Vender","Lanzar","Educar")</f>
        <v>Educar</v>
      </c>
      <c r="AA441" s="102" t="str">
        <f t="shared" si="157"/>
        <v>Más de 400 mil</v>
      </c>
      <c r="AB441" s="102">
        <f>COUNTIFS($E$5:$E$493,E441,$S$5:$S$493,"&lt;"&amp;S441)+COUNTIFS($E$5:E441,E441,$S$5:S441,S441)</f>
        <v>9</v>
      </c>
      <c r="AC441" s="102">
        <f t="shared" si="158"/>
        <v>22</v>
      </c>
      <c r="AD441" s="102" t="str">
        <f t="shared" si="159"/>
        <v>Medio</v>
      </c>
      <c r="AE441" s="103">
        <f t="shared" si="160"/>
        <v>22.134764664094856</v>
      </c>
      <c r="AF441" s="102" t="str">
        <f t="shared" si="161"/>
        <v xml:space="preserve"> tu dosis semanal de belleza  novedades y tips </v>
      </c>
      <c r="AG441" s="102" t="str">
        <f t="shared" si="162"/>
        <v xml:space="preserve"> novedades  tips y más para tu rutina diaria   entra ya  </v>
      </c>
      <c r="AH441" s="102" t="str">
        <f>IF(SUMPRODUCT(--(LEFT(IF(LEFT(LOWER(E441),1)="¡",MID(LOWER(E441),2,300),LOWER(E441)),LEN({"actualizaci","el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441" s="102" t="str">
        <f>IF(OR(SUMPRODUCT(--ISNUMBER(SEARCH({"descuento","oferta","ahorr","precio"," sale ","flash","deals"},AF441)))&gt;0,SUMPRODUCT(--ISNUMBER(SEARCH({"descuento","oferta","ahorr","precio"," sale ","flash","deals"},AG441)))&gt;0),"Sí","No")</f>
        <v>No</v>
      </c>
      <c r="AJ441" s="102" t="str">
        <f>IF(SUMPRODUCT(--ISNUMBER(SEARCH({" hoy ","horas","tiempo limitado","antes de que","se acab","se agot","finalic","última oportunidad","oportunidad única","relámpago","express","no esperes","no volver","no parpadees"},AF441)))&gt;0,"Sí","No")</f>
        <v>No</v>
      </c>
      <c r="AK441" s="102" t="str">
        <f>IF(SUMPRODUCT(--ISNUMBER(SEARCH({" hoy ","horas","tiempo limitado","antes de que","se acab","se agot","finalic","última oportunidad","oportunidad única","relámpago","express","no esperes","no volver","no parpadees"},AG441)))&gt;0,"Sí","No")</f>
        <v>No</v>
      </c>
      <c r="AL441" s="102" t="str">
        <f t="shared" si="163"/>
        <v>Sin descuento</v>
      </c>
      <c r="AM441" s="102" t="str">
        <f>IF(SUMPRODUCT(--ISNUMBER(SEARCH({"0","1","2","3","4","5","6","7","8","9","favorit","maquillaje","piel","cabello","productos","belleza","regalo"},E441)))&gt;0,"Sí","No")</f>
        <v>Sí</v>
      </c>
      <c r="AN441" s="102" t="str">
        <f>IF(SUMPRODUCT(--ISNUMBER(SEARCH({"lo que tenemos","estas ofertas","algo especial","ofertas únicas","que preparamos","no te quedes","echa un vistazo"},F441)))&gt;0,"Sí","No")</f>
        <v>No</v>
      </c>
      <c r="AO441" s="102">
        <f t="shared" si="164"/>
        <v>45</v>
      </c>
      <c r="AP441" s="102">
        <f t="shared" si="165"/>
        <v>8</v>
      </c>
      <c r="AQ441" s="102">
        <f>SUMPRODUCT(LEN(E441)-LEN(SUBSTITUTE(E441,{"!","¡","?","¿",":",",",".","%","·","-",";"},"")))</f>
        <v>1</v>
      </c>
      <c r="AR441" s="102" t="str">
        <f t="shared" si="166"/>
        <v>Sí</v>
      </c>
      <c r="AS441" s="102" t="str">
        <f t="shared" si="167"/>
        <v>No</v>
      </c>
      <c r="AT441" s="102" t="str">
        <f>IF(SUMPRODUCT(--ISNUMBER(FIND({"0","1","2","3","4","5","6","7","8","9"},E441)))&gt;0,"Con cifra concreta",IF(OR(ISNUMBER(FIND("?",E441)),ISNUMBER(FIND("¿",E441))),"Pregunta abierta",IF(SUMPRODUCT(--ISNUMBER(SEARCH({" hoy ","horas","tiempo limitado","antes de que","se acab","se agot","finalic","última oportunidad","oportunidad única","relámpago","express","no esperes","no volver","no parpadees"," ya ","últimas horas","últimas unidades"," ahora "},AF441)))&gt;0,"Solo urgencia, sin cifra",IF(SUMPRODUCT(--ISNUMBER(SEARCH({"recompensa","sorpresa","regalo","lealtad","detalle","gracias","pensamos en ti","para ti"},E441)))&gt;0,"Recompensa o sorpresa","Otro: beneficio o novedad"))))</f>
        <v>Otro: beneficio o novedad</v>
      </c>
    </row>
    <row r="442" spans="1:46" x14ac:dyDescent="0.2">
      <c r="A442" s="104" t="s">
        <v>1313</v>
      </c>
      <c r="B442" s="104" t="s">
        <v>274</v>
      </c>
      <c r="C442" s="104" t="s">
        <v>976</v>
      </c>
      <c r="D442" s="104" t="s">
        <v>751</v>
      </c>
      <c r="E442" s="104" t="s">
        <v>372</v>
      </c>
      <c r="F442" s="104" t="s">
        <v>480</v>
      </c>
      <c r="G442" s="105">
        <v>423994</v>
      </c>
      <c r="H442" s="105">
        <v>100109</v>
      </c>
      <c r="I442" s="105">
        <v>81084</v>
      </c>
      <c r="J442" s="106">
        <v>6.84</v>
      </c>
      <c r="K442" s="106">
        <v>4.6900000000000004</v>
      </c>
      <c r="L442" s="107">
        <v>66030.600000000006</v>
      </c>
      <c r="M442" s="108">
        <f t="shared" si="144"/>
        <v>23.610947324726293</v>
      </c>
      <c r="N442" s="108">
        <f t="shared" si="145"/>
        <v>19.123855526257447</v>
      </c>
      <c r="O442" s="108">
        <f t="shared" si="146"/>
        <v>80.995714671008599</v>
      </c>
      <c r="P442" s="108">
        <f t="shared" si="147"/>
        <v>155.73475096345703</v>
      </c>
      <c r="Q442" s="108">
        <f t="shared" si="148"/>
        <v>20.724631699294946</v>
      </c>
      <c r="R442" s="108">
        <f t="shared" si="149"/>
        <v>31.113650744455075</v>
      </c>
      <c r="S442" s="101">
        <f t="shared" si="150"/>
        <v>45892</v>
      </c>
      <c r="T442" s="102" t="str">
        <f t="shared" si="151"/>
        <v>Agosto</v>
      </c>
      <c r="U442" s="102" t="str">
        <f t="shared" si="152"/>
        <v>Sábado</v>
      </c>
      <c r="V442" s="102">
        <f t="shared" si="153"/>
        <v>11</v>
      </c>
      <c r="W442" s="102" t="str">
        <f t="shared" si="154"/>
        <v>Resto del mes</v>
      </c>
      <c r="X442" s="102">
        <f t="shared" si="155"/>
        <v>25</v>
      </c>
      <c r="Y442" s="102" t="str">
        <f t="shared" si="156"/>
        <v>Sí</v>
      </c>
      <c r="Z442" s="102" t="str">
        <f>CHOOSE(MATCH(B442,{"Customer Appreciation","Exclusive Offers","Flash Sale","Holiday Discounts","New Product Launch","Newsletter"},0),"Fidelizar","Vender","Vender","Vender","Lanzar","Educar")</f>
        <v>Fidelizar</v>
      </c>
      <c r="AA442" s="102" t="str">
        <f t="shared" si="157"/>
        <v>Más de 400 mil</v>
      </c>
      <c r="AB442" s="102">
        <f>COUNTIFS($E$5:$E$493,E442,$S$5:$S$493,"&lt;"&amp;S442)+COUNTIFS($E$5:E442,E442,$S$5:S442,S442)</f>
        <v>8</v>
      </c>
      <c r="AC442" s="102">
        <f t="shared" si="158"/>
        <v>14</v>
      </c>
      <c r="AD442" s="102" t="str">
        <f t="shared" si="159"/>
        <v>Medio</v>
      </c>
      <c r="AE442" s="103">
        <f t="shared" si="160"/>
        <v>2.8863156254313473</v>
      </c>
      <c r="AF442" s="102" t="str">
        <f t="shared" si="161"/>
        <v xml:space="preserve">  un pequeño detalle para agradecerte tu lealtad  l'oréal </v>
      </c>
      <c r="AG442" s="102" t="str">
        <f t="shared" si="162"/>
        <v xml:space="preserve"> echa un vistazo a lo que tenemos para ti   te va a encantar  </v>
      </c>
      <c r="AH442" s="102" t="str">
        <f>IF(SUMPRODUCT(--(LEFT(IF(LEFT(LOWER(E442),1)="¡",MID(LOWER(E442),2,300),LOWER(E442)),LEN({"actualizaci","el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Sí</v>
      </c>
      <c r="AI442" s="102" t="str">
        <f>IF(OR(SUMPRODUCT(--ISNUMBER(SEARCH({"descuento","oferta","ahorr","precio"," sale ","flash","deals"},AF442)))&gt;0,SUMPRODUCT(--ISNUMBER(SEARCH({"descuento","oferta","ahorr","precio"," sale ","flash","deals"},AG442)))&gt;0),"Sí","No")</f>
        <v>No</v>
      </c>
      <c r="AJ442" s="102" t="str">
        <f>IF(SUMPRODUCT(--ISNUMBER(SEARCH({" hoy ","horas","tiempo limitado","antes de que","se acab","se agot","finalic","última oportunidad","oportunidad única","relámpago","express","no esperes","no volver","no parpadees"},AF442)))&gt;0,"Sí","No")</f>
        <v>No</v>
      </c>
      <c r="AK442" s="102" t="str">
        <f>IF(SUMPRODUCT(--ISNUMBER(SEARCH({" hoy ","horas","tiempo limitado","antes de que","se acab","se agot","finalic","última oportunidad","oportunidad única","relámpago","express","no esperes","no volver","no parpadees"},AG442)))&gt;0,"Sí","No")</f>
        <v>No</v>
      </c>
      <c r="AL442" s="102" t="str">
        <f t="shared" si="163"/>
        <v>Sin descuento</v>
      </c>
      <c r="AM442" s="102" t="str">
        <f>IF(SUMPRODUCT(--ISNUMBER(SEARCH({"0","1","2","3","4","5","6","7","8","9","favorit","maquillaje","piel","cabello","productos","belleza","regalo"},E442)))&gt;0,"Sí","No")</f>
        <v>No</v>
      </c>
      <c r="AN442" s="102" t="str">
        <f>IF(SUMPRODUCT(--ISNUMBER(SEARCH({"lo que tenemos","estas ofertas","algo especial","ofertas únicas","que preparamos","no te quedes","echa un vistazo"},F442)))&gt;0,"Sí","No")</f>
        <v>Sí</v>
      </c>
      <c r="AO442" s="102">
        <f t="shared" si="164"/>
        <v>56</v>
      </c>
      <c r="AP442" s="102">
        <f t="shared" si="165"/>
        <v>8</v>
      </c>
      <c r="AQ442" s="102">
        <f>SUMPRODUCT(LEN(E442)-LEN(SUBSTITUTE(E442,{"!","¡","?","¿",":",",",".","%","·","-",";"},"")))</f>
        <v>2</v>
      </c>
      <c r="AR442" s="102" t="str">
        <f t="shared" si="166"/>
        <v>Sí</v>
      </c>
      <c r="AS442" s="102" t="str">
        <f t="shared" si="167"/>
        <v>No</v>
      </c>
      <c r="AT442" s="102" t="str">
        <f>IF(SUMPRODUCT(--ISNUMBER(FIND({"0","1","2","3","4","5","6","7","8","9"},E442)))&gt;0,"Con cifra concreta",IF(OR(ISNUMBER(FIND("?",E442)),ISNUMBER(FIND("¿",E442))),"Pregunta abierta",IF(SUMPRODUCT(--ISNUMBER(SEARCH({" hoy ","horas","tiempo limitado","antes de que","se acab","se agot","finalic","última oportunidad","oportunidad única","relámpago","express","no esperes","no volver","no parpadees"," ya ","últimas horas","últimas unidades"," ahora "},AF442)))&gt;0,"Solo urgencia, sin cifra",IF(SUMPRODUCT(--ISNUMBER(SEARCH({"recompensa","sorpresa","regalo","lealtad","detalle","gracias","pensamos en ti","para ti"},E442)))&gt;0,"Recompensa o sorpresa","Otro: beneficio o novedad"))))</f>
        <v>Recompensa o sorpresa</v>
      </c>
    </row>
    <row r="443" spans="1:46" x14ac:dyDescent="0.2">
      <c r="A443" s="96" t="s">
        <v>1314</v>
      </c>
      <c r="B443" s="96" t="s">
        <v>274</v>
      </c>
      <c r="C443" s="96" t="s">
        <v>742</v>
      </c>
      <c r="D443" s="96" t="s">
        <v>702</v>
      </c>
      <c r="E443" s="96" t="s">
        <v>999</v>
      </c>
      <c r="F443" s="96" t="s">
        <v>1000</v>
      </c>
      <c r="G443" s="97">
        <v>47605</v>
      </c>
      <c r="H443" s="97">
        <v>19419</v>
      </c>
      <c r="I443" s="97">
        <v>3183</v>
      </c>
      <c r="J443" s="98">
        <v>8.6999999999999993</v>
      </c>
      <c r="K443" s="98">
        <v>0.23</v>
      </c>
      <c r="L443" s="99">
        <v>1420.55</v>
      </c>
      <c r="M443" s="100">
        <f t="shared" si="144"/>
        <v>40.791933620418028</v>
      </c>
      <c r="N443" s="100">
        <f t="shared" si="145"/>
        <v>6.6862724503728597</v>
      </c>
      <c r="O443" s="100">
        <f t="shared" si="146"/>
        <v>16.391163293681448</v>
      </c>
      <c r="P443" s="100">
        <f t="shared" si="147"/>
        <v>29.840352904106709</v>
      </c>
      <c r="Q443" s="100">
        <f t="shared" si="148"/>
        <v>21.495532447877647</v>
      </c>
      <c r="R443" s="100">
        <f t="shared" si="149"/>
        <v>31.113650744455075</v>
      </c>
      <c r="S443" s="101">
        <f t="shared" si="150"/>
        <v>45948</v>
      </c>
      <c r="T443" s="102" t="str">
        <f t="shared" si="151"/>
        <v>Octubre</v>
      </c>
      <c r="U443" s="102" t="str">
        <f t="shared" si="152"/>
        <v>Sábado</v>
      </c>
      <c r="V443" s="102">
        <f t="shared" si="153"/>
        <v>16</v>
      </c>
      <c r="W443" s="102" t="str">
        <f t="shared" si="154"/>
        <v>Días después del pago</v>
      </c>
      <c r="X443" s="102">
        <f t="shared" si="155"/>
        <v>27</v>
      </c>
      <c r="Y443" s="102" t="str">
        <f t="shared" si="156"/>
        <v>Sí</v>
      </c>
      <c r="Z443" s="102" t="str">
        <f>CHOOSE(MATCH(B443,{"Customer Appreciation","Exclusive Offers","Flash Sale","Holiday Discounts","New Product Launch","Newsletter"},0),"Fidelizar","Vender","Vender","Vender","Lanzar","Educar")</f>
        <v>Fidelizar</v>
      </c>
      <c r="AA443" s="102" t="str">
        <f t="shared" si="157"/>
        <v>Menos de 100 mil</v>
      </c>
      <c r="AB443" s="102">
        <f>COUNTIFS($E$5:$E$493,E443,$S$5:$S$493,"&lt;"&amp;S443)+COUNTIFS($E$5:E443,E443,$S$5:S443,S443)</f>
        <v>4</v>
      </c>
      <c r="AC443" s="102">
        <f t="shared" si="158"/>
        <v>6</v>
      </c>
      <c r="AD443" s="102" t="str">
        <f t="shared" si="159"/>
        <v/>
      </c>
      <c r="AE443" s="103">
        <f t="shared" si="160"/>
        <v>19.296401172540381</v>
      </c>
      <c r="AF443" s="102" t="str">
        <f t="shared" si="161"/>
        <v xml:space="preserve">  gracias por elegir l'oréal  tu belleza  nuestra inspiración </v>
      </c>
      <c r="AG443" s="102" t="str">
        <f t="shared" si="162"/>
        <v xml:space="preserve"> queremos celebrar tu preferencia con estas ofertas   descúbrelas  </v>
      </c>
      <c r="AH443" s="102" t="str">
        <f>IF(SUMPRODUCT(--(LEFT(IF(LEFT(LOWER(E443),1)="¡",MID(LOWER(E443),2,300),LOWER(E443)),LEN({"actualizaci","el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443" s="102" t="str">
        <f>IF(OR(SUMPRODUCT(--ISNUMBER(SEARCH({"descuento","oferta","ahorr","precio"," sale ","flash","deals"},AF443)))&gt;0,SUMPRODUCT(--ISNUMBER(SEARCH({"descuento","oferta","ahorr","precio"," sale ","flash","deals"},AG443)))&gt;0),"Sí","No")</f>
        <v>Sí</v>
      </c>
      <c r="AJ443" s="102" t="str">
        <f>IF(SUMPRODUCT(--ISNUMBER(SEARCH({" hoy ","horas","tiempo limitado","antes de que","se acab","se agot","finalic","última oportunidad","oportunidad única","relámpago","express","no esperes","no volver","no parpadees"},AF443)))&gt;0,"Sí","No")</f>
        <v>No</v>
      </c>
      <c r="AK443" s="102" t="str">
        <f>IF(SUMPRODUCT(--ISNUMBER(SEARCH({" hoy ","horas","tiempo limitado","antes de que","se acab","se agot","finalic","última oportunidad","oportunidad única","relámpago","express","no esperes","no volver","no parpadees"},AG443)))&gt;0,"Sí","No")</f>
        <v>No</v>
      </c>
      <c r="AL443" s="102" t="str">
        <f t="shared" si="163"/>
        <v>Descuento sin tiempo límite</v>
      </c>
      <c r="AM443" s="102" t="str">
        <f>IF(SUMPRODUCT(--ISNUMBER(SEARCH({"0","1","2","3","4","5","6","7","8","9","favorit","maquillaje","piel","cabello","productos","belleza","regalo"},E443)))&gt;0,"Sí","No")</f>
        <v>Sí</v>
      </c>
      <c r="AN443" s="102" t="str">
        <f>IF(SUMPRODUCT(--ISNUMBER(SEARCH({"lo que tenemos","estas ofertas","algo especial","ofertas únicas","que preparamos","no te quedes","echa un vistazo"},F443)))&gt;0,"Sí","No")</f>
        <v>Sí</v>
      </c>
      <c r="AO443" s="102">
        <f t="shared" si="164"/>
        <v>60</v>
      </c>
      <c r="AP443" s="102">
        <f t="shared" si="165"/>
        <v>8</v>
      </c>
      <c r="AQ443" s="102">
        <f>SUMPRODUCT(LEN(E443)-LEN(SUBSTITUTE(E443,{"!","¡","?","¿",":",",",".","%","·","-",";"},"")))</f>
        <v>3</v>
      </c>
      <c r="AR443" s="102" t="str">
        <f t="shared" si="166"/>
        <v>Sí</v>
      </c>
      <c r="AS443" s="102" t="str">
        <f t="shared" si="167"/>
        <v>No</v>
      </c>
      <c r="AT443" s="102" t="str">
        <f>IF(SUMPRODUCT(--ISNUMBER(FIND({"0","1","2","3","4","5","6","7","8","9"},E443)))&gt;0,"Con cifra concreta",IF(OR(ISNUMBER(FIND("?",E443)),ISNUMBER(FIND("¿",E443))),"Pregunta abierta",IF(SUMPRODUCT(--ISNUMBER(SEARCH({" hoy ","horas","tiempo limitado","antes de que","se acab","se agot","finalic","última oportunidad","oportunidad única","relámpago","express","no esperes","no volver","no parpadees"," ya ","últimas horas","últimas unidades"," ahora "},AF443)))&gt;0,"Solo urgencia, sin cifra",IF(SUMPRODUCT(--ISNUMBER(SEARCH({"recompensa","sorpresa","regalo","lealtad","detalle","gracias","pensamos en ti","para ti"},E443)))&gt;0,"Recompensa o sorpresa","Otro: beneficio o novedad"))))</f>
        <v>Recompensa o sorpresa</v>
      </c>
    </row>
    <row r="444" spans="1:46" x14ac:dyDescent="0.2">
      <c r="A444" s="104" t="s">
        <v>1315</v>
      </c>
      <c r="B444" s="104" t="s">
        <v>279</v>
      </c>
      <c r="C444" s="104" t="s">
        <v>773</v>
      </c>
      <c r="D444" s="104" t="s">
        <v>707</v>
      </c>
      <c r="E444" s="104" t="s">
        <v>369</v>
      </c>
      <c r="F444" s="104" t="s">
        <v>457</v>
      </c>
      <c r="G444" s="105">
        <v>234009</v>
      </c>
      <c r="H444" s="105">
        <v>71680</v>
      </c>
      <c r="I444" s="105">
        <v>35787</v>
      </c>
      <c r="J444" s="106">
        <v>8.24</v>
      </c>
      <c r="K444" s="106">
        <v>2.74</v>
      </c>
      <c r="L444" s="107">
        <v>51055.18</v>
      </c>
      <c r="M444" s="108">
        <f t="shared" si="144"/>
        <v>30.631300505536114</v>
      </c>
      <c r="N444" s="108">
        <f t="shared" si="145"/>
        <v>15.293001551222387</v>
      </c>
      <c r="O444" s="108">
        <f t="shared" si="146"/>
        <v>49.926060267857139</v>
      </c>
      <c r="P444" s="108">
        <f t="shared" si="147"/>
        <v>218.17613852458666</v>
      </c>
      <c r="Q444" s="108">
        <f t="shared" si="148"/>
        <v>36.827379346292652</v>
      </c>
      <c r="R444" s="108">
        <f t="shared" si="149"/>
        <v>27.75136451093497</v>
      </c>
      <c r="S444" s="101">
        <f t="shared" si="150"/>
        <v>45909</v>
      </c>
      <c r="T444" s="102" t="str">
        <f t="shared" si="151"/>
        <v>Septiembre</v>
      </c>
      <c r="U444" s="102" t="str">
        <f t="shared" si="152"/>
        <v>Martes</v>
      </c>
      <c r="V444" s="102">
        <f t="shared" si="153"/>
        <v>13</v>
      </c>
      <c r="W444" s="102" t="str">
        <f t="shared" si="154"/>
        <v>Resto del mes</v>
      </c>
      <c r="X444" s="102">
        <f t="shared" si="155"/>
        <v>28</v>
      </c>
      <c r="Y444" s="102" t="str">
        <f t="shared" si="156"/>
        <v>Sí</v>
      </c>
      <c r="Z444" s="102" t="str">
        <f>CHOOSE(MATCH(B444,{"Customer Appreciation","Exclusive Offers","Flash Sale","Holiday Discounts","New Product Launch","Newsletter"},0),"Fidelizar","Vender","Vender","Vender","Lanzar","Educar")</f>
        <v>Educar</v>
      </c>
      <c r="AA444" s="102" t="str">
        <f t="shared" si="157"/>
        <v>200 a 300 mil</v>
      </c>
      <c r="AB444" s="102">
        <f>COUNTIFS($E$5:$E$493,E444,$S$5:$S$493,"&lt;"&amp;S444)+COUNTIFS($E$5:E444,E444,$S$5:S444,S444)</f>
        <v>9</v>
      </c>
      <c r="AC444" s="102">
        <f t="shared" si="158"/>
        <v>19</v>
      </c>
      <c r="AD444" s="102" t="str">
        <f t="shared" si="159"/>
        <v>Medio</v>
      </c>
      <c r="AE444" s="103">
        <f t="shared" si="160"/>
        <v>-6.1960788407565381</v>
      </c>
      <c r="AF444" s="102" t="str">
        <f t="shared" si="161"/>
        <v xml:space="preserve"> lo último en l'oréal  mantente informad@ de las novedades </v>
      </c>
      <c r="AG444" s="102" t="str">
        <f t="shared" si="162"/>
        <v xml:space="preserve"> descubre las novedades y tips de la semana   entra ya  </v>
      </c>
      <c r="AH444" s="102" t="str">
        <f>IF(SUMPRODUCT(--(LEFT(IF(LEFT(LOWER(E444),1)="¡",MID(LOWER(E444),2,300),LOWER(E444)),LEN({"actualizaci","el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444" s="102" t="str">
        <f>IF(OR(SUMPRODUCT(--ISNUMBER(SEARCH({"descuento","oferta","ahorr","precio"," sale ","flash","deals"},AF444)))&gt;0,SUMPRODUCT(--ISNUMBER(SEARCH({"descuento","oferta","ahorr","precio"," sale ","flash","deals"},AG444)))&gt;0),"Sí","No")</f>
        <v>No</v>
      </c>
      <c r="AJ444" s="102" t="str">
        <f>IF(SUMPRODUCT(--ISNUMBER(SEARCH({" hoy ","horas","tiempo limitado","antes de que","se acab","se agot","finalic","última oportunidad","oportunidad única","relámpago","express","no esperes","no volver","no parpadees"},AF444)))&gt;0,"Sí","No")</f>
        <v>No</v>
      </c>
      <c r="AK444" s="102" t="str">
        <f>IF(SUMPRODUCT(--ISNUMBER(SEARCH({" hoy ","horas","tiempo limitado","antes de que","se acab","se agot","finalic","última oportunidad","oportunidad única","relámpago","express","no esperes","no volver","no parpadees"},AG444)))&gt;0,"Sí","No")</f>
        <v>No</v>
      </c>
      <c r="AL444" s="102" t="str">
        <f t="shared" si="163"/>
        <v>Sin descuento</v>
      </c>
      <c r="AM444" s="102" t="str">
        <f>IF(SUMPRODUCT(--ISNUMBER(SEARCH({"0","1","2","3","4","5","6","7","8","9","favorit","maquillaje","piel","cabello","productos","belleza","regalo"},E444)))&gt;0,"Sí","No")</f>
        <v>No</v>
      </c>
      <c r="AN444" s="102" t="str">
        <f>IF(SUMPRODUCT(--ISNUMBER(SEARCH({"lo que tenemos","estas ofertas","algo especial","ofertas únicas","que preparamos","no te quedes","echa un vistazo"},F444)))&gt;0,"Sí","No")</f>
        <v>No</v>
      </c>
      <c r="AO444" s="102">
        <f t="shared" si="164"/>
        <v>57</v>
      </c>
      <c r="AP444" s="102">
        <f t="shared" si="165"/>
        <v>9</v>
      </c>
      <c r="AQ444" s="102">
        <f>SUMPRODUCT(LEN(E444)-LEN(SUBSTITUTE(E444,{"!","¡","?","¿",":",",",".","%","·","-",";"},"")))</f>
        <v>1</v>
      </c>
      <c r="AR444" s="102" t="str">
        <f t="shared" si="166"/>
        <v>Sí</v>
      </c>
      <c r="AS444" s="102" t="str">
        <f t="shared" si="167"/>
        <v>No</v>
      </c>
      <c r="AT444" s="102" t="str">
        <f>IF(SUMPRODUCT(--ISNUMBER(FIND({"0","1","2","3","4","5","6","7","8","9"},E444)))&gt;0,"Con cifra concreta",IF(OR(ISNUMBER(FIND("?",E444)),ISNUMBER(FIND("¿",E444))),"Pregunta abierta",IF(SUMPRODUCT(--ISNUMBER(SEARCH({" hoy ","horas","tiempo limitado","antes de que","se acab","se agot","finalic","última oportunidad","oportunidad única","relámpago","express","no esperes","no volver","no parpadees"," ya ","últimas horas","últimas unidades"," ahora "},AF444)))&gt;0,"Solo urgencia, sin cifra",IF(SUMPRODUCT(--ISNUMBER(SEARCH({"recompensa","sorpresa","regalo","lealtad","detalle","gracias","pensamos en ti","para ti"},E444)))&gt;0,"Recompensa o sorpresa","Otro: beneficio o novedad"))))</f>
        <v>Otro: beneficio o novedad</v>
      </c>
    </row>
    <row r="445" spans="1:46" x14ac:dyDescent="0.2">
      <c r="A445" s="96" t="s">
        <v>1316</v>
      </c>
      <c r="B445" s="96" t="s">
        <v>279</v>
      </c>
      <c r="C445" s="96" t="s">
        <v>980</v>
      </c>
      <c r="D445" s="96" t="s">
        <v>824</v>
      </c>
      <c r="E445" s="96" t="s">
        <v>463</v>
      </c>
      <c r="F445" s="96" t="s">
        <v>464</v>
      </c>
      <c r="G445" s="97">
        <v>11206</v>
      </c>
      <c r="H445" s="97">
        <v>5561</v>
      </c>
      <c r="I445" s="97">
        <v>1355</v>
      </c>
      <c r="J445" s="98">
        <v>5.67</v>
      </c>
      <c r="K445" s="98">
        <v>4.6100000000000003</v>
      </c>
      <c r="L445" s="99">
        <v>86482.23</v>
      </c>
      <c r="M445" s="100">
        <f t="shared" si="144"/>
        <v>49.625200785293593</v>
      </c>
      <c r="N445" s="100">
        <f t="shared" si="145"/>
        <v>12.091736569694806</v>
      </c>
      <c r="O445" s="100">
        <f t="shared" si="146"/>
        <v>24.3661212012228</v>
      </c>
      <c r="P445" s="100">
        <f t="shared" si="147"/>
        <v>7717.4933071568794</v>
      </c>
      <c r="Q445" s="100">
        <f t="shared" si="148"/>
        <v>33.412775116147934</v>
      </c>
      <c r="R445" s="100">
        <f t="shared" si="149"/>
        <v>27.75136451093497</v>
      </c>
      <c r="S445" s="101">
        <f t="shared" si="150"/>
        <v>45875</v>
      </c>
      <c r="T445" s="102" t="str">
        <f t="shared" si="151"/>
        <v>Agosto</v>
      </c>
      <c r="U445" s="102" t="str">
        <f t="shared" si="152"/>
        <v>Miércoles</v>
      </c>
      <c r="V445" s="102">
        <f t="shared" si="153"/>
        <v>10</v>
      </c>
      <c r="W445" s="102" t="str">
        <f t="shared" si="154"/>
        <v>Resto del mes</v>
      </c>
      <c r="X445" s="102">
        <f t="shared" si="155"/>
        <v>28</v>
      </c>
      <c r="Y445" s="102" t="str">
        <f t="shared" si="156"/>
        <v>Sí</v>
      </c>
      <c r="Z445" s="102" t="str">
        <f>CHOOSE(MATCH(B445,{"Customer Appreciation","Exclusive Offers","Flash Sale","Holiday Discounts","New Product Launch","Newsletter"},0),"Fidelizar","Vender","Vender","Vender","Lanzar","Educar")</f>
        <v>Educar</v>
      </c>
      <c r="AA445" s="102" t="str">
        <f t="shared" si="157"/>
        <v>Menos de 100 mil</v>
      </c>
      <c r="AB445" s="102">
        <f>COUNTIFS($E$5:$E$493,E445,$S$5:$S$493,"&lt;"&amp;S445)+COUNTIFS($E$5:E445,E445,$S$5:S445,S445)</f>
        <v>5</v>
      </c>
      <c r="AC445" s="102">
        <f t="shared" si="158"/>
        <v>25</v>
      </c>
      <c r="AD445" s="102" t="str">
        <f t="shared" si="159"/>
        <v>Primer tercio</v>
      </c>
      <c r="AE445" s="103">
        <f t="shared" si="160"/>
        <v>16.212425669145659</v>
      </c>
      <c r="AF445" s="102" t="str">
        <f t="shared" si="161"/>
        <v xml:space="preserve"> tu dosis de belleza   no te lo pierdas  tips y trucos </v>
      </c>
      <c r="AG445" s="102" t="str">
        <f t="shared" si="162"/>
        <v xml:space="preserve"> consejos expertos  tendencias y más en tu bandeja de entrada   descúbrelo  </v>
      </c>
      <c r="AH445" s="102" t="str">
        <f>IF(SUMPRODUCT(--(LEFT(IF(LEFT(LOWER(E445),1)="¡",MID(LOWER(E445),2,300),LOWER(E445)),LEN({"actualizaci","el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445" s="102" t="str">
        <f>IF(OR(SUMPRODUCT(--ISNUMBER(SEARCH({"descuento","oferta","ahorr","precio"," sale ","flash","deals"},AF445)))&gt;0,SUMPRODUCT(--ISNUMBER(SEARCH({"descuento","oferta","ahorr","precio"," sale ","flash","deals"},AG445)))&gt;0),"Sí","No")</f>
        <v>No</v>
      </c>
      <c r="AJ445" s="102" t="str">
        <f>IF(SUMPRODUCT(--ISNUMBER(SEARCH({" hoy ","horas","tiempo limitado","antes de que","se acab","se agot","finalic","última oportunidad","oportunidad única","relámpago","express","no esperes","no volver","no parpadees"},AF445)))&gt;0,"Sí","No")</f>
        <v>No</v>
      </c>
      <c r="AK445" s="102" t="str">
        <f>IF(SUMPRODUCT(--ISNUMBER(SEARCH({" hoy ","horas","tiempo limitado","antes de que","se acab","se agot","finalic","última oportunidad","oportunidad única","relámpago","express","no esperes","no volver","no parpadees"},AG445)))&gt;0,"Sí","No")</f>
        <v>No</v>
      </c>
      <c r="AL445" s="102" t="str">
        <f t="shared" si="163"/>
        <v>Sin descuento</v>
      </c>
      <c r="AM445" s="102" t="str">
        <f>IF(SUMPRODUCT(--ISNUMBER(SEARCH({"0","1","2","3","4","5","6","7","8","9","favorit","maquillaje","piel","cabello","productos","belleza","regalo"},E445)))&gt;0,"Sí","No")</f>
        <v>Sí</v>
      </c>
      <c r="AN445" s="102" t="str">
        <f>IF(SUMPRODUCT(--ISNUMBER(SEARCH({"lo que tenemos","estas ofertas","algo especial","ofertas únicas","que preparamos","no te quedes","echa un vistazo"},F445)))&gt;0,"Sí","No")</f>
        <v>No</v>
      </c>
      <c r="AO445" s="102">
        <f t="shared" si="164"/>
        <v>53</v>
      </c>
      <c r="AP445" s="102">
        <f t="shared" si="165"/>
        <v>11</v>
      </c>
      <c r="AQ445" s="102">
        <f>SUMPRODUCT(LEN(E445)-LEN(SUBSTITUTE(E445,{"!","¡","?","¿",":",",",".","%","·","-",";"},"")))</f>
        <v>3</v>
      </c>
      <c r="AR445" s="102" t="str">
        <f t="shared" si="166"/>
        <v>No</v>
      </c>
      <c r="AS445" s="102" t="str">
        <f t="shared" si="167"/>
        <v>No</v>
      </c>
      <c r="AT445" s="102" t="str">
        <f>IF(SUMPRODUCT(--ISNUMBER(FIND({"0","1","2","3","4","5","6","7","8","9"},E445)))&gt;0,"Con cifra concreta",IF(OR(ISNUMBER(FIND("?",E445)),ISNUMBER(FIND("¿",E445))),"Pregunta abierta",IF(SUMPRODUCT(--ISNUMBER(SEARCH({" hoy ","horas","tiempo limitado","antes de que","se acab","se agot","finalic","última oportunidad","oportunidad única","relámpago","express","no esperes","no volver","no parpadees"," ya ","últimas horas","últimas unidades"," ahora "},AF445)))&gt;0,"Solo urgencia, sin cifra",IF(SUMPRODUCT(--ISNUMBER(SEARCH({"recompensa","sorpresa","regalo","lealtad","detalle","gracias","pensamos en ti","para ti"},E445)))&gt;0,"Recompensa o sorpresa","Otro: beneficio o novedad"))))</f>
        <v>Otro: beneficio o novedad</v>
      </c>
    </row>
    <row r="446" spans="1:46" x14ac:dyDescent="0.2">
      <c r="A446" s="104" t="s">
        <v>1317</v>
      </c>
      <c r="B446" s="104" t="s">
        <v>274</v>
      </c>
      <c r="C446" s="104" t="s">
        <v>815</v>
      </c>
      <c r="D446" s="104" t="s">
        <v>764</v>
      </c>
      <c r="E446" s="104" t="s">
        <v>453</v>
      </c>
      <c r="F446" s="104" t="s">
        <v>454</v>
      </c>
      <c r="G446" s="105">
        <v>210101</v>
      </c>
      <c r="H446" s="105">
        <v>102195</v>
      </c>
      <c r="I446" s="105">
        <v>37021</v>
      </c>
      <c r="J446" s="106">
        <v>6.19</v>
      </c>
      <c r="K446" s="106">
        <v>1.61</v>
      </c>
      <c r="L446" s="107">
        <v>31952.36</v>
      </c>
      <c r="M446" s="108">
        <f t="shared" si="144"/>
        <v>48.640891761581337</v>
      </c>
      <c r="N446" s="108">
        <f t="shared" si="145"/>
        <v>17.620572962527547</v>
      </c>
      <c r="O446" s="108">
        <f t="shared" si="146"/>
        <v>36.225842751602329</v>
      </c>
      <c r="P446" s="108">
        <f t="shared" si="147"/>
        <v>152.08095154235343</v>
      </c>
      <c r="Q446" s="108">
        <f t="shared" si="148"/>
        <v>39.210446566150395</v>
      </c>
      <c r="R446" s="108">
        <f t="shared" si="149"/>
        <v>31.113650744455075</v>
      </c>
      <c r="S446" s="101">
        <f t="shared" si="150"/>
        <v>45959</v>
      </c>
      <c r="T446" s="102" t="str">
        <f t="shared" si="151"/>
        <v>Octubre</v>
      </c>
      <c r="U446" s="102" t="str">
        <f t="shared" si="152"/>
        <v>Miércoles</v>
      </c>
      <c r="V446" s="102">
        <f t="shared" si="153"/>
        <v>15</v>
      </c>
      <c r="W446" s="102" t="str">
        <f t="shared" si="154"/>
        <v>Resto del mes</v>
      </c>
      <c r="X446" s="102">
        <f t="shared" si="155"/>
        <v>27</v>
      </c>
      <c r="Y446" s="102" t="str">
        <f t="shared" si="156"/>
        <v>Sí</v>
      </c>
      <c r="Z446" s="102" t="str">
        <f>CHOOSE(MATCH(B446,{"Customer Appreciation","Exclusive Offers","Flash Sale","Holiday Discounts","New Product Launch","Newsletter"},0),"Fidelizar","Vender","Vender","Vender","Lanzar","Educar")</f>
        <v>Fidelizar</v>
      </c>
      <c r="AA446" s="102" t="str">
        <f t="shared" si="157"/>
        <v>200 a 300 mil</v>
      </c>
      <c r="AB446" s="102">
        <f>COUNTIFS($E$5:$E$493,E446,$S$5:$S$493,"&lt;"&amp;S446)+COUNTIFS($E$5:E446,E446,$S$5:S446,S446)</f>
        <v>20</v>
      </c>
      <c r="AC446" s="102">
        <f t="shared" si="158"/>
        <v>20</v>
      </c>
      <c r="AD446" s="102" t="str">
        <f t="shared" si="159"/>
        <v>Último tercio</v>
      </c>
      <c r="AE446" s="103">
        <f t="shared" si="160"/>
        <v>9.4304451954309414</v>
      </c>
      <c r="AF446" s="102" t="str">
        <f t="shared" si="161"/>
        <v xml:space="preserve">  pensamos en ti  descubre estas sorpresas exclusivas </v>
      </c>
      <c r="AG446" s="102" t="str">
        <f t="shared" si="162"/>
        <v xml:space="preserve"> ofertas exclusivas por tu lealtad a l'oréal   aprovecha  </v>
      </c>
      <c r="AH446" s="102" t="str">
        <f>IF(SUMPRODUCT(--(LEFT(IF(LEFT(LOWER(E446),1)="¡",MID(LOWER(E446),2,300),LOWER(E446)),LEN({"actualizaci","el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446" s="102" t="str">
        <f>IF(OR(SUMPRODUCT(--ISNUMBER(SEARCH({"descuento","oferta","ahorr","precio"," sale ","flash","deals"},AF446)))&gt;0,SUMPRODUCT(--ISNUMBER(SEARCH({"descuento","oferta","ahorr","precio"," sale ","flash","deals"},AG446)))&gt;0),"Sí","No")</f>
        <v>Sí</v>
      </c>
      <c r="AJ446" s="102" t="str">
        <f>IF(SUMPRODUCT(--ISNUMBER(SEARCH({" hoy ","horas","tiempo limitado","antes de que","se acab","se agot","finalic","última oportunidad","oportunidad única","relámpago","express","no esperes","no volver","no parpadees"},AF446)))&gt;0,"Sí","No")</f>
        <v>No</v>
      </c>
      <c r="AK446" s="102" t="str">
        <f>IF(SUMPRODUCT(--ISNUMBER(SEARCH({" hoy ","horas","tiempo limitado","antes de que","se acab","se agot","finalic","última oportunidad","oportunidad única","relámpago","express","no esperes","no volver","no parpadees"},AG446)))&gt;0,"Sí","No")</f>
        <v>No</v>
      </c>
      <c r="AL446" s="102" t="str">
        <f t="shared" si="163"/>
        <v>Descuento sin tiempo límite</v>
      </c>
      <c r="AM446" s="102" t="str">
        <f>IF(SUMPRODUCT(--ISNUMBER(SEARCH({"0","1","2","3","4","5","6","7","8","9","favorit","maquillaje","piel","cabello","productos","belleza","regalo"},E446)))&gt;0,"Sí","No")</f>
        <v>No</v>
      </c>
      <c r="AN446" s="102" t="str">
        <f>IF(SUMPRODUCT(--ISNUMBER(SEARCH({"lo que tenemos","estas ofertas","algo especial","ofertas únicas","que preparamos","no te quedes","echa un vistazo"},F446)))&gt;0,"Sí","No")</f>
        <v>No</v>
      </c>
      <c r="AO446" s="102">
        <f t="shared" si="164"/>
        <v>52</v>
      </c>
      <c r="AP446" s="102">
        <f t="shared" si="165"/>
        <v>7</v>
      </c>
      <c r="AQ446" s="102">
        <f>SUMPRODUCT(LEN(E446)-LEN(SUBSTITUTE(E446,{"!","¡","?","¿",":",",",".","%","·","-",";"},"")))</f>
        <v>2</v>
      </c>
      <c r="AR446" s="102" t="str">
        <f t="shared" si="166"/>
        <v>Sí</v>
      </c>
      <c r="AS446" s="102" t="str">
        <f t="shared" si="167"/>
        <v>No</v>
      </c>
      <c r="AT446" s="102" t="str">
        <f>IF(SUMPRODUCT(--ISNUMBER(FIND({"0","1","2","3","4","5","6","7","8","9"},E446)))&gt;0,"Con cifra concreta",IF(OR(ISNUMBER(FIND("?",E446)),ISNUMBER(FIND("¿",E446))),"Pregunta abierta",IF(SUMPRODUCT(--ISNUMBER(SEARCH({" hoy ","horas","tiempo limitado","antes de que","se acab","se agot","finalic","última oportunidad","oportunidad única","relámpago","express","no esperes","no volver","no parpadees"," ya ","últimas horas","últimas unidades"," ahora "},AF446)))&gt;0,"Solo urgencia, sin cifra",IF(SUMPRODUCT(--ISNUMBER(SEARCH({"recompensa","sorpresa","regalo","lealtad","detalle","gracias","pensamos en ti","para ti"},E446)))&gt;0,"Recompensa o sorpresa","Otro: beneficio o novedad"))))</f>
        <v>Recompensa o sorpresa</v>
      </c>
    </row>
    <row r="447" spans="1:46" x14ac:dyDescent="0.2">
      <c r="A447" s="96" t="s">
        <v>1318</v>
      </c>
      <c r="B447" s="96" t="s">
        <v>276</v>
      </c>
      <c r="C447" s="96" t="s">
        <v>869</v>
      </c>
      <c r="D447" s="96" t="s">
        <v>821</v>
      </c>
      <c r="E447" s="96" t="s">
        <v>450</v>
      </c>
      <c r="F447" s="96" t="s">
        <v>451</v>
      </c>
      <c r="G447" s="97">
        <v>127729</v>
      </c>
      <c r="H447" s="97">
        <v>52219</v>
      </c>
      <c r="I447" s="97">
        <v>2504</v>
      </c>
      <c r="J447" s="98">
        <v>9.51</v>
      </c>
      <c r="K447" s="98">
        <v>4.75</v>
      </c>
      <c r="L447" s="99">
        <v>72376.800000000003</v>
      </c>
      <c r="M447" s="100">
        <f t="shared" si="144"/>
        <v>40.88264998551621</v>
      </c>
      <c r="N447" s="100">
        <f t="shared" si="145"/>
        <v>1.9604005355087724</v>
      </c>
      <c r="O447" s="100">
        <f t="shared" si="146"/>
        <v>4.7951894904153667</v>
      </c>
      <c r="P447" s="100">
        <f t="shared" si="147"/>
        <v>566.64344040899095</v>
      </c>
      <c r="Q447" s="100">
        <f t="shared" si="148"/>
        <v>41.593592985418489</v>
      </c>
      <c r="R447" s="100">
        <f t="shared" si="149"/>
        <v>29.440902453236173</v>
      </c>
      <c r="S447" s="101">
        <f t="shared" si="150"/>
        <v>45917</v>
      </c>
      <c r="T447" s="102" t="str">
        <f t="shared" si="151"/>
        <v>Septiembre</v>
      </c>
      <c r="U447" s="102" t="str">
        <f t="shared" si="152"/>
        <v>Miércoles</v>
      </c>
      <c r="V447" s="102">
        <f t="shared" si="153"/>
        <v>8</v>
      </c>
      <c r="W447" s="102" t="str">
        <f t="shared" si="154"/>
        <v>Días después del pago</v>
      </c>
      <c r="X447" s="102">
        <f t="shared" si="155"/>
        <v>26</v>
      </c>
      <c r="Y447" s="102" t="str">
        <f t="shared" si="156"/>
        <v>Sí</v>
      </c>
      <c r="Z447" s="102" t="str">
        <f>CHOOSE(MATCH(B447,{"Customer Appreciation","Exclusive Offers","Flash Sale","Holiday Discounts","New Product Launch","Newsletter"},0),"Fidelizar","Vender","Vender","Vender","Lanzar","Educar")</f>
        <v>Vender</v>
      </c>
      <c r="AA447" s="102" t="str">
        <f t="shared" si="157"/>
        <v>100 a 200 mil</v>
      </c>
      <c r="AB447" s="102">
        <f>COUNTIFS($E$5:$E$493,E447,$S$5:$S$493,"&lt;"&amp;S447)+COUNTIFS($E$5:E447,E447,$S$5:S447,S447)</f>
        <v>13</v>
      </c>
      <c r="AC447" s="102">
        <f t="shared" si="158"/>
        <v>21</v>
      </c>
      <c r="AD447" s="102" t="str">
        <f t="shared" si="159"/>
        <v>Medio</v>
      </c>
      <c r="AE447" s="103">
        <f t="shared" si="160"/>
        <v>-0.71094299990227938</v>
      </c>
      <c r="AF447" s="102" t="str">
        <f t="shared" si="161"/>
        <v xml:space="preserve">  ahorra ya  flash sale  hasta 50% en tus favoritos </v>
      </c>
      <c r="AG447" s="102" t="str">
        <f t="shared" si="162"/>
        <v xml:space="preserve"> edición limitada  maquillaje  cuidado de piel y más   corre  </v>
      </c>
      <c r="AH447" s="102" t="str">
        <f>IF(SUMPRODUCT(--(LEFT(IF(LEFT(LOWER(E447),1)="¡",MID(LOWER(E447),2,300),LOWER(E447)),LEN({"actualizaci","el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447" s="102" t="str">
        <f>IF(OR(SUMPRODUCT(--ISNUMBER(SEARCH({"descuento","oferta","ahorr","precio"," sale ","flash","deals"},AF447)))&gt;0,SUMPRODUCT(--ISNUMBER(SEARCH({"descuento","oferta","ahorr","precio"," sale ","flash","deals"},AG447)))&gt;0),"Sí","No")</f>
        <v>Sí</v>
      </c>
      <c r="AJ447" s="102" t="str">
        <f>IF(SUMPRODUCT(--ISNUMBER(SEARCH({" hoy ","horas","tiempo limitado","antes de que","se acab","se agot","finalic","última oportunidad","oportunidad única","relámpago","express","no esperes","no volver","no parpadees"},AF447)))&gt;0,"Sí","No")</f>
        <v>No</v>
      </c>
      <c r="AK447" s="102" t="str">
        <f>IF(SUMPRODUCT(--ISNUMBER(SEARCH({" hoy ","horas","tiempo limitado","antes de que","se acab","se agot","finalic","última oportunidad","oportunidad única","relámpago","express","no esperes","no volver","no parpadees"},AG447)))&gt;0,"Sí","No")</f>
        <v>No</v>
      </c>
      <c r="AL447" s="102" t="str">
        <f t="shared" si="163"/>
        <v>Descuento sin tiempo límite</v>
      </c>
      <c r="AM447" s="102" t="str">
        <f>IF(SUMPRODUCT(--ISNUMBER(SEARCH({"0","1","2","3","4","5","6","7","8","9","favorit","maquillaje","piel","cabello","productos","belleza","regalo"},E447)))&gt;0,"Sí","No")</f>
        <v>Sí</v>
      </c>
      <c r="AN447" s="102" t="str">
        <f>IF(SUMPRODUCT(--ISNUMBER(SEARCH({"lo que tenemos","estas ofertas","algo especial","ofertas únicas","que preparamos","no te quedes","echa un vistazo"},F447)))&gt;0,"Sí","No")</f>
        <v>No</v>
      </c>
      <c r="AO447" s="102">
        <f t="shared" si="164"/>
        <v>50</v>
      </c>
      <c r="AP447" s="102">
        <f t="shared" si="165"/>
        <v>9</v>
      </c>
      <c r="AQ447" s="102">
        <f>SUMPRODUCT(LEN(E447)-LEN(SUBSTITUTE(E447,{"!","¡","?","¿",":",",",".","%","·","-",";"},"")))</f>
        <v>4</v>
      </c>
      <c r="AR447" s="102" t="str">
        <f t="shared" si="166"/>
        <v>No</v>
      </c>
      <c r="AS447" s="102" t="str">
        <f t="shared" si="167"/>
        <v>No</v>
      </c>
      <c r="AT447" s="102" t="str">
        <f>IF(SUMPRODUCT(--ISNUMBER(FIND({"0","1","2","3","4","5","6","7","8","9"},E447)))&gt;0,"Con cifra concreta",IF(OR(ISNUMBER(FIND("?",E447)),ISNUMBER(FIND("¿",E447))),"Pregunta abierta",IF(SUMPRODUCT(--ISNUMBER(SEARCH({" hoy ","horas","tiempo limitado","antes de que","se acab","se agot","finalic","última oportunidad","oportunidad única","relámpago","express","no esperes","no volver","no parpadees"," ya ","últimas horas","últimas unidades"," ahora "},AF447)))&gt;0,"Solo urgencia, sin cifra",IF(SUMPRODUCT(--ISNUMBER(SEARCH({"recompensa","sorpresa","regalo","lealtad","detalle","gracias","pensamos en ti","para ti"},E447)))&gt;0,"Recompensa o sorpresa","Otro: beneficio o novedad"))))</f>
        <v>Con cifra concreta</v>
      </c>
    </row>
    <row r="448" spans="1:46" x14ac:dyDescent="0.2">
      <c r="A448" s="104" t="s">
        <v>1319</v>
      </c>
      <c r="B448" s="104" t="s">
        <v>279</v>
      </c>
      <c r="C448" s="104" t="s">
        <v>928</v>
      </c>
      <c r="D448" s="104" t="s">
        <v>715</v>
      </c>
      <c r="E448" s="104" t="s">
        <v>370</v>
      </c>
      <c r="F448" s="104" t="s">
        <v>485</v>
      </c>
      <c r="G448" s="105">
        <v>463584</v>
      </c>
      <c r="H448" s="105">
        <v>124233</v>
      </c>
      <c r="I448" s="105">
        <v>75908</v>
      </c>
      <c r="J448" s="106">
        <v>6.09</v>
      </c>
      <c r="K448" s="106">
        <v>3.07</v>
      </c>
      <c r="L448" s="107">
        <v>27117.56</v>
      </c>
      <c r="M448" s="108">
        <f t="shared" si="144"/>
        <v>26.798379581693933</v>
      </c>
      <c r="N448" s="108">
        <f t="shared" si="145"/>
        <v>16.374163042727965</v>
      </c>
      <c r="O448" s="108">
        <f t="shared" si="146"/>
        <v>61.101317685317099</v>
      </c>
      <c r="P448" s="108">
        <f t="shared" si="147"/>
        <v>58.495461448194938</v>
      </c>
      <c r="Q448" s="108">
        <f t="shared" si="148"/>
        <v>15.908213539730554</v>
      </c>
      <c r="R448" s="108">
        <f t="shared" si="149"/>
        <v>27.75136451093497</v>
      </c>
      <c r="S448" s="101">
        <f t="shared" si="150"/>
        <v>45883</v>
      </c>
      <c r="T448" s="102" t="str">
        <f t="shared" si="151"/>
        <v>Agosto</v>
      </c>
      <c r="U448" s="102" t="str">
        <f t="shared" si="152"/>
        <v>Jueves</v>
      </c>
      <c r="V448" s="102">
        <f t="shared" si="153"/>
        <v>11</v>
      </c>
      <c r="W448" s="102" t="str">
        <f t="shared" si="154"/>
        <v>Quincena</v>
      </c>
      <c r="X448" s="102">
        <f t="shared" si="155"/>
        <v>23</v>
      </c>
      <c r="Y448" s="102" t="str">
        <f t="shared" si="156"/>
        <v>Sí</v>
      </c>
      <c r="Z448" s="102" t="str">
        <f>CHOOSE(MATCH(B448,{"Customer Appreciation","Exclusive Offers","Flash Sale","Holiday Discounts","New Product Launch","Newsletter"},0),"Fidelizar","Vender","Vender","Vender","Lanzar","Educar")</f>
        <v>Educar</v>
      </c>
      <c r="AA448" s="102" t="str">
        <f t="shared" si="157"/>
        <v>Más de 400 mil</v>
      </c>
      <c r="AB448" s="102">
        <f>COUNTIFS($E$5:$E$493,E448,$S$5:$S$493,"&lt;"&amp;S448)+COUNTIFS($E$5:E448,E448,$S$5:S448,S448)</f>
        <v>3</v>
      </c>
      <c r="AC448" s="102">
        <f t="shared" si="158"/>
        <v>10</v>
      </c>
      <c r="AD448" s="102" t="str">
        <f t="shared" si="159"/>
        <v>Primer tercio</v>
      </c>
      <c r="AE448" s="103">
        <f t="shared" si="160"/>
        <v>10.890166041963379</v>
      </c>
      <c r="AF448" s="102" t="str">
        <f t="shared" si="161"/>
        <v xml:space="preserve"> actualización de l'oréal   qué hay de nuevo en el mundo beauty  </v>
      </c>
      <c r="AG448" s="102" t="str">
        <f t="shared" si="162"/>
        <v xml:space="preserve"> no te quedes atrás con las últimas tendencias   descubre más  </v>
      </c>
      <c r="AH448" s="102" t="str">
        <f>IF(SUMPRODUCT(--(LEFT(IF(LEFT(LOWER(E448),1)="¡",MID(LOWER(E448),2,300),LOWER(E448)),LEN({"actualizaci","el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Sí</v>
      </c>
      <c r="AI448" s="102" t="str">
        <f>IF(OR(SUMPRODUCT(--ISNUMBER(SEARCH({"descuento","oferta","ahorr","precio"," sale ","flash","deals"},AF448)))&gt;0,SUMPRODUCT(--ISNUMBER(SEARCH({"descuento","oferta","ahorr","precio"," sale ","flash","deals"},AG448)))&gt;0),"Sí","No")</f>
        <v>No</v>
      </c>
      <c r="AJ448" s="102" t="str">
        <f>IF(SUMPRODUCT(--ISNUMBER(SEARCH({" hoy ","horas","tiempo limitado","antes de que","se acab","se agot","finalic","última oportunidad","oportunidad única","relámpago","express","no esperes","no volver","no parpadees"},AF448)))&gt;0,"Sí","No")</f>
        <v>No</v>
      </c>
      <c r="AK448" s="102" t="str">
        <f>IF(SUMPRODUCT(--ISNUMBER(SEARCH({" hoy ","horas","tiempo limitado","antes de que","se acab","se agot","finalic","última oportunidad","oportunidad única","relámpago","express","no esperes","no volver","no parpadees"},AG448)))&gt;0,"Sí","No")</f>
        <v>No</v>
      </c>
      <c r="AL448" s="102" t="str">
        <f t="shared" si="163"/>
        <v>Sin descuento</v>
      </c>
      <c r="AM448" s="102" t="str">
        <f>IF(SUMPRODUCT(--ISNUMBER(SEARCH({"0","1","2","3","4","5","6","7","8","9","favorit","maquillaje","piel","cabello","productos","belleza","regalo"},E448)))&gt;0,"Sí","No")</f>
        <v>No</v>
      </c>
      <c r="AN448" s="102" t="str">
        <f>IF(SUMPRODUCT(--ISNUMBER(SEARCH({"lo que tenemos","estas ofertas","algo especial","ofertas únicas","que preparamos","no te quedes","echa un vistazo"},F448)))&gt;0,"Sí","No")</f>
        <v>Sí</v>
      </c>
      <c r="AO448" s="102">
        <f t="shared" si="164"/>
        <v>63</v>
      </c>
      <c r="AP448" s="102">
        <f t="shared" si="165"/>
        <v>11</v>
      </c>
      <c r="AQ448" s="102">
        <f>SUMPRODUCT(LEN(E448)-LEN(SUBSTITUTE(E448,{"!","¡","?","¿",":",",",".","%","·","-",";"},"")))</f>
        <v>3</v>
      </c>
      <c r="AR448" s="102" t="str">
        <f t="shared" si="166"/>
        <v>No</v>
      </c>
      <c r="AS448" s="102" t="str">
        <f t="shared" si="167"/>
        <v>No</v>
      </c>
      <c r="AT448" s="102" t="str">
        <f>IF(SUMPRODUCT(--ISNUMBER(FIND({"0","1","2","3","4","5","6","7","8","9"},E448)))&gt;0,"Con cifra concreta",IF(OR(ISNUMBER(FIND("?",E448)),ISNUMBER(FIND("¿",E448))),"Pregunta abierta",IF(SUMPRODUCT(--ISNUMBER(SEARCH({" hoy ","horas","tiempo limitado","antes de que","se acab","se agot","finalic","última oportunidad","oportunidad única","relámpago","express","no esperes","no volver","no parpadees"," ya ","últimas horas","últimas unidades"," ahora "},AF448)))&gt;0,"Solo urgencia, sin cifra",IF(SUMPRODUCT(--ISNUMBER(SEARCH({"recompensa","sorpresa","regalo","lealtad","detalle","gracias","pensamos en ti","para ti"},E448)))&gt;0,"Recompensa o sorpresa","Otro: beneficio o novedad"))))</f>
        <v>Pregunta abierta</v>
      </c>
    </row>
    <row r="449" spans="1:46" x14ac:dyDescent="0.2">
      <c r="A449" s="96" t="s">
        <v>1320</v>
      </c>
      <c r="B449" s="96" t="s">
        <v>278</v>
      </c>
      <c r="C449" s="96" t="s">
        <v>889</v>
      </c>
      <c r="D449" s="96" t="s">
        <v>761</v>
      </c>
      <c r="E449" s="96" t="s">
        <v>467</v>
      </c>
      <c r="F449" s="96" t="s">
        <v>468</v>
      </c>
      <c r="G449" s="97">
        <v>329622</v>
      </c>
      <c r="H449" s="97">
        <v>134376</v>
      </c>
      <c r="I449" s="97">
        <v>50462</v>
      </c>
      <c r="J449" s="98">
        <v>4.3600000000000003</v>
      </c>
      <c r="K449" s="98">
        <v>1.53</v>
      </c>
      <c r="L449" s="99">
        <v>48291.19</v>
      </c>
      <c r="M449" s="100">
        <f t="shared" si="144"/>
        <v>40.766696397691902</v>
      </c>
      <c r="N449" s="100">
        <f t="shared" si="145"/>
        <v>15.309050973539387</v>
      </c>
      <c r="O449" s="100">
        <f t="shared" si="146"/>
        <v>37.552836816098115</v>
      </c>
      <c r="P449" s="100">
        <f t="shared" si="147"/>
        <v>146.50475393025951</v>
      </c>
      <c r="Q449" s="100">
        <f t="shared" si="148"/>
        <v>30.93688234168668</v>
      </c>
      <c r="R449" s="100">
        <f t="shared" si="149"/>
        <v>29.458247936272421</v>
      </c>
      <c r="S449" s="101">
        <f t="shared" si="150"/>
        <v>45908</v>
      </c>
      <c r="T449" s="102" t="str">
        <f t="shared" si="151"/>
        <v>Septiembre</v>
      </c>
      <c r="U449" s="102" t="str">
        <f t="shared" si="152"/>
        <v>Lunes</v>
      </c>
      <c r="V449" s="102">
        <f t="shared" si="153"/>
        <v>10</v>
      </c>
      <c r="W449" s="102" t="str">
        <f t="shared" si="154"/>
        <v>Resto del mes</v>
      </c>
      <c r="X449" s="102">
        <f t="shared" si="155"/>
        <v>28</v>
      </c>
      <c r="Y449" s="102" t="str">
        <f t="shared" si="156"/>
        <v>Sí</v>
      </c>
      <c r="Z449" s="102" t="str">
        <f>CHOOSE(MATCH(B449,{"Customer Appreciation","Exclusive Offers","Flash Sale","Holiday Discounts","New Product Launch","Newsletter"},0),"Fidelizar","Vender","Vender","Vender","Lanzar","Educar")</f>
        <v>Lanzar</v>
      </c>
      <c r="AA449" s="102" t="str">
        <f t="shared" si="157"/>
        <v>300 a 400 mil</v>
      </c>
      <c r="AB449" s="102">
        <f>COUNTIFS($E$5:$E$493,E449,$S$5:$S$493,"&lt;"&amp;S449)+COUNTIFS($E$5:E449,E449,$S$5:S449,S449)</f>
        <v>11</v>
      </c>
      <c r="AC449" s="102">
        <f t="shared" si="158"/>
        <v>22</v>
      </c>
      <c r="AD449" s="102" t="str">
        <f t="shared" si="159"/>
        <v>Medio</v>
      </c>
      <c r="AE449" s="103">
        <f t="shared" si="160"/>
        <v>9.8298140560052225</v>
      </c>
      <c r="AF449" s="102" t="str">
        <f t="shared" si="161"/>
        <v xml:space="preserve">  lo nuevo de l'oréal  te va a encantar  innovación en belleza </v>
      </c>
      <c r="AG449" s="102" t="str">
        <f t="shared" si="162"/>
        <v xml:space="preserve"> prepárate para experimentar la innovación en tu belleza   descúbrela  </v>
      </c>
      <c r="AH449" s="102" t="str">
        <f>IF(SUMPRODUCT(--(LEFT(IF(LEFT(LOWER(E449),1)="¡",MID(LOWER(E449),2,300),LOWER(E449)),LEN({"actualizaci","el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449" s="102" t="str">
        <f>IF(OR(SUMPRODUCT(--ISNUMBER(SEARCH({"descuento","oferta","ahorr","precio"," sale ","flash","deals"},AF449)))&gt;0,SUMPRODUCT(--ISNUMBER(SEARCH({"descuento","oferta","ahorr","precio"," sale ","flash","deals"},AG449)))&gt;0),"Sí","No")</f>
        <v>No</v>
      </c>
      <c r="AJ449" s="102" t="str">
        <f>IF(SUMPRODUCT(--ISNUMBER(SEARCH({" hoy ","horas","tiempo limitado","antes de que","se acab","se agot","finalic","última oportunidad","oportunidad única","relámpago","express","no esperes","no volver","no parpadees"},AF449)))&gt;0,"Sí","No")</f>
        <v>No</v>
      </c>
      <c r="AK449" s="102" t="str">
        <f>IF(SUMPRODUCT(--ISNUMBER(SEARCH({" hoy ","horas","tiempo limitado","antes de que","se acab","se agot","finalic","última oportunidad","oportunidad única","relámpago","express","no esperes","no volver","no parpadees"},AG449)))&gt;0,"Sí","No")</f>
        <v>No</v>
      </c>
      <c r="AL449" s="102" t="str">
        <f t="shared" si="163"/>
        <v>Sin descuento</v>
      </c>
      <c r="AM449" s="102" t="str">
        <f>IF(SUMPRODUCT(--ISNUMBER(SEARCH({"0","1","2","3","4","5","6","7","8","9","favorit","maquillaje","piel","cabello","productos","belleza","regalo"},E449)))&gt;0,"Sí","No")</f>
        <v>Sí</v>
      </c>
      <c r="AN449" s="102" t="str">
        <f>IF(SUMPRODUCT(--ISNUMBER(SEARCH({"lo que tenemos","estas ofertas","algo especial","ofertas únicas","que preparamos","no te quedes","echa un vistazo"},F449)))&gt;0,"Sí","No")</f>
        <v>No</v>
      </c>
      <c r="AO449" s="102">
        <f t="shared" si="164"/>
        <v>61</v>
      </c>
      <c r="AP449" s="102">
        <f t="shared" si="165"/>
        <v>11</v>
      </c>
      <c r="AQ449" s="102">
        <f>SUMPRODUCT(LEN(E449)-LEN(SUBSTITUTE(E449,{"!","¡","?","¿",":",",",".","%","·","-",";"},"")))</f>
        <v>3</v>
      </c>
      <c r="AR449" s="102" t="str">
        <f t="shared" si="166"/>
        <v>No</v>
      </c>
      <c r="AS449" s="102" t="str">
        <f t="shared" si="167"/>
        <v>No</v>
      </c>
      <c r="AT449" s="102" t="str">
        <f>IF(SUMPRODUCT(--ISNUMBER(FIND({"0","1","2","3","4","5","6","7","8","9"},E449)))&gt;0,"Con cifra concreta",IF(OR(ISNUMBER(FIND("?",E449)),ISNUMBER(FIND("¿",E449))),"Pregunta abierta",IF(SUMPRODUCT(--ISNUMBER(SEARCH({" hoy ","horas","tiempo limitado","antes de que","se acab","se agot","finalic","última oportunidad","oportunidad única","relámpago","express","no esperes","no volver","no parpadees"," ya ","últimas horas","últimas unidades"," ahora "},AF449)))&gt;0,"Solo urgencia, sin cifra",IF(SUMPRODUCT(--ISNUMBER(SEARCH({"recompensa","sorpresa","regalo","lealtad","detalle","gracias","pensamos en ti","para ti"},E449)))&gt;0,"Recompensa o sorpresa","Otro: beneficio o novedad"))))</f>
        <v>Otro: beneficio o novedad</v>
      </c>
    </row>
    <row r="450" spans="1:46" x14ac:dyDescent="0.2">
      <c r="A450" s="104" t="s">
        <v>1321</v>
      </c>
      <c r="B450" s="104" t="s">
        <v>275</v>
      </c>
      <c r="C450" s="104" t="s">
        <v>891</v>
      </c>
      <c r="D450" s="104" t="s">
        <v>786</v>
      </c>
      <c r="E450" s="104" t="s">
        <v>481</v>
      </c>
      <c r="F450" s="104" t="s">
        <v>482</v>
      </c>
      <c r="G450" s="105">
        <v>426500</v>
      </c>
      <c r="H450" s="105">
        <v>92040</v>
      </c>
      <c r="I450" s="105">
        <v>29218</v>
      </c>
      <c r="J450" s="106">
        <v>9.52</v>
      </c>
      <c r="K450" s="106">
        <v>0.49</v>
      </c>
      <c r="L450" s="107">
        <v>5831.19</v>
      </c>
      <c r="M450" s="108">
        <f t="shared" si="144"/>
        <v>21.580304806565064</v>
      </c>
      <c r="N450" s="108">
        <f t="shared" si="145"/>
        <v>6.8506447831184047</v>
      </c>
      <c r="O450" s="108">
        <f t="shared" si="146"/>
        <v>31.744893524554541</v>
      </c>
      <c r="P450" s="108">
        <f t="shared" si="147"/>
        <v>13.672192262602579</v>
      </c>
      <c r="Q450" s="108">
        <f t="shared" si="148"/>
        <v>18.428686186240089</v>
      </c>
      <c r="R450" s="108">
        <f t="shared" si="149"/>
        <v>27.021447627328243</v>
      </c>
      <c r="S450" s="101">
        <f t="shared" si="150"/>
        <v>45888</v>
      </c>
      <c r="T450" s="102" t="str">
        <f t="shared" si="151"/>
        <v>Agosto</v>
      </c>
      <c r="U450" s="102" t="str">
        <f t="shared" si="152"/>
        <v>Martes</v>
      </c>
      <c r="V450" s="102">
        <f t="shared" si="153"/>
        <v>15</v>
      </c>
      <c r="W450" s="102" t="str">
        <f t="shared" si="154"/>
        <v>Días después del pago</v>
      </c>
      <c r="X450" s="102">
        <f t="shared" si="155"/>
        <v>29</v>
      </c>
      <c r="Y450" s="102" t="str">
        <f t="shared" si="156"/>
        <v>Sí</v>
      </c>
      <c r="Z450" s="102" t="str">
        <f>CHOOSE(MATCH(B450,{"Customer Appreciation","Exclusive Offers","Flash Sale","Holiday Discounts","New Product Launch","Newsletter"},0),"Fidelizar","Vender","Vender","Vender","Lanzar","Educar")</f>
        <v>Vender</v>
      </c>
      <c r="AA450" s="102" t="str">
        <f t="shared" si="157"/>
        <v>Más de 400 mil</v>
      </c>
      <c r="AB450" s="102">
        <f>COUNTIFS($E$5:$E$493,E450,$S$5:$S$493,"&lt;"&amp;S450)+COUNTIFS($E$5:E450,E450,$S$5:S450,S450)</f>
        <v>2</v>
      </c>
      <c r="AC450" s="102">
        <f t="shared" si="158"/>
        <v>11</v>
      </c>
      <c r="AD450" s="102" t="str">
        <f t="shared" si="159"/>
        <v>Primer tercio</v>
      </c>
      <c r="AE450" s="103">
        <f t="shared" si="160"/>
        <v>3.1516186203249745</v>
      </c>
      <c r="AF450" s="102" t="str">
        <f t="shared" si="161"/>
        <v xml:space="preserve">  oportunidad única  solo por hoy  tus favoritos a un clic </v>
      </c>
      <c r="AG450" s="102" t="str">
        <f t="shared" si="162"/>
        <v xml:space="preserve"> tus productos favoritos con un precio que no volverás a ver   aprovecha  </v>
      </c>
      <c r="AH450" s="102" t="str">
        <f>IF(SUMPRODUCT(--(LEFT(IF(LEFT(LOWER(E450),1)="¡",MID(LOWER(E450),2,300),LOWER(E450)),LEN({"actualizaci","el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Sí</v>
      </c>
      <c r="AI450" s="102" t="str">
        <f>IF(OR(SUMPRODUCT(--ISNUMBER(SEARCH({"descuento","oferta","ahorr","precio"," sale ","flash","deals"},AF450)))&gt;0,SUMPRODUCT(--ISNUMBER(SEARCH({"descuento","oferta","ahorr","precio"," sale ","flash","deals"},AG450)))&gt;0),"Sí","No")</f>
        <v>Sí</v>
      </c>
      <c r="AJ450" s="102" t="str">
        <f>IF(SUMPRODUCT(--ISNUMBER(SEARCH({" hoy ","horas","tiempo limitado","antes de que","se acab","se agot","finalic","última oportunidad","oportunidad única","relámpago","express","no esperes","no volver","no parpadees"},AF450)))&gt;0,"Sí","No")</f>
        <v>Sí</v>
      </c>
      <c r="AK450" s="102" t="str">
        <f>IF(SUMPRODUCT(--ISNUMBER(SEARCH({" hoy ","horas","tiempo limitado","antes de que","se acab","se agot","finalic","última oportunidad","oportunidad única","relámpago","express","no esperes","no volver","no parpadees"},AG450)))&gt;0,"Sí","No")</f>
        <v>Sí</v>
      </c>
      <c r="AL450" s="102" t="str">
        <f t="shared" si="163"/>
        <v>Descuento con tiempo límite en el asunto</v>
      </c>
      <c r="AM450" s="102" t="str">
        <f>IF(SUMPRODUCT(--ISNUMBER(SEARCH({"0","1","2","3","4","5","6","7","8","9","favorit","maquillaje","piel","cabello","productos","belleza","regalo"},E450)))&gt;0,"Sí","No")</f>
        <v>Sí</v>
      </c>
      <c r="AN450" s="102" t="str">
        <f>IF(SUMPRODUCT(--ISNUMBER(SEARCH({"lo que tenemos","estas ofertas","algo especial","ofertas únicas","que preparamos","no te quedes","echa un vistazo"},F450)))&gt;0,"Sí","No")</f>
        <v>No</v>
      </c>
      <c r="AO450" s="102">
        <f t="shared" si="164"/>
        <v>57</v>
      </c>
      <c r="AP450" s="102">
        <f t="shared" si="165"/>
        <v>10</v>
      </c>
      <c r="AQ450" s="102">
        <f>SUMPRODUCT(LEN(E450)-LEN(SUBSTITUTE(E450,{"!","¡","?","¿",":",",",".","%","·","-",";"},"")))</f>
        <v>3</v>
      </c>
      <c r="AR450" s="102" t="str">
        <f t="shared" si="166"/>
        <v>No</v>
      </c>
      <c r="AS450" s="102" t="str">
        <f t="shared" si="167"/>
        <v>No</v>
      </c>
      <c r="AT450" s="102" t="str">
        <f>IF(SUMPRODUCT(--ISNUMBER(FIND({"0","1","2","3","4","5","6","7","8","9"},E450)))&gt;0,"Con cifra concreta",IF(OR(ISNUMBER(FIND("?",E450)),ISNUMBER(FIND("¿",E450))),"Pregunta abierta",IF(SUMPRODUCT(--ISNUMBER(SEARCH({" hoy ","horas","tiempo limitado","antes de que","se acab","se agot","finalic","última oportunidad","oportunidad única","relámpago","express","no esperes","no volver","no parpadees"," ya ","últimas horas","últimas unidades"," ahora "},AF450)))&gt;0,"Solo urgencia, sin cifra",IF(SUMPRODUCT(--ISNUMBER(SEARCH({"recompensa","sorpresa","regalo","lealtad","detalle","gracias","pensamos en ti","para ti"},E450)))&gt;0,"Recompensa o sorpresa","Otro: beneficio o novedad"))))</f>
        <v>Solo urgencia, sin cifra</v>
      </c>
    </row>
    <row r="451" spans="1:46" x14ac:dyDescent="0.2">
      <c r="A451" s="96" t="s">
        <v>1322</v>
      </c>
      <c r="B451" s="96" t="s">
        <v>275</v>
      </c>
      <c r="C451" s="96" t="s">
        <v>915</v>
      </c>
      <c r="D451" s="96" t="s">
        <v>769</v>
      </c>
      <c r="E451" s="96" t="s">
        <v>478</v>
      </c>
      <c r="F451" s="96" t="s">
        <v>479</v>
      </c>
      <c r="G451" s="97">
        <v>209853</v>
      </c>
      <c r="H451" s="97">
        <v>55038</v>
      </c>
      <c r="I451" s="97">
        <v>31317</v>
      </c>
      <c r="J451" s="98">
        <v>1.32</v>
      </c>
      <c r="K451" s="98">
        <v>4.01</v>
      </c>
      <c r="L451" s="99">
        <v>36278.300000000003</v>
      </c>
      <c r="M451" s="100">
        <f t="shared" si="144"/>
        <v>26.226930279767263</v>
      </c>
      <c r="N451" s="100">
        <f t="shared" si="145"/>
        <v>14.923303455275835</v>
      </c>
      <c r="O451" s="100">
        <f t="shared" si="146"/>
        <v>56.900686798212142</v>
      </c>
      <c r="P451" s="100">
        <f t="shared" si="147"/>
        <v>172.87482189913894</v>
      </c>
      <c r="Q451" s="100">
        <f t="shared" si="148"/>
        <v>21.363100647493706</v>
      </c>
      <c r="R451" s="100">
        <f t="shared" si="149"/>
        <v>27.021447627328243</v>
      </c>
      <c r="S451" s="101">
        <f t="shared" si="150"/>
        <v>45954</v>
      </c>
      <c r="T451" s="102" t="str">
        <f t="shared" si="151"/>
        <v>Octubre</v>
      </c>
      <c r="U451" s="102" t="str">
        <f t="shared" si="152"/>
        <v>Viernes</v>
      </c>
      <c r="V451" s="102">
        <f t="shared" si="153"/>
        <v>13</v>
      </c>
      <c r="W451" s="102" t="str">
        <f t="shared" si="154"/>
        <v>Resto del mes</v>
      </c>
      <c r="X451" s="102">
        <f t="shared" si="155"/>
        <v>29</v>
      </c>
      <c r="Y451" s="102" t="str">
        <f t="shared" si="156"/>
        <v>Sí</v>
      </c>
      <c r="Z451" s="102" t="str">
        <f>CHOOSE(MATCH(B451,{"Customer Appreciation","Exclusive Offers","Flash Sale","Holiday Discounts","New Product Launch","Newsletter"},0),"Fidelizar","Vender","Vender","Vender","Lanzar","Educar")</f>
        <v>Vender</v>
      </c>
      <c r="AA451" s="102" t="str">
        <f t="shared" si="157"/>
        <v>200 a 300 mil</v>
      </c>
      <c r="AB451" s="102">
        <f>COUNTIFS($E$5:$E$493,E451,$S$5:$S$493,"&lt;"&amp;S451)+COUNTIFS($E$5:E451,E451,$S$5:S451,S451)</f>
        <v>8</v>
      </c>
      <c r="AC451" s="102">
        <f t="shared" si="158"/>
        <v>8</v>
      </c>
      <c r="AD451" s="102" t="str">
        <f t="shared" si="159"/>
        <v>Último tercio</v>
      </c>
      <c r="AE451" s="103">
        <f t="shared" si="160"/>
        <v>4.863829632273557</v>
      </c>
      <c r="AF451" s="102" t="str">
        <f t="shared" si="161"/>
        <v xml:space="preserve">  exclusivo para nuestros clientes vip  acceso limitado </v>
      </c>
      <c r="AG451" s="102" t="str">
        <f t="shared" si="162"/>
        <v xml:space="preserve"> no te pierdas estas ofertas que preparamos para ti   descubre más  </v>
      </c>
      <c r="AH451" s="102" t="str">
        <f>IF(SUMPRODUCT(--(LEFT(IF(LEFT(LOWER(E451),1)="¡",MID(LOWER(E451),2,300),LOWER(E451)),LEN({"actualizaci","el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451" s="102" t="str">
        <f>IF(OR(SUMPRODUCT(--ISNUMBER(SEARCH({"descuento","oferta","ahorr","precio"," sale ","flash","deals"},AF451)))&gt;0,SUMPRODUCT(--ISNUMBER(SEARCH({"descuento","oferta","ahorr","precio"," sale ","flash","deals"},AG451)))&gt;0),"Sí","No")</f>
        <v>Sí</v>
      </c>
      <c r="AJ451" s="102" t="str">
        <f>IF(SUMPRODUCT(--ISNUMBER(SEARCH({" hoy ","horas","tiempo limitado","antes de que","se acab","se agot","finalic","última oportunidad","oportunidad única","relámpago","express","no esperes","no volver","no parpadees"},AF451)))&gt;0,"Sí","No")</f>
        <v>No</v>
      </c>
      <c r="AK451" s="102" t="str">
        <f>IF(SUMPRODUCT(--ISNUMBER(SEARCH({" hoy ","horas","tiempo limitado","antes de que","se acab","se agot","finalic","última oportunidad","oportunidad única","relámpago","express","no esperes","no volver","no parpadees"},AG451)))&gt;0,"Sí","No")</f>
        <v>No</v>
      </c>
      <c r="AL451" s="102" t="str">
        <f t="shared" si="163"/>
        <v>Descuento sin tiempo límite</v>
      </c>
      <c r="AM451" s="102" t="str">
        <f>IF(SUMPRODUCT(--ISNUMBER(SEARCH({"0","1","2","3","4","5","6","7","8","9","favorit","maquillaje","piel","cabello","productos","belleza","regalo"},E451)))&gt;0,"Sí","No")</f>
        <v>No</v>
      </c>
      <c r="AN451" s="102" t="str">
        <f>IF(SUMPRODUCT(--ISNUMBER(SEARCH({"lo que tenemos","estas ofertas","algo especial","ofertas únicas","que preparamos","no te quedes","echa un vistazo"},F451)))&gt;0,"Sí","No")</f>
        <v>Sí</v>
      </c>
      <c r="AO451" s="102">
        <f t="shared" si="164"/>
        <v>54</v>
      </c>
      <c r="AP451" s="102">
        <f t="shared" si="165"/>
        <v>7</v>
      </c>
      <c r="AQ451" s="102">
        <f>SUMPRODUCT(LEN(E451)-LEN(SUBSTITUTE(E451,{"!","¡","?","¿",":",",",".","%","·","-",";"},"")))</f>
        <v>2</v>
      </c>
      <c r="AR451" s="102" t="str">
        <f t="shared" si="166"/>
        <v>Sí</v>
      </c>
      <c r="AS451" s="102" t="str">
        <f t="shared" si="167"/>
        <v>No</v>
      </c>
      <c r="AT451" s="102" t="str">
        <f>IF(SUMPRODUCT(--ISNUMBER(FIND({"0","1","2","3","4","5","6","7","8","9"},E451)))&gt;0,"Con cifra concreta",IF(OR(ISNUMBER(FIND("?",E451)),ISNUMBER(FIND("¿",E451))),"Pregunta abierta",IF(SUMPRODUCT(--ISNUMBER(SEARCH({" hoy ","horas","tiempo limitado","antes de que","se acab","se agot","finalic","última oportunidad","oportunidad única","relámpago","express","no esperes","no volver","no parpadees"," ya ","últimas horas","últimas unidades"," ahora "},AF451)))&gt;0,"Solo urgencia, sin cifra",IF(SUMPRODUCT(--ISNUMBER(SEARCH({"recompensa","sorpresa","regalo","lealtad","detalle","gracias","pensamos en ti","para ti"},E451)))&gt;0,"Recompensa o sorpresa","Otro: beneficio o novedad"))))</f>
        <v>Otro: beneficio o novedad</v>
      </c>
    </row>
    <row r="452" spans="1:46" x14ac:dyDescent="0.2">
      <c r="A452" s="104" t="s">
        <v>1323</v>
      </c>
      <c r="B452" s="104" t="s">
        <v>279</v>
      </c>
      <c r="C452" s="104" t="s">
        <v>917</v>
      </c>
      <c r="D452" s="104" t="s">
        <v>774</v>
      </c>
      <c r="E452" s="104" t="s">
        <v>472</v>
      </c>
      <c r="F452" s="104" t="s">
        <v>473</v>
      </c>
      <c r="G452" s="105">
        <v>173708</v>
      </c>
      <c r="H452" s="105">
        <v>24900</v>
      </c>
      <c r="I452" s="105">
        <v>9939</v>
      </c>
      <c r="J452" s="106">
        <v>0.67</v>
      </c>
      <c r="K452" s="106">
        <v>3.21</v>
      </c>
      <c r="L452" s="107">
        <v>79200.53</v>
      </c>
      <c r="M452" s="108">
        <f t="shared" si="144"/>
        <v>14.33440025790407</v>
      </c>
      <c r="N452" s="108">
        <f t="shared" si="145"/>
        <v>5.7216708499320701</v>
      </c>
      <c r="O452" s="108">
        <f t="shared" si="146"/>
        <v>39.915662650602407</v>
      </c>
      <c r="P452" s="108">
        <f t="shared" si="147"/>
        <v>455.9406014691321</v>
      </c>
      <c r="Q452" s="108">
        <f t="shared" si="148"/>
        <v>22.891293825435607</v>
      </c>
      <c r="R452" s="108">
        <f t="shared" si="149"/>
        <v>27.75136451093497</v>
      </c>
      <c r="S452" s="101">
        <f t="shared" si="150"/>
        <v>45916</v>
      </c>
      <c r="T452" s="102" t="str">
        <f t="shared" si="151"/>
        <v>Septiembre</v>
      </c>
      <c r="U452" s="102" t="str">
        <f t="shared" si="152"/>
        <v>Martes</v>
      </c>
      <c r="V452" s="102">
        <f t="shared" si="153"/>
        <v>11</v>
      </c>
      <c r="W452" s="102" t="str">
        <f t="shared" si="154"/>
        <v>Quincena</v>
      </c>
      <c r="X452" s="102">
        <f t="shared" si="155"/>
        <v>27</v>
      </c>
      <c r="Y452" s="102" t="str">
        <f t="shared" si="156"/>
        <v>Sí</v>
      </c>
      <c r="Z452" s="102" t="str">
        <f>CHOOSE(MATCH(B452,{"Customer Appreciation","Exclusive Offers","Flash Sale","Holiday Discounts","New Product Launch","Newsletter"},0),"Fidelizar","Vender","Vender","Vender","Lanzar","Educar")</f>
        <v>Educar</v>
      </c>
      <c r="AA452" s="102" t="str">
        <f t="shared" si="157"/>
        <v>100 a 200 mil</v>
      </c>
      <c r="AB452" s="102">
        <f>COUNTIFS($E$5:$E$493,E452,$S$5:$S$493,"&lt;"&amp;S452)+COUNTIFS($E$5:E452,E452,$S$5:S452,S452)</f>
        <v>15</v>
      </c>
      <c r="AC452" s="102">
        <f t="shared" si="158"/>
        <v>22</v>
      </c>
      <c r="AD452" s="102" t="str">
        <f t="shared" si="159"/>
        <v>Último tercio</v>
      </c>
      <c r="AE452" s="103">
        <f t="shared" si="160"/>
        <v>-8.556893567531537</v>
      </c>
      <c r="AF452" s="102" t="str">
        <f t="shared" si="161"/>
        <v xml:space="preserve"> tu dosis semanal de belleza  novedades y tips </v>
      </c>
      <c r="AG452" s="102" t="str">
        <f t="shared" si="162"/>
        <v xml:space="preserve"> novedades  tips y más para tu rutina diaria   entra ya  </v>
      </c>
      <c r="AH452" s="102" t="str">
        <f>IF(SUMPRODUCT(--(LEFT(IF(LEFT(LOWER(E452),1)="¡",MID(LOWER(E452),2,300),LOWER(E452)),LEN({"actualizaci","el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452" s="102" t="str">
        <f>IF(OR(SUMPRODUCT(--ISNUMBER(SEARCH({"descuento","oferta","ahorr","precio"," sale ","flash","deals"},AF452)))&gt;0,SUMPRODUCT(--ISNUMBER(SEARCH({"descuento","oferta","ahorr","precio"," sale ","flash","deals"},AG452)))&gt;0),"Sí","No")</f>
        <v>No</v>
      </c>
      <c r="AJ452" s="102" t="str">
        <f>IF(SUMPRODUCT(--ISNUMBER(SEARCH({" hoy ","horas","tiempo limitado","antes de que","se acab","se agot","finalic","última oportunidad","oportunidad única","relámpago","express","no esperes","no volver","no parpadees"},AF452)))&gt;0,"Sí","No")</f>
        <v>No</v>
      </c>
      <c r="AK452" s="102" t="str">
        <f>IF(SUMPRODUCT(--ISNUMBER(SEARCH({" hoy ","horas","tiempo limitado","antes de que","se acab","se agot","finalic","última oportunidad","oportunidad única","relámpago","express","no esperes","no volver","no parpadees"},AG452)))&gt;0,"Sí","No")</f>
        <v>No</v>
      </c>
      <c r="AL452" s="102" t="str">
        <f t="shared" si="163"/>
        <v>Sin descuento</v>
      </c>
      <c r="AM452" s="102" t="str">
        <f>IF(SUMPRODUCT(--ISNUMBER(SEARCH({"0","1","2","3","4","5","6","7","8","9","favorit","maquillaje","piel","cabello","productos","belleza","regalo"},E452)))&gt;0,"Sí","No")</f>
        <v>Sí</v>
      </c>
      <c r="AN452" s="102" t="str">
        <f>IF(SUMPRODUCT(--ISNUMBER(SEARCH({"lo que tenemos","estas ofertas","algo especial","ofertas únicas","que preparamos","no te quedes","echa un vistazo"},F452)))&gt;0,"Sí","No")</f>
        <v>No</v>
      </c>
      <c r="AO452" s="102">
        <f t="shared" si="164"/>
        <v>45</v>
      </c>
      <c r="AP452" s="102">
        <f t="shared" si="165"/>
        <v>8</v>
      </c>
      <c r="AQ452" s="102">
        <f>SUMPRODUCT(LEN(E452)-LEN(SUBSTITUTE(E452,{"!","¡","?","¿",":",",",".","%","·","-",";"},"")))</f>
        <v>1</v>
      </c>
      <c r="AR452" s="102" t="str">
        <f t="shared" si="166"/>
        <v>Sí</v>
      </c>
      <c r="AS452" s="102" t="str">
        <f t="shared" si="167"/>
        <v>No</v>
      </c>
      <c r="AT452" s="102" t="str">
        <f>IF(SUMPRODUCT(--ISNUMBER(FIND({"0","1","2","3","4","5","6","7","8","9"},E452)))&gt;0,"Con cifra concreta",IF(OR(ISNUMBER(FIND("?",E452)),ISNUMBER(FIND("¿",E452))),"Pregunta abierta",IF(SUMPRODUCT(--ISNUMBER(SEARCH({" hoy ","horas","tiempo limitado","antes de que","se acab","se agot","finalic","última oportunidad","oportunidad única","relámpago","express","no esperes","no volver","no parpadees"," ya ","últimas horas","últimas unidades"," ahora "},AF452)))&gt;0,"Solo urgencia, sin cifra",IF(SUMPRODUCT(--ISNUMBER(SEARCH({"recompensa","sorpresa","regalo","lealtad","detalle","gracias","pensamos en ti","para ti"},E452)))&gt;0,"Recompensa o sorpresa","Otro: beneficio o novedad"))))</f>
        <v>Otro: beneficio o novedad</v>
      </c>
    </row>
    <row r="453" spans="1:46" x14ac:dyDescent="0.2">
      <c r="A453" s="96" t="s">
        <v>1324</v>
      </c>
      <c r="B453" s="96" t="s">
        <v>274</v>
      </c>
      <c r="C453" s="96" t="s">
        <v>923</v>
      </c>
      <c r="D453" s="96" t="s">
        <v>729</v>
      </c>
      <c r="E453" s="96" t="s">
        <v>372</v>
      </c>
      <c r="F453" s="96" t="s">
        <v>480</v>
      </c>
      <c r="G453" s="97">
        <v>246381</v>
      </c>
      <c r="H453" s="97">
        <v>38978</v>
      </c>
      <c r="I453" s="97">
        <v>10594</v>
      </c>
      <c r="J453" s="98">
        <v>7.91</v>
      </c>
      <c r="K453" s="98">
        <v>0.67</v>
      </c>
      <c r="L453" s="99">
        <v>80601.02</v>
      </c>
      <c r="M453" s="100">
        <f t="shared" ref="M453:M493" si="168">IFERROR(H453/G453*100,"")</f>
        <v>15.820213409313219</v>
      </c>
      <c r="N453" s="100">
        <f t="shared" ref="N453:N493" si="169">IFERROR(I453/G453*100,"")</f>
        <v>4.2998445497014783</v>
      </c>
      <c r="O453" s="100">
        <f t="shared" ref="O453:O493" si="170">IFERROR(I453/H453*100,"")</f>
        <v>27.17943455282467</v>
      </c>
      <c r="P453" s="100">
        <f t="shared" ref="P453:P493" si="171">IFERROR(L453/G453*1000,"")</f>
        <v>327.13975509475165</v>
      </c>
      <c r="Q453" s="100">
        <f t="shared" ref="Q453:Q493" si="172">AVERAGEIF($E$5:$E$493,$E453,$M$5:$M$493)</f>
        <v>20.724631699294946</v>
      </c>
      <c r="R453" s="100">
        <f t="shared" ref="R453:R493" si="173">AVERAGEIF($B$5:$B$493,$B453,$M$5:$M$493)</f>
        <v>31.113650744455075</v>
      </c>
      <c r="S453" s="101">
        <f t="shared" ref="S453:S493" si="174">DATEVALUE(C453)</f>
        <v>45873</v>
      </c>
      <c r="T453" s="102" t="str">
        <f t="shared" ref="T453:T516" si="175">CHOOSE(MONTH(S453)-7,"Agosto","Septiembre","Octubre")</f>
        <v>Agosto</v>
      </c>
      <c r="U453" s="102" t="str">
        <f t="shared" ref="U453:U493" si="176">CHOOSE(WEEKDAY(S453,2),"Lunes","Martes","Miércoles","Jueves","Viernes","Sábado","Domingo")</f>
        <v>Lunes</v>
      </c>
      <c r="V453" s="102">
        <f t="shared" ref="V453:V493" si="177">VALUE(LEFT(D453,2))</f>
        <v>10</v>
      </c>
      <c r="W453" s="102" t="str">
        <f t="shared" ref="W453:W493" si="178">IF(OR(AND(DAY(S453)&gt;=14,DAY(S453)&lt;=16),DAY(S453)&gt;=DAY(EOMONTH(S453,0))-1,DAY(S453)=1),"Quincena",IF(OR(AND(DAY(S453)&gt;=2,DAY(S453)&lt;=5),AND(DAY(S453)&gt;=17,DAY(S453)&lt;=20)),"Días después del pago","Resto del mes"))</f>
        <v>Días después del pago</v>
      </c>
      <c r="X453" s="102">
        <f t="shared" ref="X453:X493" si="179">COUNTIF($S$5:$S$493,S453)</f>
        <v>24</v>
      </c>
      <c r="Y453" s="102" t="str">
        <f t="shared" ref="Y453:Y516" si="180">IF(X453&gt;=20,"Sí","No")</f>
        <v>Sí</v>
      </c>
      <c r="Z453" s="102" t="str">
        <f>CHOOSE(MATCH(B453,{"Customer Appreciation","Exclusive Offers","Flash Sale","Holiday Discounts","New Product Launch","Newsletter"},0),"Fidelizar","Vender","Vender","Vender","Lanzar","Educar")</f>
        <v>Fidelizar</v>
      </c>
      <c r="AA453" s="102" t="str">
        <f t="shared" ref="AA453:AA493" si="181">IF(G453&lt;100000,"Menos de 100 mil",IF(G453&lt;200000,"100 a 200 mil",IF(G453&lt;300000,"200 a 300 mil",IF(G453&lt;400000,"300 a 400 mil","Más de 400 mil"))))</f>
        <v>200 a 300 mil</v>
      </c>
      <c r="AB453" s="102">
        <f>COUNTIFS($E$5:$E$493,E453,$S$5:$S$493,"&lt;"&amp;S453)+COUNTIFS($E$5:E453,E453,$S$5:S453,S453)</f>
        <v>2</v>
      </c>
      <c r="AC453" s="102">
        <f t="shared" ref="AC453:AC493" si="182">COUNTIF($E$5:$E$493,E453)</f>
        <v>14</v>
      </c>
      <c r="AD453" s="102" t="str">
        <f t="shared" ref="AD453:AD516" si="183">IF(AC453&lt;8,"",IF(AB453&lt;=AC453/3,"Primer tercio",IF(AB453&gt;AC453*2/3,"Último tercio","Medio")))</f>
        <v>Primer tercio</v>
      </c>
      <c r="AE453" s="103">
        <f t="shared" ref="AE453:AE493" si="184">M453-Q453</f>
        <v>-4.9044182899817272</v>
      </c>
      <c r="AF453" s="102" t="str">
        <f t="shared" ref="AF453:AF493" si="185">" "&amp;LOWER(SUBSTITUTE(SUBSTITUTE(SUBSTITUTE(SUBSTITUTE(SUBSTITUTE(SUBSTITUTE(SUBSTITUTE(E453,"¡"," "),"!"," "),"¿"," "),"?"," "),":"," "),","," "),"."," "))&amp;" "</f>
        <v xml:space="preserve">  un pequeño detalle para agradecerte tu lealtad  l'oréal </v>
      </c>
      <c r="AG453" s="102" t="str">
        <f t="shared" ref="AG453:AG493" si="186">" "&amp;LOWER(SUBSTITUTE(SUBSTITUTE(SUBSTITUTE(SUBSTITUTE(SUBSTITUTE(SUBSTITUTE(SUBSTITUTE(F453,"¡"," "),"!"," "),"¿"," "),"?"," "),":"," "),","," "),"."," "))&amp;" "</f>
        <v xml:space="preserve"> echa un vistazo a lo que tenemos para ti   te va a encantar  </v>
      </c>
      <c r="AH453" s="102" t="str">
        <f>IF(SUMPRODUCT(--(LEFT(IF(LEFT(LOWER(E453),1)="¡",MID(LOWER(E453),2,300),LOWER(E453)),LEN({"actualizaci","el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Sí</v>
      </c>
      <c r="AI453" s="102" t="str">
        <f>IF(OR(SUMPRODUCT(--ISNUMBER(SEARCH({"descuento","oferta","ahorr","precio"," sale ","flash","deals"},AF453)))&gt;0,SUMPRODUCT(--ISNUMBER(SEARCH({"descuento","oferta","ahorr","precio"," sale ","flash","deals"},AG453)))&gt;0),"Sí","No")</f>
        <v>No</v>
      </c>
      <c r="AJ453" s="102" t="str">
        <f>IF(SUMPRODUCT(--ISNUMBER(SEARCH({" hoy ","horas","tiempo limitado","antes de que","se acab","se agot","finalic","última oportunidad","oportunidad única","relámpago","express","no esperes","no volver","no parpadees"},AF453)))&gt;0,"Sí","No")</f>
        <v>No</v>
      </c>
      <c r="AK453" s="102" t="str">
        <f>IF(SUMPRODUCT(--ISNUMBER(SEARCH({" hoy ","horas","tiempo limitado","antes de que","se acab","se agot","finalic","última oportunidad","oportunidad única","relámpago","express","no esperes","no volver","no parpadees"},AG453)))&gt;0,"Sí","No")</f>
        <v>No</v>
      </c>
      <c r="AL453" s="102" t="str">
        <f t="shared" ref="AL453:AL516" si="187">IF(AI453="No","Sin descuento",IF(AJ453="Sí","Descuento con tiempo límite en el asunto",IF(AK453="Sí","Descuento con tiempo límite solo en el preheader","Descuento sin tiempo límite")))</f>
        <v>Sin descuento</v>
      </c>
      <c r="AM453" s="102" t="str">
        <f>IF(SUMPRODUCT(--ISNUMBER(SEARCH({"0","1","2","3","4","5","6","7","8","9","favorit","maquillaje","piel","cabello","productos","belleza","regalo"},E453)))&gt;0,"Sí","No")</f>
        <v>No</v>
      </c>
      <c r="AN453" s="102" t="str">
        <f>IF(SUMPRODUCT(--ISNUMBER(SEARCH({"lo que tenemos","estas ofertas","algo especial","ofertas únicas","que preparamos","no te quedes","echa un vistazo"},F453)))&gt;0,"Sí","No")</f>
        <v>Sí</v>
      </c>
      <c r="AO453" s="102">
        <f t="shared" ref="AO453:AO493" si="188">LEN(E453)-(LEN(E453)-LEN(SUBSTITUTE(E453,"🔥","")))/LEN("🔥")*(LEN("🔥")-1)</f>
        <v>56</v>
      </c>
      <c r="AP453" s="102">
        <f t="shared" ref="AP453:AP493" si="189">LEN(TRIM(E453))-LEN(SUBSTITUTE(TRIM(E453)," ",""))+1</f>
        <v>8</v>
      </c>
      <c r="AQ453" s="102">
        <f>SUMPRODUCT(LEN(E453)-LEN(SUBSTITUTE(E453,{"!","¡","?","¿",":",",",".","%","·","-",";"},"")))</f>
        <v>2</v>
      </c>
      <c r="AR453" s="102" t="str">
        <f t="shared" ref="AR453:AR516" si="190">IF(AND(AO453&lt;=60,AP453&lt;=9,AQ453&lt;=3,(LEN(E453)-LEN(SUBSTITUTE(E453,"🔥","")))/LEN("🔥")&lt;=1),"Sí","No")</f>
        <v>Sí</v>
      </c>
      <c r="AS453" s="102" t="str">
        <f t="shared" ref="AS453:AS493" si="191">IF(ISNUMBER(SEARCH("hot sale",E453)),"Sí","No")</f>
        <v>No</v>
      </c>
      <c r="AT453" s="102" t="str">
        <f>IF(SUMPRODUCT(--ISNUMBER(FIND({"0","1","2","3","4","5","6","7","8","9"},E453)))&gt;0,"Con cifra concreta",IF(OR(ISNUMBER(FIND("?",E453)),ISNUMBER(FIND("¿",E453))),"Pregunta abierta",IF(SUMPRODUCT(--ISNUMBER(SEARCH({" hoy ","horas","tiempo limitado","antes de que","se acab","se agot","finalic","última oportunidad","oportunidad única","relámpago","express","no esperes","no volver","no parpadees"," ya ","últimas horas","últimas unidades"," ahora "},AF453)))&gt;0,"Solo urgencia, sin cifra",IF(SUMPRODUCT(--ISNUMBER(SEARCH({"recompensa","sorpresa","regalo","lealtad","detalle","gracias","pensamos en ti","para ti"},E453)))&gt;0,"Recompensa o sorpresa","Otro: beneficio o novedad"))))</f>
        <v>Recompensa o sorpresa</v>
      </c>
    </row>
    <row r="454" spans="1:46" x14ac:dyDescent="0.2">
      <c r="A454" s="104" t="s">
        <v>1325</v>
      </c>
      <c r="B454" s="104" t="s">
        <v>278</v>
      </c>
      <c r="C454" s="104" t="s">
        <v>793</v>
      </c>
      <c r="D454" s="104" t="s">
        <v>947</v>
      </c>
      <c r="E454" s="104" t="s">
        <v>367</v>
      </c>
      <c r="F454" s="104" t="s">
        <v>458</v>
      </c>
      <c r="G454" s="105">
        <v>429330</v>
      </c>
      <c r="H454" s="105">
        <v>209094</v>
      </c>
      <c r="I454" s="105">
        <v>52210</v>
      </c>
      <c r="J454" s="106">
        <v>6.13</v>
      </c>
      <c r="K454" s="106">
        <v>0.6</v>
      </c>
      <c r="L454" s="107">
        <v>60696.11</v>
      </c>
      <c r="M454" s="108">
        <f t="shared" si="168"/>
        <v>48.702396757738804</v>
      </c>
      <c r="N454" s="108">
        <f t="shared" si="169"/>
        <v>12.160808701930916</v>
      </c>
      <c r="O454" s="108">
        <f t="shared" si="170"/>
        <v>24.969630883717372</v>
      </c>
      <c r="P454" s="108">
        <f t="shared" si="171"/>
        <v>141.37402464304847</v>
      </c>
      <c r="Q454" s="108">
        <f t="shared" si="172"/>
        <v>36.132518317209367</v>
      </c>
      <c r="R454" s="108">
        <f t="shared" si="173"/>
        <v>29.458247936272421</v>
      </c>
      <c r="S454" s="101">
        <f t="shared" si="174"/>
        <v>45939</v>
      </c>
      <c r="T454" s="102" t="str">
        <f t="shared" si="175"/>
        <v>Octubre</v>
      </c>
      <c r="U454" s="102" t="str">
        <f t="shared" si="176"/>
        <v>Jueves</v>
      </c>
      <c r="V454" s="102">
        <f t="shared" si="177"/>
        <v>9</v>
      </c>
      <c r="W454" s="102" t="str">
        <f t="shared" si="178"/>
        <v>Resto del mes</v>
      </c>
      <c r="X454" s="102">
        <f t="shared" si="179"/>
        <v>27</v>
      </c>
      <c r="Y454" s="102" t="str">
        <f t="shared" si="180"/>
        <v>Sí</v>
      </c>
      <c r="Z454" s="102" t="str">
        <f>CHOOSE(MATCH(B454,{"Customer Appreciation","Exclusive Offers","Flash Sale","Holiday Discounts","New Product Launch","Newsletter"},0),"Fidelizar","Vender","Vender","Vender","Lanzar","Educar")</f>
        <v>Lanzar</v>
      </c>
      <c r="AA454" s="102" t="str">
        <f t="shared" si="181"/>
        <v>Más de 400 mil</v>
      </c>
      <c r="AB454" s="102">
        <f>COUNTIFS($E$5:$E$493,E454,$S$5:$S$493,"&lt;"&amp;S454)+COUNTIFS($E$5:E454,E454,$S$5:S454,S454)</f>
        <v>15</v>
      </c>
      <c r="AC454" s="102">
        <f t="shared" si="182"/>
        <v>25</v>
      </c>
      <c r="AD454" s="102" t="str">
        <f t="shared" si="183"/>
        <v>Medio</v>
      </c>
      <c r="AE454" s="103">
        <f t="shared" si="184"/>
        <v>12.569878440529436</v>
      </c>
      <c r="AF454" s="102" t="str">
        <f t="shared" si="185"/>
        <v xml:space="preserve">  el futuro de tu piel ha llegado  nuevo producto revolucionario </v>
      </c>
      <c r="AG454" s="102" t="str">
        <f t="shared" si="186"/>
        <v xml:space="preserve"> una fórmula revolucionaria para resultados visibles   compruébalo  </v>
      </c>
      <c r="AH454" s="102" t="str">
        <f>IF(SUMPRODUCT(--(LEFT(IF(LEFT(LOWER(E454),1)="¡",MID(LOWER(E454),2,300),LOWER(E454)),LEN({"actualizaci","el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454" s="102" t="str">
        <f>IF(OR(SUMPRODUCT(--ISNUMBER(SEARCH({"descuento","oferta","ahorr","precio"," sale ","flash","deals"},AF454)))&gt;0,SUMPRODUCT(--ISNUMBER(SEARCH({"descuento","oferta","ahorr","precio"," sale ","flash","deals"},AG454)))&gt;0),"Sí","No")</f>
        <v>No</v>
      </c>
      <c r="AJ454" s="102" t="str">
        <f>IF(SUMPRODUCT(--ISNUMBER(SEARCH({" hoy ","horas","tiempo limitado","antes de que","se acab","se agot","finalic","última oportunidad","oportunidad única","relámpago","express","no esperes","no volver","no parpadees"},AF454)))&gt;0,"Sí","No")</f>
        <v>No</v>
      </c>
      <c r="AK454" s="102" t="str">
        <f>IF(SUMPRODUCT(--ISNUMBER(SEARCH({" hoy ","horas","tiempo limitado","antes de que","se acab","se agot","finalic","última oportunidad","oportunidad única","relámpago","express","no esperes","no volver","no parpadees"},AG454)))&gt;0,"Sí","No")</f>
        <v>No</v>
      </c>
      <c r="AL454" s="102" t="str">
        <f t="shared" si="187"/>
        <v>Sin descuento</v>
      </c>
      <c r="AM454" s="102" t="str">
        <f>IF(SUMPRODUCT(--ISNUMBER(SEARCH({"0","1","2","3","4","5","6","7","8","9","favorit","maquillaje","piel","cabello","productos","belleza","regalo"},E454)))&gt;0,"Sí","No")</f>
        <v>Sí</v>
      </c>
      <c r="AN454" s="102" t="str">
        <f>IF(SUMPRODUCT(--ISNUMBER(SEARCH({"lo que tenemos","estas ofertas","algo especial","ofertas únicas","que preparamos","no te quedes","echa un vistazo"},F454)))&gt;0,"Sí","No")</f>
        <v>No</v>
      </c>
      <c r="AO454" s="102">
        <f t="shared" si="188"/>
        <v>63</v>
      </c>
      <c r="AP454" s="102">
        <f t="shared" si="189"/>
        <v>10</v>
      </c>
      <c r="AQ454" s="102">
        <f>SUMPRODUCT(LEN(E454)-LEN(SUBSTITUTE(E454,{"!","¡","?","¿",":",",",".","%","·","-",";"},"")))</f>
        <v>2</v>
      </c>
      <c r="AR454" s="102" t="str">
        <f t="shared" si="190"/>
        <v>No</v>
      </c>
      <c r="AS454" s="102" t="str">
        <f t="shared" si="191"/>
        <v>No</v>
      </c>
      <c r="AT454" s="102" t="str">
        <f>IF(SUMPRODUCT(--ISNUMBER(FIND({"0","1","2","3","4","5","6","7","8","9"},E454)))&gt;0,"Con cifra concreta",IF(OR(ISNUMBER(FIND("?",E454)),ISNUMBER(FIND("¿",E454))),"Pregunta abierta",IF(SUMPRODUCT(--ISNUMBER(SEARCH({" hoy ","horas","tiempo limitado","antes de que","se acab","se agot","finalic","última oportunidad","oportunidad única","relámpago","express","no esperes","no volver","no parpadees"," ya ","últimas horas","últimas unidades"," ahora "},AF454)))&gt;0,"Solo urgencia, sin cifra",IF(SUMPRODUCT(--ISNUMBER(SEARCH({"recompensa","sorpresa","regalo","lealtad","detalle","gracias","pensamos en ti","para ti"},E454)))&gt;0,"Recompensa o sorpresa","Otro: beneficio o novedad"))))</f>
        <v>Otro: beneficio o novedad</v>
      </c>
    </row>
    <row r="455" spans="1:46" x14ac:dyDescent="0.2">
      <c r="A455" s="96" t="s">
        <v>1326</v>
      </c>
      <c r="B455" s="96" t="s">
        <v>279</v>
      </c>
      <c r="C455" s="96" t="s">
        <v>830</v>
      </c>
      <c r="D455" s="96" t="s">
        <v>950</v>
      </c>
      <c r="E455" s="96" t="s">
        <v>369</v>
      </c>
      <c r="F455" s="96" t="s">
        <v>457</v>
      </c>
      <c r="G455" s="97">
        <v>354262</v>
      </c>
      <c r="H455" s="97">
        <v>98606</v>
      </c>
      <c r="I455" s="97">
        <v>19626</v>
      </c>
      <c r="J455" s="98">
        <v>3.87</v>
      </c>
      <c r="K455" s="98">
        <v>4.97</v>
      </c>
      <c r="L455" s="99">
        <v>79848.78</v>
      </c>
      <c r="M455" s="100">
        <f t="shared" si="168"/>
        <v>27.834201805443431</v>
      </c>
      <c r="N455" s="100">
        <f t="shared" si="169"/>
        <v>5.5399675946051223</v>
      </c>
      <c r="O455" s="100">
        <f t="shared" si="170"/>
        <v>19.90345415086303</v>
      </c>
      <c r="P455" s="100">
        <f t="shared" si="171"/>
        <v>225.39470787157529</v>
      </c>
      <c r="Q455" s="100">
        <f t="shared" si="172"/>
        <v>36.827379346292652</v>
      </c>
      <c r="R455" s="100">
        <f t="shared" si="173"/>
        <v>27.75136451093497</v>
      </c>
      <c r="S455" s="101">
        <f t="shared" si="174"/>
        <v>45901</v>
      </c>
      <c r="T455" s="102" t="str">
        <f t="shared" si="175"/>
        <v>Septiembre</v>
      </c>
      <c r="U455" s="102" t="str">
        <f t="shared" si="176"/>
        <v>Lunes</v>
      </c>
      <c r="V455" s="102">
        <f t="shared" si="177"/>
        <v>14</v>
      </c>
      <c r="W455" s="102" t="str">
        <f t="shared" si="178"/>
        <v>Quincena</v>
      </c>
      <c r="X455" s="102">
        <f t="shared" si="179"/>
        <v>29</v>
      </c>
      <c r="Y455" s="102" t="str">
        <f t="shared" si="180"/>
        <v>Sí</v>
      </c>
      <c r="Z455" s="102" t="str">
        <f>CHOOSE(MATCH(B455,{"Customer Appreciation","Exclusive Offers","Flash Sale","Holiday Discounts","New Product Launch","Newsletter"},0),"Fidelizar","Vender","Vender","Vender","Lanzar","Educar")</f>
        <v>Educar</v>
      </c>
      <c r="AA455" s="102" t="str">
        <f t="shared" si="181"/>
        <v>300 a 400 mil</v>
      </c>
      <c r="AB455" s="102">
        <f>COUNTIFS($E$5:$E$493,E455,$S$5:$S$493,"&lt;"&amp;S455)+COUNTIFS($E$5:E455,E455,$S$5:S455,S455)</f>
        <v>8</v>
      </c>
      <c r="AC455" s="102">
        <f t="shared" si="182"/>
        <v>19</v>
      </c>
      <c r="AD455" s="102" t="str">
        <f t="shared" si="183"/>
        <v>Medio</v>
      </c>
      <c r="AE455" s="103">
        <f t="shared" si="184"/>
        <v>-8.9931775408492207</v>
      </c>
      <c r="AF455" s="102" t="str">
        <f t="shared" si="185"/>
        <v xml:space="preserve"> lo último en l'oréal  mantente informad@ de las novedades </v>
      </c>
      <c r="AG455" s="102" t="str">
        <f t="shared" si="186"/>
        <v xml:space="preserve"> descubre las novedades y tips de la semana   entra ya  </v>
      </c>
      <c r="AH455" s="102" t="str">
        <f>IF(SUMPRODUCT(--(LEFT(IF(LEFT(LOWER(E455),1)="¡",MID(LOWER(E455),2,300),LOWER(E455)),LEN({"actualizaci","el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455" s="102" t="str">
        <f>IF(OR(SUMPRODUCT(--ISNUMBER(SEARCH({"descuento","oferta","ahorr","precio"," sale ","flash","deals"},AF455)))&gt;0,SUMPRODUCT(--ISNUMBER(SEARCH({"descuento","oferta","ahorr","precio"," sale ","flash","deals"},AG455)))&gt;0),"Sí","No")</f>
        <v>No</v>
      </c>
      <c r="AJ455" s="102" t="str">
        <f>IF(SUMPRODUCT(--ISNUMBER(SEARCH({" hoy ","horas","tiempo limitado","antes de que","se acab","se agot","finalic","última oportunidad","oportunidad única","relámpago","express","no esperes","no volver","no parpadees"},AF455)))&gt;0,"Sí","No")</f>
        <v>No</v>
      </c>
      <c r="AK455" s="102" t="str">
        <f>IF(SUMPRODUCT(--ISNUMBER(SEARCH({" hoy ","horas","tiempo limitado","antes de que","se acab","se agot","finalic","última oportunidad","oportunidad única","relámpago","express","no esperes","no volver","no parpadees"},AG455)))&gt;0,"Sí","No")</f>
        <v>No</v>
      </c>
      <c r="AL455" s="102" t="str">
        <f t="shared" si="187"/>
        <v>Sin descuento</v>
      </c>
      <c r="AM455" s="102" t="str">
        <f>IF(SUMPRODUCT(--ISNUMBER(SEARCH({"0","1","2","3","4","5","6","7","8","9","favorit","maquillaje","piel","cabello","productos","belleza","regalo"},E455)))&gt;0,"Sí","No")</f>
        <v>No</v>
      </c>
      <c r="AN455" s="102" t="str">
        <f>IF(SUMPRODUCT(--ISNUMBER(SEARCH({"lo que tenemos","estas ofertas","algo especial","ofertas únicas","que preparamos","no te quedes","echa un vistazo"},F455)))&gt;0,"Sí","No")</f>
        <v>No</v>
      </c>
      <c r="AO455" s="102">
        <f t="shared" si="188"/>
        <v>57</v>
      </c>
      <c r="AP455" s="102">
        <f t="shared" si="189"/>
        <v>9</v>
      </c>
      <c r="AQ455" s="102">
        <f>SUMPRODUCT(LEN(E455)-LEN(SUBSTITUTE(E455,{"!","¡","?","¿",":",",",".","%","·","-",";"},"")))</f>
        <v>1</v>
      </c>
      <c r="AR455" s="102" t="str">
        <f t="shared" si="190"/>
        <v>Sí</v>
      </c>
      <c r="AS455" s="102" t="str">
        <f t="shared" si="191"/>
        <v>No</v>
      </c>
      <c r="AT455" s="102" t="str">
        <f>IF(SUMPRODUCT(--ISNUMBER(FIND({"0","1","2","3","4","5","6","7","8","9"},E455)))&gt;0,"Con cifra concreta",IF(OR(ISNUMBER(FIND("?",E455)),ISNUMBER(FIND("¿",E455))),"Pregunta abierta",IF(SUMPRODUCT(--ISNUMBER(SEARCH({" hoy ","horas","tiempo limitado","antes de que","se acab","se agot","finalic","última oportunidad","oportunidad única","relámpago","express","no esperes","no volver","no parpadees"," ya ","últimas horas","últimas unidades"," ahora "},AF455)))&gt;0,"Solo urgencia, sin cifra",IF(SUMPRODUCT(--ISNUMBER(SEARCH({"recompensa","sorpresa","regalo","lealtad","detalle","gracias","pensamos en ti","para ti"},E455)))&gt;0,"Recompensa o sorpresa","Otro: beneficio o novedad"))))</f>
        <v>Otro: beneficio o novedad</v>
      </c>
    </row>
    <row r="456" spans="1:46" x14ac:dyDescent="0.2">
      <c r="A456" s="104" t="s">
        <v>1327</v>
      </c>
      <c r="B456" s="104" t="s">
        <v>277</v>
      </c>
      <c r="C456" s="104" t="s">
        <v>742</v>
      </c>
      <c r="D456" s="104" t="s">
        <v>702</v>
      </c>
      <c r="E456" s="104" t="s">
        <v>461</v>
      </c>
      <c r="F456" s="104" t="s">
        <v>462</v>
      </c>
      <c r="G456" s="105">
        <v>433399</v>
      </c>
      <c r="H456" s="105">
        <v>67990</v>
      </c>
      <c r="I456" s="105">
        <v>61819</v>
      </c>
      <c r="J456" s="106">
        <v>3.95</v>
      </c>
      <c r="K456" s="106">
        <v>2.97</v>
      </c>
      <c r="L456" s="107">
        <v>73769.350000000006</v>
      </c>
      <c r="M456" s="108">
        <f t="shared" si="168"/>
        <v>15.687622721787545</v>
      </c>
      <c r="N456" s="108">
        <f t="shared" si="169"/>
        <v>14.263761568439245</v>
      </c>
      <c r="O456" s="108">
        <f t="shared" si="170"/>
        <v>90.923665244888952</v>
      </c>
      <c r="P456" s="108">
        <f t="shared" si="171"/>
        <v>170.21116799992618</v>
      </c>
      <c r="Q456" s="108">
        <f t="shared" si="172"/>
        <v>35.409886702202286</v>
      </c>
      <c r="R456" s="108">
        <f t="shared" si="173"/>
        <v>30.71114383300629</v>
      </c>
      <c r="S456" s="101">
        <f t="shared" si="174"/>
        <v>45948</v>
      </c>
      <c r="T456" s="102" t="str">
        <f t="shared" si="175"/>
        <v>Octubre</v>
      </c>
      <c r="U456" s="102" t="str">
        <f t="shared" si="176"/>
        <v>Sábado</v>
      </c>
      <c r="V456" s="102">
        <f t="shared" si="177"/>
        <v>16</v>
      </c>
      <c r="W456" s="102" t="str">
        <f t="shared" si="178"/>
        <v>Días después del pago</v>
      </c>
      <c r="X456" s="102">
        <f t="shared" si="179"/>
        <v>27</v>
      </c>
      <c r="Y456" s="102" t="str">
        <f t="shared" si="180"/>
        <v>Sí</v>
      </c>
      <c r="Z456" s="102" t="str">
        <f>CHOOSE(MATCH(B456,{"Customer Appreciation","Exclusive Offers","Flash Sale","Holiday Discounts","New Product Launch","Newsletter"},0),"Fidelizar","Vender","Vender","Vender","Lanzar","Educar")</f>
        <v>Vender</v>
      </c>
      <c r="AA456" s="102" t="str">
        <f t="shared" si="181"/>
        <v>Más de 400 mil</v>
      </c>
      <c r="AB456" s="102">
        <f>COUNTIFS($E$5:$E$493,E456,$S$5:$S$493,"&lt;"&amp;S456)+COUNTIFS($E$5:E456,E456,$S$5:S456,S456)</f>
        <v>26</v>
      </c>
      <c r="AC456" s="102">
        <f t="shared" si="182"/>
        <v>30</v>
      </c>
      <c r="AD456" s="102" t="str">
        <f t="shared" si="183"/>
        <v>Último tercio</v>
      </c>
      <c r="AE456" s="103">
        <f t="shared" si="184"/>
        <v>-19.722263980414741</v>
      </c>
      <c r="AF456" s="102" t="str">
        <f t="shared" si="185"/>
        <v xml:space="preserve">  regalos perfectos te esperan  descuentos de lujo  l'oréal </v>
      </c>
      <c r="AG456" s="102" t="str">
        <f t="shared" si="186"/>
        <v xml:space="preserve"> encuentra ese detalle especial para ti o tus seres queridos   descubre  </v>
      </c>
      <c r="AH456" s="102" t="str">
        <f>IF(SUMPRODUCT(--(LEFT(IF(LEFT(LOWER(E456),1)="¡",MID(LOWER(E456),2,300),LOWER(E456)),LEN({"actualizaci","el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456" s="102" t="str">
        <f>IF(OR(SUMPRODUCT(--ISNUMBER(SEARCH({"descuento","oferta","ahorr","precio"," sale ","flash","deals"},AF456)))&gt;0,SUMPRODUCT(--ISNUMBER(SEARCH({"descuento","oferta","ahorr","precio"," sale ","flash","deals"},AG456)))&gt;0),"Sí","No")</f>
        <v>Sí</v>
      </c>
      <c r="AJ456" s="102" t="str">
        <f>IF(SUMPRODUCT(--ISNUMBER(SEARCH({" hoy ","horas","tiempo limitado","antes de que","se acab","se agot","finalic","última oportunidad","oportunidad única","relámpago","express","no esperes","no volver","no parpadees"},AF456)))&gt;0,"Sí","No")</f>
        <v>No</v>
      </c>
      <c r="AK456" s="102" t="str">
        <f>IF(SUMPRODUCT(--ISNUMBER(SEARCH({" hoy ","horas","tiempo limitado","antes de que","se acab","se agot","finalic","última oportunidad","oportunidad única","relámpago","express","no esperes","no volver","no parpadees"},AG456)))&gt;0,"Sí","No")</f>
        <v>No</v>
      </c>
      <c r="AL456" s="102" t="str">
        <f t="shared" si="187"/>
        <v>Descuento sin tiempo límite</v>
      </c>
      <c r="AM456" s="102" t="str">
        <f>IF(SUMPRODUCT(--ISNUMBER(SEARCH({"0","1","2","3","4","5","6","7","8","9","favorit","maquillaje","piel","cabello","productos","belleza","regalo"},E456)))&gt;0,"Sí","No")</f>
        <v>Sí</v>
      </c>
      <c r="AN456" s="102" t="str">
        <f>IF(SUMPRODUCT(--ISNUMBER(SEARCH({"lo que tenemos","estas ofertas","algo especial","ofertas únicas","que preparamos","no te quedes","echa un vistazo"},F456)))&gt;0,"Sí","No")</f>
        <v>No</v>
      </c>
      <c r="AO456" s="102">
        <f t="shared" si="188"/>
        <v>58</v>
      </c>
      <c r="AP456" s="102">
        <f t="shared" si="189"/>
        <v>8</v>
      </c>
      <c r="AQ456" s="102">
        <f>SUMPRODUCT(LEN(E456)-LEN(SUBSTITUTE(E456,{"!","¡","?","¿",":",",",".","%","·","-",";"},"")))</f>
        <v>3</v>
      </c>
      <c r="AR456" s="102" t="str">
        <f t="shared" si="190"/>
        <v>Sí</v>
      </c>
      <c r="AS456" s="102" t="str">
        <f t="shared" si="191"/>
        <v>No</v>
      </c>
      <c r="AT456" s="102" t="str">
        <f>IF(SUMPRODUCT(--ISNUMBER(FIND({"0","1","2","3","4","5","6","7","8","9"},E456)))&gt;0,"Con cifra concreta",IF(OR(ISNUMBER(FIND("?",E456)),ISNUMBER(FIND("¿",E456))),"Pregunta abierta",IF(SUMPRODUCT(--ISNUMBER(SEARCH({" hoy ","horas","tiempo limitado","antes de que","se acab","se agot","finalic","última oportunidad","oportunidad única","relámpago","express","no esperes","no volver","no parpadees"," ya ","últimas horas","últimas unidades"," ahora "},AF456)))&gt;0,"Solo urgencia, sin cifra",IF(SUMPRODUCT(--ISNUMBER(SEARCH({"recompensa","sorpresa","regalo","lealtad","detalle","gracias","pensamos en ti","para ti"},E456)))&gt;0,"Recompensa o sorpresa","Otro: beneficio o novedad"))))</f>
        <v>Recompensa o sorpresa</v>
      </c>
    </row>
    <row r="457" spans="1:46" x14ac:dyDescent="0.2">
      <c r="A457" s="96" t="s">
        <v>1328</v>
      </c>
      <c r="B457" s="96" t="s">
        <v>275</v>
      </c>
      <c r="C457" s="96" t="s">
        <v>773</v>
      </c>
      <c r="D457" s="96" t="s">
        <v>707</v>
      </c>
      <c r="E457" s="96" t="s">
        <v>465</v>
      </c>
      <c r="F457" s="96" t="s">
        <v>466</v>
      </c>
      <c r="G457" s="97">
        <v>344203</v>
      </c>
      <c r="H457" s="97">
        <v>61899</v>
      </c>
      <c r="I457" s="97">
        <v>11623</v>
      </c>
      <c r="J457" s="98">
        <v>8.0299999999999994</v>
      </c>
      <c r="K457" s="98">
        <v>1.6</v>
      </c>
      <c r="L457" s="99">
        <v>51310.73</v>
      </c>
      <c r="M457" s="100">
        <f t="shared" si="168"/>
        <v>17.983283120716553</v>
      </c>
      <c r="N457" s="100">
        <f t="shared" si="169"/>
        <v>3.3767863731577004</v>
      </c>
      <c r="O457" s="100">
        <f t="shared" si="170"/>
        <v>18.777363123798445</v>
      </c>
      <c r="P457" s="100">
        <f t="shared" si="171"/>
        <v>149.07112953693024</v>
      </c>
      <c r="Q457" s="100">
        <f t="shared" si="172"/>
        <v>33.047230763392911</v>
      </c>
      <c r="R457" s="100">
        <f t="shared" si="173"/>
        <v>27.021447627328243</v>
      </c>
      <c r="S457" s="101">
        <f t="shared" si="174"/>
        <v>45909</v>
      </c>
      <c r="T457" s="102" t="str">
        <f t="shared" si="175"/>
        <v>Septiembre</v>
      </c>
      <c r="U457" s="102" t="str">
        <f t="shared" si="176"/>
        <v>Martes</v>
      </c>
      <c r="V457" s="102">
        <f t="shared" si="177"/>
        <v>13</v>
      </c>
      <c r="W457" s="102" t="str">
        <f t="shared" si="178"/>
        <v>Resto del mes</v>
      </c>
      <c r="X457" s="102">
        <f t="shared" si="179"/>
        <v>28</v>
      </c>
      <c r="Y457" s="102" t="str">
        <f t="shared" si="180"/>
        <v>Sí</v>
      </c>
      <c r="Z457" s="102" t="str">
        <f>CHOOSE(MATCH(B457,{"Customer Appreciation","Exclusive Offers","Flash Sale","Holiday Discounts","New Product Launch","Newsletter"},0),"Fidelizar","Vender","Vender","Vender","Lanzar","Educar")</f>
        <v>Vender</v>
      </c>
      <c r="AA457" s="102" t="str">
        <f t="shared" si="181"/>
        <v>300 a 400 mil</v>
      </c>
      <c r="AB457" s="102">
        <f>COUNTIFS($E$5:$E$493,E457,$S$5:$S$493,"&lt;"&amp;S457)+COUNTIFS($E$5:E457,E457,$S$5:S457,S457)</f>
        <v>9</v>
      </c>
      <c r="AC457" s="102">
        <f t="shared" si="182"/>
        <v>22</v>
      </c>
      <c r="AD457" s="102" t="str">
        <f t="shared" si="183"/>
        <v>Medio</v>
      </c>
      <c r="AE457" s="103">
        <f t="shared" si="184"/>
        <v>-15.063947642676357</v>
      </c>
      <c r="AF457" s="102" t="str">
        <f t="shared" si="185"/>
        <v xml:space="preserve">  ofertas exclusivas  solo para nuestra comunidad vip </v>
      </c>
      <c r="AG457" s="102" t="str">
        <f t="shared" si="186"/>
        <v xml:space="preserve"> productos premium con descuentos únicos   acceso limitado  </v>
      </c>
      <c r="AH457" s="102" t="str">
        <f>IF(SUMPRODUCT(--(LEFT(IF(LEFT(LOWER(E457),1)="¡",MID(LOWER(E457),2,300),LOWER(E457)),LEN({"actualizaci","el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457" s="102" t="str">
        <f>IF(OR(SUMPRODUCT(--ISNUMBER(SEARCH({"descuento","oferta","ahorr","precio"," sale ","flash","deals"},AF457)))&gt;0,SUMPRODUCT(--ISNUMBER(SEARCH({"descuento","oferta","ahorr","precio"," sale ","flash","deals"},AG457)))&gt;0),"Sí","No")</f>
        <v>Sí</v>
      </c>
      <c r="AJ457" s="102" t="str">
        <f>IF(SUMPRODUCT(--ISNUMBER(SEARCH({" hoy ","horas","tiempo limitado","antes de que","se acab","se agot","finalic","última oportunidad","oportunidad única","relámpago","express","no esperes","no volver","no parpadees"},AF457)))&gt;0,"Sí","No")</f>
        <v>No</v>
      </c>
      <c r="AK457" s="102" t="str">
        <f>IF(SUMPRODUCT(--ISNUMBER(SEARCH({" hoy ","horas","tiempo limitado","antes de que","se acab","se agot","finalic","última oportunidad","oportunidad única","relámpago","express","no esperes","no volver","no parpadees"},AG457)))&gt;0,"Sí","No")</f>
        <v>No</v>
      </c>
      <c r="AL457" s="102" t="str">
        <f t="shared" si="187"/>
        <v>Descuento sin tiempo límite</v>
      </c>
      <c r="AM457" s="102" t="str">
        <f>IF(SUMPRODUCT(--ISNUMBER(SEARCH({"0","1","2","3","4","5","6","7","8","9","favorit","maquillaje","piel","cabello","productos","belleza","regalo"},E457)))&gt;0,"Sí","No")</f>
        <v>No</v>
      </c>
      <c r="AN457" s="102" t="str">
        <f>IF(SUMPRODUCT(--ISNUMBER(SEARCH({"lo que tenemos","estas ofertas","algo especial","ofertas únicas","que preparamos","no te quedes","echa un vistazo"},F457)))&gt;0,"Sí","No")</f>
        <v>No</v>
      </c>
      <c r="AO457" s="102">
        <f t="shared" si="188"/>
        <v>52</v>
      </c>
      <c r="AP457" s="102">
        <f t="shared" si="189"/>
        <v>7</v>
      </c>
      <c r="AQ457" s="102">
        <f>SUMPRODUCT(LEN(E457)-LEN(SUBSTITUTE(E457,{"!","¡","?","¿",":",",",".","%","·","-",";"},"")))</f>
        <v>2</v>
      </c>
      <c r="AR457" s="102" t="str">
        <f t="shared" si="190"/>
        <v>Sí</v>
      </c>
      <c r="AS457" s="102" t="str">
        <f t="shared" si="191"/>
        <v>No</v>
      </c>
      <c r="AT457" s="102" t="str">
        <f>IF(SUMPRODUCT(--ISNUMBER(FIND({"0","1","2","3","4","5","6","7","8","9"},E457)))&gt;0,"Con cifra concreta",IF(OR(ISNUMBER(FIND("?",E457)),ISNUMBER(FIND("¿",E457))),"Pregunta abierta",IF(SUMPRODUCT(--ISNUMBER(SEARCH({" hoy ","horas","tiempo limitado","antes de que","se acab","se agot","finalic","última oportunidad","oportunidad única","relámpago","express","no esperes","no volver","no parpadees"," ya ","últimas horas","últimas unidades"," ahora "},AF457)))&gt;0,"Solo urgencia, sin cifra",IF(SUMPRODUCT(--ISNUMBER(SEARCH({"recompensa","sorpresa","regalo","lealtad","detalle","gracias","pensamos en ti","para ti"},E457)))&gt;0,"Recompensa o sorpresa","Otro: beneficio o novedad"))))</f>
        <v>Otro: beneficio o novedad</v>
      </c>
    </row>
    <row r="458" spans="1:46" x14ac:dyDescent="0.2">
      <c r="A458" s="104" t="s">
        <v>1329</v>
      </c>
      <c r="B458" s="104" t="s">
        <v>274</v>
      </c>
      <c r="C458" s="104" t="s">
        <v>980</v>
      </c>
      <c r="D458" s="104" t="s">
        <v>824</v>
      </c>
      <c r="E458" s="104" t="s">
        <v>453</v>
      </c>
      <c r="F458" s="104" t="s">
        <v>454</v>
      </c>
      <c r="G458" s="105">
        <v>111336</v>
      </c>
      <c r="H458" s="105">
        <v>25206</v>
      </c>
      <c r="I458" s="105">
        <v>12224</v>
      </c>
      <c r="J458" s="106">
        <v>9.41</v>
      </c>
      <c r="K458" s="106">
        <v>2.11</v>
      </c>
      <c r="L458" s="107">
        <v>541.48</v>
      </c>
      <c r="M458" s="108">
        <f t="shared" si="168"/>
        <v>22.639577495149819</v>
      </c>
      <c r="N458" s="108">
        <f t="shared" si="169"/>
        <v>10.979377739455343</v>
      </c>
      <c r="O458" s="108">
        <f t="shared" si="170"/>
        <v>48.496389748472588</v>
      </c>
      <c r="P458" s="108">
        <f t="shared" si="171"/>
        <v>4.863476323920386</v>
      </c>
      <c r="Q458" s="108">
        <f t="shared" si="172"/>
        <v>39.210446566150395</v>
      </c>
      <c r="R458" s="108">
        <f t="shared" si="173"/>
        <v>31.113650744455075</v>
      </c>
      <c r="S458" s="101">
        <f t="shared" si="174"/>
        <v>45875</v>
      </c>
      <c r="T458" s="102" t="str">
        <f t="shared" si="175"/>
        <v>Agosto</v>
      </c>
      <c r="U458" s="102" t="str">
        <f t="shared" si="176"/>
        <v>Miércoles</v>
      </c>
      <c r="V458" s="102">
        <f t="shared" si="177"/>
        <v>10</v>
      </c>
      <c r="W458" s="102" t="str">
        <f t="shared" si="178"/>
        <v>Resto del mes</v>
      </c>
      <c r="X458" s="102">
        <f t="shared" si="179"/>
        <v>28</v>
      </c>
      <c r="Y458" s="102" t="str">
        <f t="shared" si="180"/>
        <v>Sí</v>
      </c>
      <c r="Z458" s="102" t="str">
        <f>CHOOSE(MATCH(B458,{"Customer Appreciation","Exclusive Offers","Flash Sale","Holiday Discounts","New Product Launch","Newsletter"},0),"Fidelizar","Vender","Vender","Vender","Lanzar","Educar")</f>
        <v>Fidelizar</v>
      </c>
      <c r="AA458" s="102" t="str">
        <f t="shared" si="181"/>
        <v>100 a 200 mil</v>
      </c>
      <c r="AB458" s="102">
        <f>COUNTIFS($E$5:$E$493,E458,$S$5:$S$493,"&lt;"&amp;S458)+COUNTIFS($E$5:E458,E458,$S$5:S458,S458)</f>
        <v>4</v>
      </c>
      <c r="AC458" s="102">
        <f t="shared" si="182"/>
        <v>20</v>
      </c>
      <c r="AD458" s="102" t="str">
        <f t="shared" si="183"/>
        <v>Primer tercio</v>
      </c>
      <c r="AE458" s="103">
        <f t="shared" si="184"/>
        <v>-16.570869071000576</v>
      </c>
      <c r="AF458" s="102" t="str">
        <f t="shared" si="185"/>
        <v xml:space="preserve">  pensamos en ti  descubre estas sorpresas exclusivas </v>
      </c>
      <c r="AG458" s="102" t="str">
        <f t="shared" si="186"/>
        <v xml:space="preserve"> ofertas exclusivas por tu lealtad a l'oréal   aprovecha  </v>
      </c>
      <c r="AH458" s="102" t="str">
        <f>IF(SUMPRODUCT(--(LEFT(IF(LEFT(LOWER(E458),1)="¡",MID(LOWER(E458),2,300),LOWER(E458)),LEN({"actualizaci","el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458" s="102" t="str">
        <f>IF(OR(SUMPRODUCT(--ISNUMBER(SEARCH({"descuento","oferta","ahorr","precio"," sale ","flash","deals"},AF458)))&gt;0,SUMPRODUCT(--ISNUMBER(SEARCH({"descuento","oferta","ahorr","precio"," sale ","flash","deals"},AG458)))&gt;0),"Sí","No")</f>
        <v>Sí</v>
      </c>
      <c r="AJ458" s="102" t="str">
        <f>IF(SUMPRODUCT(--ISNUMBER(SEARCH({" hoy ","horas","tiempo limitado","antes de que","se acab","se agot","finalic","última oportunidad","oportunidad única","relámpago","express","no esperes","no volver","no parpadees"},AF458)))&gt;0,"Sí","No")</f>
        <v>No</v>
      </c>
      <c r="AK458" s="102" t="str">
        <f>IF(SUMPRODUCT(--ISNUMBER(SEARCH({" hoy ","horas","tiempo limitado","antes de que","se acab","se agot","finalic","última oportunidad","oportunidad única","relámpago","express","no esperes","no volver","no parpadees"},AG458)))&gt;0,"Sí","No")</f>
        <v>No</v>
      </c>
      <c r="AL458" s="102" t="str">
        <f t="shared" si="187"/>
        <v>Descuento sin tiempo límite</v>
      </c>
      <c r="AM458" s="102" t="str">
        <f>IF(SUMPRODUCT(--ISNUMBER(SEARCH({"0","1","2","3","4","5","6","7","8","9","favorit","maquillaje","piel","cabello","productos","belleza","regalo"},E458)))&gt;0,"Sí","No")</f>
        <v>No</v>
      </c>
      <c r="AN458" s="102" t="str">
        <f>IF(SUMPRODUCT(--ISNUMBER(SEARCH({"lo que tenemos","estas ofertas","algo especial","ofertas únicas","que preparamos","no te quedes","echa un vistazo"},F458)))&gt;0,"Sí","No")</f>
        <v>No</v>
      </c>
      <c r="AO458" s="102">
        <f t="shared" si="188"/>
        <v>52</v>
      </c>
      <c r="AP458" s="102">
        <f t="shared" si="189"/>
        <v>7</v>
      </c>
      <c r="AQ458" s="102">
        <f>SUMPRODUCT(LEN(E458)-LEN(SUBSTITUTE(E458,{"!","¡","?","¿",":",",",".","%","·","-",";"},"")))</f>
        <v>2</v>
      </c>
      <c r="AR458" s="102" t="str">
        <f t="shared" si="190"/>
        <v>Sí</v>
      </c>
      <c r="AS458" s="102" t="str">
        <f t="shared" si="191"/>
        <v>No</v>
      </c>
      <c r="AT458" s="102" t="str">
        <f>IF(SUMPRODUCT(--ISNUMBER(FIND({"0","1","2","3","4","5","6","7","8","9"},E458)))&gt;0,"Con cifra concreta",IF(OR(ISNUMBER(FIND("?",E458)),ISNUMBER(FIND("¿",E458))),"Pregunta abierta",IF(SUMPRODUCT(--ISNUMBER(SEARCH({" hoy ","horas","tiempo limitado","antes de que","se acab","se agot","finalic","última oportunidad","oportunidad única","relámpago","express","no esperes","no volver","no parpadees"," ya ","últimas horas","últimas unidades"," ahora "},AF458)))&gt;0,"Solo urgencia, sin cifra",IF(SUMPRODUCT(--ISNUMBER(SEARCH({"recompensa","sorpresa","regalo","lealtad","detalle","gracias","pensamos en ti","para ti"},E458)))&gt;0,"Recompensa o sorpresa","Otro: beneficio o novedad"))))</f>
        <v>Recompensa o sorpresa</v>
      </c>
    </row>
    <row r="459" spans="1:46" x14ac:dyDescent="0.2">
      <c r="A459" s="96" t="s">
        <v>1330</v>
      </c>
      <c r="B459" s="96" t="s">
        <v>277</v>
      </c>
      <c r="C459" s="96" t="s">
        <v>815</v>
      </c>
      <c r="D459" s="96" t="s">
        <v>764</v>
      </c>
      <c r="E459" s="96" t="s">
        <v>469</v>
      </c>
      <c r="F459" s="96" t="s">
        <v>470</v>
      </c>
      <c r="G459" s="97">
        <v>21210</v>
      </c>
      <c r="H459" s="97">
        <v>8729</v>
      </c>
      <c r="I459" s="97">
        <v>1996</v>
      </c>
      <c r="J459" s="98">
        <v>8.4700000000000006</v>
      </c>
      <c r="K459" s="98">
        <v>3.56</v>
      </c>
      <c r="L459" s="99">
        <v>22065.69</v>
      </c>
      <c r="M459" s="100">
        <f t="shared" si="168"/>
        <v>41.155115511551152</v>
      </c>
      <c r="N459" s="100">
        <f t="shared" si="169"/>
        <v>9.410655351249412</v>
      </c>
      <c r="O459" s="100">
        <f t="shared" si="170"/>
        <v>22.866307709932411</v>
      </c>
      <c r="P459" s="100">
        <f t="shared" si="171"/>
        <v>1040.3437057991514</v>
      </c>
      <c r="Q459" s="100">
        <f t="shared" si="172"/>
        <v>29.233022524783024</v>
      </c>
      <c r="R459" s="100">
        <f t="shared" si="173"/>
        <v>30.71114383300629</v>
      </c>
      <c r="S459" s="101">
        <f t="shared" si="174"/>
        <v>45959</v>
      </c>
      <c r="T459" s="102" t="str">
        <f t="shared" si="175"/>
        <v>Octubre</v>
      </c>
      <c r="U459" s="102" t="str">
        <f t="shared" si="176"/>
        <v>Miércoles</v>
      </c>
      <c r="V459" s="102">
        <f t="shared" si="177"/>
        <v>15</v>
      </c>
      <c r="W459" s="102" t="str">
        <f t="shared" si="178"/>
        <v>Resto del mes</v>
      </c>
      <c r="X459" s="102">
        <f t="shared" si="179"/>
        <v>27</v>
      </c>
      <c r="Y459" s="102" t="str">
        <f t="shared" si="180"/>
        <v>Sí</v>
      </c>
      <c r="Z459" s="102" t="str">
        <f>CHOOSE(MATCH(B459,{"Customer Appreciation","Exclusive Offers","Flash Sale","Holiday Discounts","New Product Launch","Newsletter"},0),"Fidelizar","Vender","Vender","Vender","Lanzar","Educar")</f>
        <v>Vender</v>
      </c>
      <c r="AA459" s="102" t="str">
        <f t="shared" si="181"/>
        <v>Menos de 100 mil</v>
      </c>
      <c r="AB459" s="102">
        <f>COUNTIFS($E$5:$E$493,E459,$S$5:$S$493,"&lt;"&amp;S459)+COUNTIFS($E$5:E459,E459,$S$5:S459,S459)</f>
        <v>20</v>
      </c>
      <c r="AC459" s="102">
        <f t="shared" si="182"/>
        <v>20</v>
      </c>
      <c r="AD459" s="102" t="str">
        <f t="shared" si="183"/>
        <v>Último tercio</v>
      </c>
      <c r="AE459" s="103">
        <f t="shared" si="184"/>
        <v>11.922092986768128</v>
      </c>
      <c r="AF459" s="102" t="str">
        <f t="shared" si="185"/>
        <v xml:space="preserve">  celebra con nosotros  descuentos festivos para regalar </v>
      </c>
      <c r="AG459" s="102" t="str">
        <f t="shared" si="186"/>
        <v xml:space="preserve"> regalos perfectos y ofertas que te encantarán   descubre más  </v>
      </c>
      <c r="AH459" s="102" t="str">
        <f>IF(SUMPRODUCT(--(LEFT(IF(LEFT(LOWER(E459),1)="¡",MID(LOWER(E459),2,300),LOWER(E459)),LEN({"actualizaci","el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459" s="102" t="str">
        <f>IF(OR(SUMPRODUCT(--ISNUMBER(SEARCH({"descuento","oferta","ahorr","precio"," sale ","flash","deals"},AF459)))&gt;0,SUMPRODUCT(--ISNUMBER(SEARCH({"descuento","oferta","ahorr","precio"," sale ","flash","deals"},AG459)))&gt;0),"Sí","No")</f>
        <v>Sí</v>
      </c>
      <c r="AJ459" s="102" t="str">
        <f>IF(SUMPRODUCT(--ISNUMBER(SEARCH({" hoy ","horas","tiempo limitado","antes de que","se acab","se agot","finalic","última oportunidad","oportunidad única","relámpago","express","no esperes","no volver","no parpadees"},AF459)))&gt;0,"Sí","No")</f>
        <v>No</v>
      </c>
      <c r="AK459" s="102" t="str">
        <f>IF(SUMPRODUCT(--ISNUMBER(SEARCH({" hoy ","horas","tiempo limitado","antes de que","se acab","se agot","finalic","última oportunidad","oportunidad única","relámpago","express","no esperes","no volver","no parpadees"},AG459)))&gt;0,"Sí","No")</f>
        <v>No</v>
      </c>
      <c r="AL459" s="102" t="str">
        <f t="shared" si="187"/>
        <v>Descuento sin tiempo límite</v>
      </c>
      <c r="AM459" s="102" t="str">
        <f>IF(SUMPRODUCT(--ISNUMBER(SEARCH({"0","1","2","3","4","5","6","7","8","9","favorit","maquillaje","piel","cabello","productos","belleza","regalo"},E459)))&gt;0,"Sí","No")</f>
        <v>No</v>
      </c>
      <c r="AN459" s="102" t="str">
        <f>IF(SUMPRODUCT(--ISNUMBER(SEARCH({"lo que tenemos","estas ofertas","algo especial","ofertas únicas","que preparamos","no te quedes","echa un vistazo"},F459)))&gt;0,"Sí","No")</f>
        <v>No</v>
      </c>
      <c r="AO459" s="102">
        <f t="shared" si="188"/>
        <v>55</v>
      </c>
      <c r="AP459" s="102">
        <f t="shared" si="189"/>
        <v>7</v>
      </c>
      <c r="AQ459" s="102">
        <f>SUMPRODUCT(LEN(E459)-LEN(SUBSTITUTE(E459,{"!","¡","?","¿",":",",",".","%","·","-",";"},"")))</f>
        <v>2</v>
      </c>
      <c r="AR459" s="102" t="str">
        <f t="shared" si="190"/>
        <v>Sí</v>
      </c>
      <c r="AS459" s="102" t="str">
        <f t="shared" si="191"/>
        <v>No</v>
      </c>
      <c r="AT459" s="102" t="str">
        <f>IF(SUMPRODUCT(--ISNUMBER(FIND({"0","1","2","3","4","5","6","7","8","9"},E459)))&gt;0,"Con cifra concreta",IF(OR(ISNUMBER(FIND("?",E459)),ISNUMBER(FIND("¿",E459))),"Pregunta abierta",IF(SUMPRODUCT(--ISNUMBER(SEARCH({" hoy ","horas","tiempo limitado","antes de que","se acab","se agot","finalic","última oportunidad","oportunidad única","relámpago","express","no esperes","no volver","no parpadees"," ya ","últimas horas","últimas unidades"," ahora "},AF459)))&gt;0,"Solo urgencia, sin cifra",IF(SUMPRODUCT(--ISNUMBER(SEARCH({"recompensa","sorpresa","regalo","lealtad","detalle","gracias","pensamos en ti","para ti"},E459)))&gt;0,"Recompensa o sorpresa","Otro: beneficio o novedad"))))</f>
        <v>Otro: beneficio o novedad</v>
      </c>
    </row>
    <row r="460" spans="1:46" x14ac:dyDescent="0.2">
      <c r="A460" s="104" t="s">
        <v>1331</v>
      </c>
      <c r="B460" s="104" t="s">
        <v>274</v>
      </c>
      <c r="C460" s="104" t="s">
        <v>869</v>
      </c>
      <c r="D460" s="104" t="s">
        <v>821</v>
      </c>
      <c r="E460" s="104" t="s">
        <v>371</v>
      </c>
      <c r="F460" s="104" t="s">
        <v>452</v>
      </c>
      <c r="G460" s="105">
        <v>158054</v>
      </c>
      <c r="H460" s="105">
        <v>78198</v>
      </c>
      <c r="I460" s="105">
        <v>8111</v>
      </c>
      <c r="J460" s="106">
        <v>7.15</v>
      </c>
      <c r="K460" s="106">
        <v>4.24</v>
      </c>
      <c r="L460" s="107">
        <v>89357.38</v>
      </c>
      <c r="M460" s="108">
        <f t="shared" si="168"/>
        <v>49.475495716653803</v>
      </c>
      <c r="N460" s="108">
        <f t="shared" si="169"/>
        <v>5.1317904007491109</v>
      </c>
      <c r="O460" s="108">
        <f t="shared" si="170"/>
        <v>10.372388040614849</v>
      </c>
      <c r="P460" s="108">
        <f t="shared" si="171"/>
        <v>565.35981373454649</v>
      </c>
      <c r="Q460" s="108">
        <f t="shared" si="172"/>
        <v>40.72142758959253</v>
      </c>
      <c r="R460" s="108">
        <f t="shared" si="173"/>
        <v>31.113650744455075</v>
      </c>
      <c r="S460" s="101">
        <f t="shared" si="174"/>
        <v>45917</v>
      </c>
      <c r="T460" s="102" t="str">
        <f t="shared" si="175"/>
        <v>Septiembre</v>
      </c>
      <c r="U460" s="102" t="str">
        <f t="shared" si="176"/>
        <v>Miércoles</v>
      </c>
      <c r="V460" s="102">
        <f t="shared" si="177"/>
        <v>8</v>
      </c>
      <c r="W460" s="102" t="str">
        <f t="shared" si="178"/>
        <v>Días después del pago</v>
      </c>
      <c r="X460" s="102">
        <f t="shared" si="179"/>
        <v>26</v>
      </c>
      <c r="Y460" s="102" t="str">
        <f t="shared" si="180"/>
        <v>Sí</v>
      </c>
      <c r="Z460" s="102" t="str">
        <f>CHOOSE(MATCH(B460,{"Customer Appreciation","Exclusive Offers","Flash Sale","Holiday Discounts","New Product Launch","Newsletter"},0),"Fidelizar","Vender","Vender","Vender","Lanzar","Educar")</f>
        <v>Fidelizar</v>
      </c>
      <c r="AA460" s="102" t="str">
        <f t="shared" si="181"/>
        <v>100 a 200 mil</v>
      </c>
      <c r="AB460" s="102">
        <f>COUNTIFS($E$5:$E$493,E460,$S$5:$S$493,"&lt;"&amp;S460)+COUNTIFS($E$5:E460,E460,$S$5:S460,S460)</f>
        <v>11</v>
      </c>
      <c r="AC460" s="102">
        <f t="shared" si="182"/>
        <v>16</v>
      </c>
      <c r="AD460" s="102" t="str">
        <f t="shared" si="183"/>
        <v>Último tercio</v>
      </c>
      <c r="AE460" s="103">
        <f t="shared" si="184"/>
        <v>8.7540681270612737</v>
      </c>
      <c r="AF460" s="102" t="str">
        <f t="shared" si="185"/>
        <v xml:space="preserve">  tu lealtad tiene recompensa  descúbrela  sorpresas para ti </v>
      </c>
      <c r="AG460" s="102" t="str">
        <f t="shared" si="186"/>
        <v xml:space="preserve"> ofertas exclusivas para nuestros clientes más especiales   no te las pierdas  </v>
      </c>
      <c r="AH460" s="102" t="str">
        <f>IF(SUMPRODUCT(--(LEFT(IF(LEFT(LOWER(E460),1)="¡",MID(LOWER(E460),2,300),LOWER(E460)),LEN({"actualizaci","el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460" s="102" t="str">
        <f>IF(OR(SUMPRODUCT(--ISNUMBER(SEARCH({"descuento","oferta","ahorr","precio"," sale ","flash","deals"},AF460)))&gt;0,SUMPRODUCT(--ISNUMBER(SEARCH({"descuento","oferta","ahorr","precio"," sale ","flash","deals"},AG460)))&gt;0),"Sí","No")</f>
        <v>Sí</v>
      </c>
      <c r="AJ460" s="102" t="str">
        <f>IF(SUMPRODUCT(--ISNUMBER(SEARCH({" hoy ","horas","tiempo limitado","antes de que","se acab","se agot","finalic","última oportunidad","oportunidad única","relámpago","express","no esperes","no volver","no parpadees"},AF460)))&gt;0,"Sí","No")</f>
        <v>No</v>
      </c>
      <c r="AK460" s="102" t="str">
        <f>IF(SUMPRODUCT(--ISNUMBER(SEARCH({" hoy ","horas","tiempo limitado","antes de que","se acab","se agot","finalic","última oportunidad","oportunidad única","relámpago","express","no esperes","no volver","no parpadees"},AG460)))&gt;0,"Sí","No")</f>
        <v>No</v>
      </c>
      <c r="AL460" s="102" t="str">
        <f t="shared" si="187"/>
        <v>Descuento sin tiempo límite</v>
      </c>
      <c r="AM460" s="102" t="str">
        <f>IF(SUMPRODUCT(--ISNUMBER(SEARCH({"0","1","2","3","4","5","6","7","8","9","favorit","maquillaje","piel","cabello","productos","belleza","regalo"},E460)))&gt;0,"Sí","No")</f>
        <v>No</v>
      </c>
      <c r="AN460" s="102" t="str">
        <f>IF(SUMPRODUCT(--ISNUMBER(SEARCH({"lo que tenemos","estas ofertas","algo especial","ofertas únicas","que preparamos","no te quedes","echa un vistazo"},F460)))&gt;0,"Sí","No")</f>
        <v>No</v>
      </c>
      <c r="AO460" s="102">
        <f t="shared" si="188"/>
        <v>59</v>
      </c>
      <c r="AP460" s="102">
        <f t="shared" si="189"/>
        <v>8</v>
      </c>
      <c r="AQ460" s="102">
        <f>SUMPRODUCT(LEN(E460)-LEN(SUBSTITUTE(E460,{"!","¡","?","¿",":",",",".","%","·","-",";"},"")))</f>
        <v>3</v>
      </c>
      <c r="AR460" s="102" t="str">
        <f t="shared" si="190"/>
        <v>Sí</v>
      </c>
      <c r="AS460" s="102" t="str">
        <f t="shared" si="191"/>
        <v>No</v>
      </c>
      <c r="AT460" s="102" t="str">
        <f>IF(SUMPRODUCT(--ISNUMBER(FIND({"0","1","2","3","4","5","6","7","8","9"},E460)))&gt;0,"Con cifra concreta",IF(OR(ISNUMBER(FIND("?",E460)),ISNUMBER(FIND("¿",E460))),"Pregunta abierta",IF(SUMPRODUCT(--ISNUMBER(SEARCH({" hoy ","horas","tiempo limitado","antes de que","se acab","se agot","finalic","última oportunidad","oportunidad única","relámpago","express","no esperes","no volver","no parpadees"," ya ","últimas horas","últimas unidades"," ahora "},AF460)))&gt;0,"Solo urgencia, sin cifra",IF(SUMPRODUCT(--ISNUMBER(SEARCH({"recompensa","sorpresa","regalo","lealtad","detalle","gracias","pensamos en ti","para ti"},E460)))&gt;0,"Recompensa o sorpresa","Otro: beneficio o novedad"))))</f>
        <v>Recompensa o sorpresa</v>
      </c>
    </row>
    <row r="461" spans="1:46" x14ac:dyDescent="0.2">
      <c r="A461" s="96" t="s">
        <v>1332</v>
      </c>
      <c r="B461" s="96" t="s">
        <v>279</v>
      </c>
      <c r="C461" s="96" t="s">
        <v>928</v>
      </c>
      <c r="D461" s="96" t="s">
        <v>715</v>
      </c>
      <c r="E461" s="96" t="s">
        <v>370</v>
      </c>
      <c r="F461" s="96" t="s">
        <v>485</v>
      </c>
      <c r="G461" s="97">
        <v>450148</v>
      </c>
      <c r="H461" s="97">
        <v>34800</v>
      </c>
      <c r="I461" s="97">
        <v>9633</v>
      </c>
      <c r="J461" s="98">
        <v>3.28</v>
      </c>
      <c r="K461" s="98">
        <v>4.5</v>
      </c>
      <c r="L461" s="99">
        <v>77158.81</v>
      </c>
      <c r="M461" s="100">
        <f t="shared" si="168"/>
        <v>7.7307907621493381</v>
      </c>
      <c r="N461" s="100">
        <f t="shared" si="169"/>
        <v>2.139962856660476</v>
      </c>
      <c r="O461" s="100">
        <f t="shared" si="170"/>
        <v>27.681034482758619</v>
      </c>
      <c r="P461" s="100">
        <f t="shared" si="171"/>
        <v>171.40764815127469</v>
      </c>
      <c r="Q461" s="100">
        <f t="shared" si="172"/>
        <v>15.908213539730554</v>
      </c>
      <c r="R461" s="100">
        <f t="shared" si="173"/>
        <v>27.75136451093497</v>
      </c>
      <c r="S461" s="101">
        <f t="shared" si="174"/>
        <v>45883</v>
      </c>
      <c r="T461" s="102" t="str">
        <f t="shared" si="175"/>
        <v>Agosto</v>
      </c>
      <c r="U461" s="102" t="str">
        <f t="shared" si="176"/>
        <v>Jueves</v>
      </c>
      <c r="V461" s="102">
        <f t="shared" si="177"/>
        <v>11</v>
      </c>
      <c r="W461" s="102" t="str">
        <f t="shared" si="178"/>
        <v>Quincena</v>
      </c>
      <c r="X461" s="102">
        <f t="shared" si="179"/>
        <v>23</v>
      </c>
      <c r="Y461" s="102" t="str">
        <f t="shared" si="180"/>
        <v>Sí</v>
      </c>
      <c r="Z461" s="102" t="str">
        <f>CHOOSE(MATCH(B461,{"Customer Appreciation","Exclusive Offers","Flash Sale","Holiday Discounts","New Product Launch","Newsletter"},0),"Fidelizar","Vender","Vender","Vender","Lanzar","Educar")</f>
        <v>Educar</v>
      </c>
      <c r="AA461" s="102" t="str">
        <f t="shared" si="181"/>
        <v>Más de 400 mil</v>
      </c>
      <c r="AB461" s="102">
        <f>COUNTIFS($E$5:$E$493,E461,$S$5:$S$493,"&lt;"&amp;S461)+COUNTIFS($E$5:E461,E461,$S$5:S461,S461)</f>
        <v>4</v>
      </c>
      <c r="AC461" s="102">
        <f t="shared" si="182"/>
        <v>10</v>
      </c>
      <c r="AD461" s="102" t="str">
        <f t="shared" si="183"/>
        <v>Medio</v>
      </c>
      <c r="AE461" s="103">
        <f t="shared" si="184"/>
        <v>-8.1774227775812154</v>
      </c>
      <c r="AF461" s="102" t="str">
        <f t="shared" si="185"/>
        <v xml:space="preserve"> actualización de l'oréal   qué hay de nuevo en el mundo beauty  </v>
      </c>
      <c r="AG461" s="102" t="str">
        <f t="shared" si="186"/>
        <v xml:space="preserve"> no te quedes atrás con las últimas tendencias   descubre más  </v>
      </c>
      <c r="AH461" s="102" t="str">
        <f>IF(SUMPRODUCT(--(LEFT(IF(LEFT(LOWER(E461),1)="¡",MID(LOWER(E461),2,300),LOWER(E461)),LEN({"actualizaci","el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Sí</v>
      </c>
      <c r="AI461" s="102" t="str">
        <f>IF(OR(SUMPRODUCT(--ISNUMBER(SEARCH({"descuento","oferta","ahorr","precio"," sale ","flash","deals"},AF461)))&gt;0,SUMPRODUCT(--ISNUMBER(SEARCH({"descuento","oferta","ahorr","precio"," sale ","flash","deals"},AG461)))&gt;0),"Sí","No")</f>
        <v>No</v>
      </c>
      <c r="AJ461" s="102" t="str">
        <f>IF(SUMPRODUCT(--ISNUMBER(SEARCH({" hoy ","horas","tiempo limitado","antes de que","se acab","se agot","finalic","última oportunidad","oportunidad única","relámpago","express","no esperes","no volver","no parpadees"},AF461)))&gt;0,"Sí","No")</f>
        <v>No</v>
      </c>
      <c r="AK461" s="102" t="str">
        <f>IF(SUMPRODUCT(--ISNUMBER(SEARCH({" hoy ","horas","tiempo limitado","antes de que","se acab","se agot","finalic","última oportunidad","oportunidad única","relámpago","express","no esperes","no volver","no parpadees"},AG461)))&gt;0,"Sí","No")</f>
        <v>No</v>
      </c>
      <c r="AL461" s="102" t="str">
        <f t="shared" si="187"/>
        <v>Sin descuento</v>
      </c>
      <c r="AM461" s="102" t="str">
        <f>IF(SUMPRODUCT(--ISNUMBER(SEARCH({"0","1","2","3","4","5","6","7","8","9","favorit","maquillaje","piel","cabello","productos","belleza","regalo"},E461)))&gt;0,"Sí","No")</f>
        <v>No</v>
      </c>
      <c r="AN461" s="102" t="str">
        <f>IF(SUMPRODUCT(--ISNUMBER(SEARCH({"lo que tenemos","estas ofertas","algo especial","ofertas únicas","que preparamos","no te quedes","echa un vistazo"},F461)))&gt;0,"Sí","No")</f>
        <v>Sí</v>
      </c>
      <c r="AO461" s="102">
        <f t="shared" si="188"/>
        <v>63</v>
      </c>
      <c r="AP461" s="102">
        <f t="shared" si="189"/>
        <v>11</v>
      </c>
      <c r="AQ461" s="102">
        <f>SUMPRODUCT(LEN(E461)-LEN(SUBSTITUTE(E461,{"!","¡","?","¿",":",",",".","%","·","-",";"},"")))</f>
        <v>3</v>
      </c>
      <c r="AR461" s="102" t="str">
        <f t="shared" si="190"/>
        <v>No</v>
      </c>
      <c r="AS461" s="102" t="str">
        <f t="shared" si="191"/>
        <v>No</v>
      </c>
      <c r="AT461" s="102" t="str">
        <f>IF(SUMPRODUCT(--ISNUMBER(FIND({"0","1","2","3","4","5","6","7","8","9"},E461)))&gt;0,"Con cifra concreta",IF(OR(ISNUMBER(FIND("?",E461)),ISNUMBER(FIND("¿",E461))),"Pregunta abierta",IF(SUMPRODUCT(--ISNUMBER(SEARCH({" hoy ","horas","tiempo limitado","antes de que","se acab","se agot","finalic","última oportunidad","oportunidad única","relámpago","express","no esperes","no volver","no parpadees"," ya ","últimas horas","últimas unidades"," ahora "},AF461)))&gt;0,"Solo urgencia, sin cifra",IF(SUMPRODUCT(--ISNUMBER(SEARCH({"recompensa","sorpresa","regalo","lealtad","detalle","gracias","pensamos en ti","para ti"},E461)))&gt;0,"Recompensa o sorpresa","Otro: beneficio o novedad"))))</f>
        <v>Pregunta abierta</v>
      </c>
    </row>
    <row r="462" spans="1:46" x14ac:dyDescent="0.2">
      <c r="A462" s="104" t="s">
        <v>1333</v>
      </c>
      <c r="B462" s="104" t="s">
        <v>274</v>
      </c>
      <c r="C462" s="104" t="s">
        <v>944</v>
      </c>
      <c r="D462" s="104" t="s">
        <v>794</v>
      </c>
      <c r="E462" s="104" t="s">
        <v>372</v>
      </c>
      <c r="F462" s="104" t="s">
        <v>480</v>
      </c>
      <c r="G462" s="105">
        <v>452977</v>
      </c>
      <c r="H462" s="105">
        <v>24329</v>
      </c>
      <c r="I462" s="105">
        <v>20716</v>
      </c>
      <c r="J462" s="106">
        <v>1.52</v>
      </c>
      <c r="K462" s="106">
        <v>1.31</v>
      </c>
      <c r="L462" s="107">
        <v>89538.72</v>
      </c>
      <c r="M462" s="108">
        <f t="shared" si="168"/>
        <v>5.3709128719559711</v>
      </c>
      <c r="N462" s="108">
        <f t="shared" si="169"/>
        <v>4.5733006311578732</v>
      </c>
      <c r="O462" s="108">
        <f t="shared" si="170"/>
        <v>85.149410168934196</v>
      </c>
      <c r="P462" s="108">
        <f t="shared" si="171"/>
        <v>197.66725462882221</v>
      </c>
      <c r="Q462" s="108">
        <f t="shared" si="172"/>
        <v>20.724631699294946</v>
      </c>
      <c r="R462" s="108">
        <f t="shared" si="173"/>
        <v>31.113650744455075</v>
      </c>
      <c r="S462" s="101">
        <f t="shared" si="174"/>
        <v>45943</v>
      </c>
      <c r="T462" s="102" t="str">
        <f t="shared" si="175"/>
        <v>Octubre</v>
      </c>
      <c r="U462" s="102" t="str">
        <f t="shared" si="176"/>
        <v>Lunes</v>
      </c>
      <c r="V462" s="102">
        <f t="shared" si="177"/>
        <v>12</v>
      </c>
      <c r="W462" s="102" t="str">
        <f t="shared" si="178"/>
        <v>Resto del mes</v>
      </c>
      <c r="X462" s="102">
        <f t="shared" si="179"/>
        <v>23</v>
      </c>
      <c r="Y462" s="102" t="str">
        <f t="shared" si="180"/>
        <v>Sí</v>
      </c>
      <c r="Z462" s="102" t="str">
        <f>CHOOSE(MATCH(B462,{"Customer Appreciation","Exclusive Offers","Flash Sale","Holiday Discounts","New Product Launch","Newsletter"},0),"Fidelizar","Vender","Vender","Vender","Lanzar","Educar")</f>
        <v>Fidelizar</v>
      </c>
      <c r="AA462" s="102" t="str">
        <f t="shared" si="181"/>
        <v>Más de 400 mil</v>
      </c>
      <c r="AB462" s="102">
        <f>COUNTIFS($E$5:$E$493,E462,$S$5:$S$493,"&lt;"&amp;S462)+COUNTIFS($E$5:E462,E462,$S$5:S462,S462)</f>
        <v>14</v>
      </c>
      <c r="AC462" s="102">
        <f t="shared" si="182"/>
        <v>14</v>
      </c>
      <c r="AD462" s="102" t="str">
        <f t="shared" si="183"/>
        <v>Último tercio</v>
      </c>
      <c r="AE462" s="103">
        <f t="shared" si="184"/>
        <v>-15.353718827338975</v>
      </c>
      <c r="AF462" s="102" t="str">
        <f t="shared" si="185"/>
        <v xml:space="preserve">  un pequeño detalle para agradecerte tu lealtad  l'oréal </v>
      </c>
      <c r="AG462" s="102" t="str">
        <f t="shared" si="186"/>
        <v xml:space="preserve"> echa un vistazo a lo que tenemos para ti   te va a encantar  </v>
      </c>
      <c r="AH462" s="102" t="str">
        <f>IF(SUMPRODUCT(--(LEFT(IF(LEFT(LOWER(E462),1)="¡",MID(LOWER(E462),2,300),LOWER(E462)),LEN({"actualizaci","el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Sí</v>
      </c>
      <c r="AI462" s="102" t="str">
        <f>IF(OR(SUMPRODUCT(--ISNUMBER(SEARCH({"descuento","oferta","ahorr","precio"," sale ","flash","deals"},AF462)))&gt;0,SUMPRODUCT(--ISNUMBER(SEARCH({"descuento","oferta","ahorr","precio"," sale ","flash","deals"},AG462)))&gt;0),"Sí","No")</f>
        <v>No</v>
      </c>
      <c r="AJ462" s="102" t="str">
        <f>IF(SUMPRODUCT(--ISNUMBER(SEARCH({" hoy ","horas","tiempo limitado","antes de que","se acab","se agot","finalic","última oportunidad","oportunidad única","relámpago","express","no esperes","no volver","no parpadees"},AF462)))&gt;0,"Sí","No")</f>
        <v>No</v>
      </c>
      <c r="AK462" s="102" t="str">
        <f>IF(SUMPRODUCT(--ISNUMBER(SEARCH({" hoy ","horas","tiempo limitado","antes de que","se acab","se agot","finalic","última oportunidad","oportunidad única","relámpago","express","no esperes","no volver","no parpadees"},AG462)))&gt;0,"Sí","No")</f>
        <v>No</v>
      </c>
      <c r="AL462" s="102" t="str">
        <f t="shared" si="187"/>
        <v>Sin descuento</v>
      </c>
      <c r="AM462" s="102" t="str">
        <f>IF(SUMPRODUCT(--ISNUMBER(SEARCH({"0","1","2","3","4","5","6","7","8","9","favorit","maquillaje","piel","cabello","productos","belleza","regalo"},E462)))&gt;0,"Sí","No")</f>
        <v>No</v>
      </c>
      <c r="AN462" s="102" t="str">
        <f>IF(SUMPRODUCT(--ISNUMBER(SEARCH({"lo que tenemos","estas ofertas","algo especial","ofertas únicas","que preparamos","no te quedes","echa un vistazo"},F462)))&gt;0,"Sí","No")</f>
        <v>Sí</v>
      </c>
      <c r="AO462" s="102">
        <f t="shared" si="188"/>
        <v>56</v>
      </c>
      <c r="AP462" s="102">
        <f t="shared" si="189"/>
        <v>8</v>
      </c>
      <c r="AQ462" s="102">
        <f>SUMPRODUCT(LEN(E462)-LEN(SUBSTITUTE(E462,{"!","¡","?","¿",":",",",".","%","·","-",";"},"")))</f>
        <v>2</v>
      </c>
      <c r="AR462" s="102" t="str">
        <f t="shared" si="190"/>
        <v>Sí</v>
      </c>
      <c r="AS462" s="102" t="str">
        <f t="shared" si="191"/>
        <v>No</v>
      </c>
      <c r="AT462" s="102" t="str">
        <f>IF(SUMPRODUCT(--ISNUMBER(FIND({"0","1","2","3","4","5","6","7","8","9"},E462)))&gt;0,"Con cifra concreta",IF(OR(ISNUMBER(FIND("?",E462)),ISNUMBER(FIND("¿",E462))),"Pregunta abierta",IF(SUMPRODUCT(--ISNUMBER(SEARCH({" hoy ","horas","tiempo limitado","antes de que","se acab","se agot","finalic","última oportunidad","oportunidad única","relámpago","express","no esperes","no volver","no parpadees"," ya ","últimas horas","últimas unidades"," ahora "},AF462)))&gt;0,"Solo urgencia, sin cifra",IF(SUMPRODUCT(--ISNUMBER(SEARCH({"recompensa","sorpresa","regalo","lealtad","detalle","gracias","pensamos en ti","para ti"},E462)))&gt;0,"Recompensa o sorpresa","Otro: beneficio o novedad"))))</f>
        <v>Recompensa o sorpresa</v>
      </c>
    </row>
    <row r="463" spans="1:46" x14ac:dyDescent="0.2">
      <c r="A463" s="96" t="s">
        <v>1334</v>
      </c>
      <c r="B463" s="96" t="s">
        <v>278</v>
      </c>
      <c r="C463" s="96" t="s">
        <v>889</v>
      </c>
      <c r="D463" s="96" t="s">
        <v>761</v>
      </c>
      <c r="E463" s="96" t="s">
        <v>368</v>
      </c>
      <c r="F463" s="96" t="s">
        <v>471</v>
      </c>
      <c r="G463" s="97">
        <v>62252</v>
      </c>
      <c r="H463" s="97">
        <v>12773</v>
      </c>
      <c r="I463" s="97">
        <v>9324</v>
      </c>
      <c r="J463" s="98">
        <v>7.12</v>
      </c>
      <c r="K463" s="98">
        <v>3.89</v>
      </c>
      <c r="L463" s="99">
        <v>82054.7</v>
      </c>
      <c r="M463" s="100">
        <f t="shared" si="168"/>
        <v>20.518216282207803</v>
      </c>
      <c r="N463" s="100">
        <f t="shared" si="169"/>
        <v>14.9778320375249</v>
      </c>
      <c r="O463" s="100">
        <f t="shared" si="170"/>
        <v>72.997729585845136</v>
      </c>
      <c r="P463" s="100">
        <f t="shared" si="171"/>
        <v>1318.1054423954251</v>
      </c>
      <c r="Q463" s="100">
        <f t="shared" si="172"/>
        <v>23.315840784070005</v>
      </c>
      <c r="R463" s="100">
        <f t="shared" si="173"/>
        <v>29.458247936272421</v>
      </c>
      <c r="S463" s="101">
        <f t="shared" si="174"/>
        <v>45908</v>
      </c>
      <c r="T463" s="102" t="str">
        <f t="shared" si="175"/>
        <v>Septiembre</v>
      </c>
      <c r="U463" s="102" t="str">
        <f t="shared" si="176"/>
        <v>Lunes</v>
      </c>
      <c r="V463" s="102">
        <f t="shared" si="177"/>
        <v>10</v>
      </c>
      <c r="W463" s="102" t="str">
        <f t="shared" si="178"/>
        <v>Resto del mes</v>
      </c>
      <c r="X463" s="102">
        <f t="shared" si="179"/>
        <v>28</v>
      </c>
      <c r="Y463" s="102" t="str">
        <f t="shared" si="180"/>
        <v>Sí</v>
      </c>
      <c r="Z463" s="102" t="str">
        <f>CHOOSE(MATCH(B463,{"Customer Appreciation","Exclusive Offers","Flash Sale","Holiday Discounts","New Product Launch","Newsletter"},0),"Fidelizar","Vender","Vender","Vender","Lanzar","Educar")</f>
        <v>Lanzar</v>
      </c>
      <c r="AA463" s="102" t="str">
        <f t="shared" si="181"/>
        <v>Menos de 100 mil</v>
      </c>
      <c r="AB463" s="102">
        <f>COUNTIFS($E$5:$E$493,E463,$S$5:$S$493,"&lt;"&amp;S463)+COUNTIFS($E$5:E463,E463,$S$5:S463,S463)</f>
        <v>14</v>
      </c>
      <c r="AC463" s="102">
        <f t="shared" si="182"/>
        <v>33</v>
      </c>
      <c r="AD463" s="102" t="str">
        <f t="shared" si="183"/>
        <v>Medio</v>
      </c>
      <c r="AE463" s="103">
        <f t="shared" si="184"/>
        <v>-2.7976245018622024</v>
      </c>
      <c r="AF463" s="102" t="str">
        <f t="shared" si="185"/>
        <v xml:space="preserve"> presentamos  nuestro último lanzamiento de belleza  imperdible  </v>
      </c>
      <c r="AG463" s="102" t="str">
        <f t="shared" si="186"/>
        <v xml:space="preserve"> una innovación que cambiará tu rutina   sé de los primeros  </v>
      </c>
      <c r="AH463" s="102" t="str">
        <f>IF(SUMPRODUCT(--(LEFT(IF(LEFT(LOWER(E463),1)="¡",MID(LOWER(E463),2,300),LOWER(E463)),LEN({"actualizaci","el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Sí</v>
      </c>
      <c r="AI463" s="102" t="str">
        <f>IF(OR(SUMPRODUCT(--ISNUMBER(SEARCH({"descuento","oferta","ahorr","precio"," sale ","flash","deals"},AF463)))&gt;0,SUMPRODUCT(--ISNUMBER(SEARCH({"descuento","oferta","ahorr","precio"," sale ","flash","deals"},AG463)))&gt;0),"Sí","No")</f>
        <v>No</v>
      </c>
      <c r="AJ463" s="102" t="str">
        <f>IF(SUMPRODUCT(--ISNUMBER(SEARCH({" hoy ","horas","tiempo limitado","antes de que","se acab","se agot","finalic","última oportunidad","oportunidad única","relámpago","express","no esperes","no volver","no parpadees"},AF463)))&gt;0,"Sí","No")</f>
        <v>No</v>
      </c>
      <c r="AK463" s="102" t="str">
        <f>IF(SUMPRODUCT(--ISNUMBER(SEARCH({" hoy ","horas","tiempo limitado","antes de que","se acab","se agot","finalic","última oportunidad","oportunidad única","relámpago","express","no esperes","no volver","no parpadees"},AG463)))&gt;0,"Sí","No")</f>
        <v>No</v>
      </c>
      <c r="AL463" s="102" t="str">
        <f t="shared" si="187"/>
        <v>Sin descuento</v>
      </c>
      <c r="AM463" s="102" t="str">
        <f>IF(SUMPRODUCT(--ISNUMBER(SEARCH({"0","1","2","3","4","5","6","7","8","9","favorit","maquillaje","piel","cabello","productos","belleza","regalo"},E463)))&gt;0,"Sí","No")</f>
        <v>Sí</v>
      </c>
      <c r="AN463" s="102" t="str">
        <f>IF(SUMPRODUCT(--ISNUMBER(SEARCH({"lo que tenemos","estas ofertas","algo especial","ofertas únicas","que preparamos","no te quedes","echa un vistazo"},F463)))&gt;0,"Sí","No")</f>
        <v>No</v>
      </c>
      <c r="AO463" s="102">
        <f t="shared" si="188"/>
        <v>63</v>
      </c>
      <c r="AP463" s="102">
        <f t="shared" si="189"/>
        <v>7</v>
      </c>
      <c r="AQ463" s="102">
        <f>SUMPRODUCT(LEN(E463)-LEN(SUBSTITUTE(E463,{"!","¡","?","¿",":",",",".","%","·","-",";"},"")))</f>
        <v>3</v>
      </c>
      <c r="AR463" s="102" t="str">
        <f t="shared" si="190"/>
        <v>No</v>
      </c>
      <c r="AS463" s="102" t="str">
        <f t="shared" si="191"/>
        <v>No</v>
      </c>
      <c r="AT463" s="102" t="str">
        <f>IF(SUMPRODUCT(--ISNUMBER(FIND({"0","1","2","3","4","5","6","7","8","9"},E463)))&gt;0,"Con cifra concreta",IF(OR(ISNUMBER(FIND("?",E463)),ISNUMBER(FIND("¿",E463))),"Pregunta abierta",IF(SUMPRODUCT(--ISNUMBER(SEARCH({" hoy ","horas","tiempo limitado","antes de que","se acab","se agot","finalic","última oportunidad","oportunidad única","relámpago","express","no esperes","no volver","no parpadees"," ya ","últimas horas","últimas unidades"," ahora "},AF463)))&gt;0,"Solo urgencia, sin cifra",IF(SUMPRODUCT(--ISNUMBER(SEARCH({"recompensa","sorpresa","regalo","lealtad","detalle","gracias","pensamos en ti","para ti"},E463)))&gt;0,"Recompensa o sorpresa","Otro: beneficio o novedad"))))</f>
        <v>Otro: beneficio o novedad</v>
      </c>
    </row>
    <row r="464" spans="1:46" x14ac:dyDescent="0.2">
      <c r="A464" s="104" t="s">
        <v>1335</v>
      </c>
      <c r="B464" s="104" t="s">
        <v>277</v>
      </c>
      <c r="C464" s="104" t="s">
        <v>891</v>
      </c>
      <c r="D464" s="104" t="s">
        <v>786</v>
      </c>
      <c r="E464" s="104" t="s">
        <v>461</v>
      </c>
      <c r="F464" s="104" t="s">
        <v>462</v>
      </c>
      <c r="G464" s="105">
        <v>486804</v>
      </c>
      <c r="H464" s="105">
        <v>141315</v>
      </c>
      <c r="I464" s="105">
        <v>78400</v>
      </c>
      <c r="J464" s="106">
        <v>6.18</v>
      </c>
      <c r="K464" s="106">
        <v>1.7</v>
      </c>
      <c r="L464" s="107">
        <v>64328.480000000003</v>
      </c>
      <c r="M464" s="108">
        <f t="shared" si="168"/>
        <v>29.029136983262255</v>
      </c>
      <c r="N464" s="108">
        <f t="shared" si="169"/>
        <v>16.105044329956204</v>
      </c>
      <c r="O464" s="108">
        <f t="shared" si="170"/>
        <v>55.478894667940416</v>
      </c>
      <c r="P464" s="108">
        <f t="shared" si="171"/>
        <v>132.1445181222833</v>
      </c>
      <c r="Q464" s="108">
        <f t="shared" si="172"/>
        <v>35.409886702202286</v>
      </c>
      <c r="R464" s="108">
        <f t="shared" si="173"/>
        <v>30.71114383300629</v>
      </c>
      <c r="S464" s="101">
        <f t="shared" si="174"/>
        <v>45888</v>
      </c>
      <c r="T464" s="102" t="str">
        <f t="shared" si="175"/>
        <v>Agosto</v>
      </c>
      <c r="U464" s="102" t="str">
        <f t="shared" si="176"/>
        <v>Martes</v>
      </c>
      <c r="V464" s="102">
        <f t="shared" si="177"/>
        <v>15</v>
      </c>
      <c r="W464" s="102" t="str">
        <f t="shared" si="178"/>
        <v>Días después del pago</v>
      </c>
      <c r="X464" s="102">
        <f t="shared" si="179"/>
        <v>29</v>
      </c>
      <c r="Y464" s="102" t="str">
        <f t="shared" si="180"/>
        <v>Sí</v>
      </c>
      <c r="Z464" s="102" t="str">
        <f>CHOOSE(MATCH(B464,{"Customer Appreciation","Exclusive Offers","Flash Sale","Holiday Discounts","New Product Launch","Newsletter"},0),"Fidelizar","Vender","Vender","Vender","Lanzar","Educar")</f>
        <v>Vender</v>
      </c>
      <c r="AA464" s="102" t="str">
        <f t="shared" si="181"/>
        <v>Más de 400 mil</v>
      </c>
      <c r="AB464" s="102">
        <f>COUNTIFS($E$5:$E$493,E464,$S$5:$S$493,"&lt;"&amp;S464)+COUNTIFS($E$5:E464,E464,$S$5:S464,S464)</f>
        <v>9</v>
      </c>
      <c r="AC464" s="102">
        <f t="shared" si="182"/>
        <v>30</v>
      </c>
      <c r="AD464" s="102" t="str">
        <f t="shared" si="183"/>
        <v>Primer tercio</v>
      </c>
      <c r="AE464" s="103">
        <f t="shared" si="184"/>
        <v>-6.3807497189400308</v>
      </c>
      <c r="AF464" s="102" t="str">
        <f t="shared" si="185"/>
        <v xml:space="preserve">  regalos perfectos te esperan  descuentos de lujo  l'oréal </v>
      </c>
      <c r="AG464" s="102" t="str">
        <f t="shared" si="186"/>
        <v xml:space="preserve"> encuentra ese detalle especial para ti o tus seres queridos   descubre  </v>
      </c>
      <c r="AH464" s="102" t="str">
        <f>IF(SUMPRODUCT(--(LEFT(IF(LEFT(LOWER(E464),1)="¡",MID(LOWER(E464),2,300),LOWER(E464)),LEN({"actualizaci","el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464" s="102" t="str">
        <f>IF(OR(SUMPRODUCT(--ISNUMBER(SEARCH({"descuento","oferta","ahorr","precio"," sale ","flash","deals"},AF464)))&gt;0,SUMPRODUCT(--ISNUMBER(SEARCH({"descuento","oferta","ahorr","precio"," sale ","flash","deals"},AG464)))&gt;0),"Sí","No")</f>
        <v>Sí</v>
      </c>
      <c r="AJ464" s="102" t="str">
        <f>IF(SUMPRODUCT(--ISNUMBER(SEARCH({" hoy ","horas","tiempo limitado","antes de que","se acab","se agot","finalic","última oportunidad","oportunidad única","relámpago","express","no esperes","no volver","no parpadees"},AF464)))&gt;0,"Sí","No")</f>
        <v>No</v>
      </c>
      <c r="AK464" s="102" t="str">
        <f>IF(SUMPRODUCT(--ISNUMBER(SEARCH({" hoy ","horas","tiempo limitado","antes de que","se acab","se agot","finalic","última oportunidad","oportunidad única","relámpago","express","no esperes","no volver","no parpadees"},AG464)))&gt;0,"Sí","No")</f>
        <v>No</v>
      </c>
      <c r="AL464" s="102" t="str">
        <f t="shared" si="187"/>
        <v>Descuento sin tiempo límite</v>
      </c>
      <c r="AM464" s="102" t="str">
        <f>IF(SUMPRODUCT(--ISNUMBER(SEARCH({"0","1","2","3","4","5","6","7","8","9","favorit","maquillaje","piel","cabello","productos","belleza","regalo"},E464)))&gt;0,"Sí","No")</f>
        <v>Sí</v>
      </c>
      <c r="AN464" s="102" t="str">
        <f>IF(SUMPRODUCT(--ISNUMBER(SEARCH({"lo que tenemos","estas ofertas","algo especial","ofertas únicas","que preparamos","no te quedes","echa un vistazo"},F464)))&gt;0,"Sí","No")</f>
        <v>No</v>
      </c>
      <c r="AO464" s="102">
        <f t="shared" si="188"/>
        <v>58</v>
      </c>
      <c r="AP464" s="102">
        <f t="shared" si="189"/>
        <v>8</v>
      </c>
      <c r="AQ464" s="102">
        <f>SUMPRODUCT(LEN(E464)-LEN(SUBSTITUTE(E464,{"!","¡","?","¿",":",",",".","%","·","-",";"},"")))</f>
        <v>3</v>
      </c>
      <c r="AR464" s="102" t="str">
        <f t="shared" si="190"/>
        <v>Sí</v>
      </c>
      <c r="AS464" s="102" t="str">
        <f t="shared" si="191"/>
        <v>No</v>
      </c>
      <c r="AT464" s="102" t="str">
        <f>IF(SUMPRODUCT(--ISNUMBER(FIND({"0","1","2","3","4","5","6","7","8","9"},E464)))&gt;0,"Con cifra concreta",IF(OR(ISNUMBER(FIND("?",E464)),ISNUMBER(FIND("¿",E464))),"Pregunta abierta",IF(SUMPRODUCT(--ISNUMBER(SEARCH({" hoy ","horas","tiempo limitado","antes de que","se acab","se agot","finalic","última oportunidad","oportunidad única","relámpago","express","no esperes","no volver","no parpadees"," ya ","últimas horas","últimas unidades"," ahora "},AF464)))&gt;0,"Solo urgencia, sin cifra",IF(SUMPRODUCT(--ISNUMBER(SEARCH({"recompensa","sorpresa","regalo","lealtad","detalle","gracias","pensamos en ti","para ti"},E464)))&gt;0,"Recompensa o sorpresa","Otro: beneficio o novedad"))))</f>
        <v>Recompensa o sorpresa</v>
      </c>
    </row>
    <row r="465" spans="1:46" x14ac:dyDescent="0.2">
      <c r="A465" s="96" t="s">
        <v>1336</v>
      </c>
      <c r="B465" s="96" t="s">
        <v>279</v>
      </c>
      <c r="C465" s="96" t="s">
        <v>915</v>
      </c>
      <c r="D465" s="96" t="s">
        <v>769</v>
      </c>
      <c r="E465" s="96" t="s">
        <v>472</v>
      </c>
      <c r="F465" s="96" t="s">
        <v>473</v>
      </c>
      <c r="G465" s="97">
        <v>108953</v>
      </c>
      <c r="H465" s="97">
        <v>22165</v>
      </c>
      <c r="I465" s="97">
        <v>6560</v>
      </c>
      <c r="J465" s="98">
        <v>7.04</v>
      </c>
      <c r="K465" s="98">
        <v>0.46</v>
      </c>
      <c r="L465" s="99">
        <v>75589.350000000006</v>
      </c>
      <c r="M465" s="100">
        <f t="shared" si="168"/>
        <v>20.343634411168118</v>
      </c>
      <c r="N465" s="100">
        <f t="shared" si="169"/>
        <v>6.0209448110653216</v>
      </c>
      <c r="O465" s="100">
        <f t="shared" si="170"/>
        <v>29.596210241371534</v>
      </c>
      <c r="P465" s="100">
        <f t="shared" si="171"/>
        <v>693.77942782667753</v>
      </c>
      <c r="Q465" s="100">
        <f t="shared" si="172"/>
        <v>22.891293825435607</v>
      </c>
      <c r="R465" s="100">
        <f t="shared" si="173"/>
        <v>27.75136451093497</v>
      </c>
      <c r="S465" s="101">
        <f t="shared" si="174"/>
        <v>45954</v>
      </c>
      <c r="T465" s="102" t="str">
        <f t="shared" si="175"/>
        <v>Octubre</v>
      </c>
      <c r="U465" s="102" t="str">
        <f t="shared" si="176"/>
        <v>Viernes</v>
      </c>
      <c r="V465" s="102">
        <f t="shared" si="177"/>
        <v>13</v>
      </c>
      <c r="W465" s="102" t="str">
        <f t="shared" si="178"/>
        <v>Resto del mes</v>
      </c>
      <c r="X465" s="102">
        <f t="shared" si="179"/>
        <v>29</v>
      </c>
      <c r="Y465" s="102" t="str">
        <f t="shared" si="180"/>
        <v>Sí</v>
      </c>
      <c r="Z465" s="102" t="str">
        <f>CHOOSE(MATCH(B465,{"Customer Appreciation","Exclusive Offers","Flash Sale","Holiday Discounts","New Product Launch","Newsletter"},0),"Fidelizar","Vender","Vender","Vender","Lanzar","Educar")</f>
        <v>Educar</v>
      </c>
      <c r="AA465" s="102" t="str">
        <f t="shared" si="181"/>
        <v>100 a 200 mil</v>
      </c>
      <c r="AB465" s="102">
        <f>COUNTIFS($E$5:$E$493,E465,$S$5:$S$493,"&lt;"&amp;S465)+COUNTIFS($E$5:E465,E465,$S$5:S465,S465)</f>
        <v>20</v>
      </c>
      <c r="AC465" s="102">
        <f t="shared" si="182"/>
        <v>22</v>
      </c>
      <c r="AD465" s="102" t="str">
        <f t="shared" si="183"/>
        <v>Último tercio</v>
      </c>
      <c r="AE465" s="103">
        <f t="shared" si="184"/>
        <v>-2.5476594142674891</v>
      </c>
      <c r="AF465" s="102" t="str">
        <f t="shared" si="185"/>
        <v xml:space="preserve"> tu dosis semanal de belleza  novedades y tips </v>
      </c>
      <c r="AG465" s="102" t="str">
        <f t="shared" si="186"/>
        <v xml:space="preserve"> novedades  tips y más para tu rutina diaria   entra ya  </v>
      </c>
      <c r="AH465" s="102" t="str">
        <f>IF(SUMPRODUCT(--(LEFT(IF(LEFT(LOWER(E465),1)="¡",MID(LOWER(E465),2,300),LOWER(E465)),LEN({"actualizaci","el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465" s="102" t="str">
        <f>IF(OR(SUMPRODUCT(--ISNUMBER(SEARCH({"descuento","oferta","ahorr","precio"," sale ","flash","deals"},AF465)))&gt;0,SUMPRODUCT(--ISNUMBER(SEARCH({"descuento","oferta","ahorr","precio"," sale ","flash","deals"},AG465)))&gt;0),"Sí","No")</f>
        <v>No</v>
      </c>
      <c r="AJ465" s="102" t="str">
        <f>IF(SUMPRODUCT(--ISNUMBER(SEARCH({" hoy ","horas","tiempo limitado","antes de que","se acab","se agot","finalic","última oportunidad","oportunidad única","relámpago","express","no esperes","no volver","no parpadees"},AF465)))&gt;0,"Sí","No")</f>
        <v>No</v>
      </c>
      <c r="AK465" s="102" t="str">
        <f>IF(SUMPRODUCT(--ISNUMBER(SEARCH({" hoy ","horas","tiempo limitado","antes de que","se acab","se agot","finalic","última oportunidad","oportunidad única","relámpago","express","no esperes","no volver","no parpadees"},AG465)))&gt;0,"Sí","No")</f>
        <v>No</v>
      </c>
      <c r="AL465" s="102" t="str">
        <f t="shared" si="187"/>
        <v>Sin descuento</v>
      </c>
      <c r="AM465" s="102" t="str">
        <f>IF(SUMPRODUCT(--ISNUMBER(SEARCH({"0","1","2","3","4","5","6","7","8","9","favorit","maquillaje","piel","cabello","productos","belleza","regalo"},E465)))&gt;0,"Sí","No")</f>
        <v>Sí</v>
      </c>
      <c r="AN465" s="102" t="str">
        <f>IF(SUMPRODUCT(--ISNUMBER(SEARCH({"lo que tenemos","estas ofertas","algo especial","ofertas únicas","que preparamos","no te quedes","echa un vistazo"},F465)))&gt;0,"Sí","No")</f>
        <v>No</v>
      </c>
      <c r="AO465" s="102">
        <f t="shared" si="188"/>
        <v>45</v>
      </c>
      <c r="AP465" s="102">
        <f t="shared" si="189"/>
        <v>8</v>
      </c>
      <c r="AQ465" s="102">
        <f>SUMPRODUCT(LEN(E465)-LEN(SUBSTITUTE(E465,{"!","¡","?","¿",":",",",".","%","·","-",";"},"")))</f>
        <v>1</v>
      </c>
      <c r="AR465" s="102" t="str">
        <f t="shared" si="190"/>
        <v>Sí</v>
      </c>
      <c r="AS465" s="102" t="str">
        <f t="shared" si="191"/>
        <v>No</v>
      </c>
      <c r="AT465" s="102" t="str">
        <f>IF(SUMPRODUCT(--ISNUMBER(FIND({"0","1","2","3","4","5","6","7","8","9"},E465)))&gt;0,"Con cifra concreta",IF(OR(ISNUMBER(FIND("?",E465)),ISNUMBER(FIND("¿",E465))),"Pregunta abierta",IF(SUMPRODUCT(--ISNUMBER(SEARCH({" hoy ","horas","tiempo limitado","antes de que","se acab","se agot","finalic","última oportunidad","oportunidad única","relámpago","express","no esperes","no volver","no parpadees"," ya ","últimas horas","últimas unidades"," ahora "},AF465)))&gt;0,"Solo urgencia, sin cifra",IF(SUMPRODUCT(--ISNUMBER(SEARCH({"recompensa","sorpresa","regalo","lealtad","detalle","gracias","pensamos en ti","para ti"},E465)))&gt;0,"Recompensa o sorpresa","Otro: beneficio o novedad"))))</f>
        <v>Otro: beneficio o novedad</v>
      </c>
    </row>
    <row r="466" spans="1:46" x14ac:dyDescent="0.2">
      <c r="A466" s="104" t="s">
        <v>1337</v>
      </c>
      <c r="B466" s="104" t="s">
        <v>278</v>
      </c>
      <c r="C466" s="104" t="s">
        <v>917</v>
      </c>
      <c r="D466" s="104" t="s">
        <v>774</v>
      </c>
      <c r="E466" s="104" t="s">
        <v>367</v>
      </c>
      <c r="F466" s="104" t="s">
        <v>458</v>
      </c>
      <c r="G466" s="105">
        <v>176781</v>
      </c>
      <c r="H466" s="105">
        <v>39873</v>
      </c>
      <c r="I466" s="105">
        <v>17079</v>
      </c>
      <c r="J466" s="106">
        <v>4.12</v>
      </c>
      <c r="K466" s="106">
        <v>4.45</v>
      </c>
      <c r="L466" s="107">
        <v>23450.76</v>
      </c>
      <c r="M466" s="108">
        <f t="shared" si="168"/>
        <v>22.555025709776501</v>
      </c>
      <c r="N466" s="108">
        <f t="shared" si="169"/>
        <v>9.6611061143448662</v>
      </c>
      <c r="O466" s="108">
        <f t="shared" si="170"/>
        <v>42.833496350914153</v>
      </c>
      <c r="P466" s="108">
        <f t="shared" si="171"/>
        <v>132.65430108439256</v>
      </c>
      <c r="Q466" s="108">
        <f t="shared" si="172"/>
        <v>36.132518317209367</v>
      </c>
      <c r="R466" s="108">
        <f t="shared" si="173"/>
        <v>29.458247936272421</v>
      </c>
      <c r="S466" s="101">
        <f t="shared" si="174"/>
        <v>45916</v>
      </c>
      <c r="T466" s="102" t="str">
        <f t="shared" si="175"/>
        <v>Septiembre</v>
      </c>
      <c r="U466" s="102" t="str">
        <f t="shared" si="176"/>
        <v>Martes</v>
      </c>
      <c r="V466" s="102">
        <f t="shared" si="177"/>
        <v>11</v>
      </c>
      <c r="W466" s="102" t="str">
        <f t="shared" si="178"/>
        <v>Quincena</v>
      </c>
      <c r="X466" s="102">
        <f t="shared" si="179"/>
        <v>27</v>
      </c>
      <c r="Y466" s="102" t="str">
        <f t="shared" si="180"/>
        <v>Sí</v>
      </c>
      <c r="Z466" s="102" t="str">
        <f>CHOOSE(MATCH(B466,{"Customer Appreciation","Exclusive Offers","Flash Sale","Holiday Discounts","New Product Launch","Newsletter"},0),"Fidelizar","Vender","Vender","Vender","Lanzar","Educar")</f>
        <v>Lanzar</v>
      </c>
      <c r="AA466" s="102" t="str">
        <f t="shared" si="181"/>
        <v>100 a 200 mil</v>
      </c>
      <c r="AB466" s="102">
        <f>COUNTIFS($E$5:$E$493,E466,$S$5:$S$493,"&lt;"&amp;S466)+COUNTIFS($E$5:E466,E466,$S$5:S466,S466)</f>
        <v>8</v>
      </c>
      <c r="AC466" s="102">
        <f t="shared" si="182"/>
        <v>25</v>
      </c>
      <c r="AD466" s="102" t="str">
        <f t="shared" si="183"/>
        <v>Primer tercio</v>
      </c>
      <c r="AE466" s="103">
        <f t="shared" si="184"/>
        <v>-13.577492607432866</v>
      </c>
      <c r="AF466" s="102" t="str">
        <f t="shared" si="185"/>
        <v xml:space="preserve">  el futuro de tu piel ha llegado  nuevo producto revolucionario </v>
      </c>
      <c r="AG466" s="102" t="str">
        <f t="shared" si="186"/>
        <v xml:space="preserve"> una fórmula revolucionaria para resultados visibles   compruébalo  </v>
      </c>
      <c r="AH466" s="102" t="str">
        <f>IF(SUMPRODUCT(--(LEFT(IF(LEFT(LOWER(E466),1)="¡",MID(LOWER(E466),2,300),LOWER(E466)),LEN({"actualizaci","el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466" s="102" t="str">
        <f>IF(OR(SUMPRODUCT(--ISNUMBER(SEARCH({"descuento","oferta","ahorr","precio"," sale ","flash","deals"},AF466)))&gt;0,SUMPRODUCT(--ISNUMBER(SEARCH({"descuento","oferta","ahorr","precio"," sale ","flash","deals"},AG466)))&gt;0),"Sí","No")</f>
        <v>No</v>
      </c>
      <c r="AJ466" s="102" t="str">
        <f>IF(SUMPRODUCT(--ISNUMBER(SEARCH({" hoy ","horas","tiempo limitado","antes de que","se acab","se agot","finalic","última oportunidad","oportunidad única","relámpago","express","no esperes","no volver","no parpadees"},AF466)))&gt;0,"Sí","No")</f>
        <v>No</v>
      </c>
      <c r="AK466" s="102" t="str">
        <f>IF(SUMPRODUCT(--ISNUMBER(SEARCH({" hoy ","horas","tiempo limitado","antes de que","se acab","se agot","finalic","última oportunidad","oportunidad única","relámpago","express","no esperes","no volver","no parpadees"},AG466)))&gt;0,"Sí","No")</f>
        <v>No</v>
      </c>
      <c r="AL466" s="102" t="str">
        <f t="shared" si="187"/>
        <v>Sin descuento</v>
      </c>
      <c r="AM466" s="102" t="str">
        <f>IF(SUMPRODUCT(--ISNUMBER(SEARCH({"0","1","2","3","4","5","6","7","8","9","favorit","maquillaje","piel","cabello","productos","belleza","regalo"},E466)))&gt;0,"Sí","No")</f>
        <v>Sí</v>
      </c>
      <c r="AN466" s="102" t="str">
        <f>IF(SUMPRODUCT(--ISNUMBER(SEARCH({"lo que tenemos","estas ofertas","algo especial","ofertas únicas","que preparamos","no te quedes","echa un vistazo"},F466)))&gt;0,"Sí","No")</f>
        <v>No</v>
      </c>
      <c r="AO466" s="102">
        <f t="shared" si="188"/>
        <v>63</v>
      </c>
      <c r="AP466" s="102">
        <f t="shared" si="189"/>
        <v>10</v>
      </c>
      <c r="AQ466" s="102">
        <f>SUMPRODUCT(LEN(E466)-LEN(SUBSTITUTE(E466,{"!","¡","?","¿",":",",",".","%","·","-",";"},"")))</f>
        <v>2</v>
      </c>
      <c r="AR466" s="102" t="str">
        <f t="shared" si="190"/>
        <v>No</v>
      </c>
      <c r="AS466" s="102" t="str">
        <f t="shared" si="191"/>
        <v>No</v>
      </c>
      <c r="AT466" s="102" t="str">
        <f>IF(SUMPRODUCT(--ISNUMBER(FIND({"0","1","2","3","4","5","6","7","8","9"},E466)))&gt;0,"Con cifra concreta",IF(OR(ISNUMBER(FIND("?",E466)),ISNUMBER(FIND("¿",E466))),"Pregunta abierta",IF(SUMPRODUCT(--ISNUMBER(SEARCH({" hoy ","horas","tiempo limitado","antes de que","se acab","se agot","finalic","última oportunidad","oportunidad única","relámpago","express","no esperes","no volver","no parpadees"," ya ","últimas horas","últimas unidades"," ahora "},AF466)))&gt;0,"Solo urgencia, sin cifra",IF(SUMPRODUCT(--ISNUMBER(SEARCH({"recompensa","sorpresa","regalo","lealtad","detalle","gracias","pensamos en ti","para ti"},E466)))&gt;0,"Recompensa o sorpresa","Otro: beneficio o novedad"))))</f>
        <v>Otro: beneficio o novedad</v>
      </c>
    </row>
    <row r="467" spans="1:46" x14ac:dyDescent="0.2">
      <c r="A467" s="96" t="s">
        <v>1338</v>
      </c>
      <c r="B467" s="96" t="s">
        <v>277</v>
      </c>
      <c r="C467" s="96" t="s">
        <v>793</v>
      </c>
      <c r="D467" s="96" t="s">
        <v>947</v>
      </c>
      <c r="E467" s="96" t="s">
        <v>459</v>
      </c>
      <c r="F467" s="96" t="s">
        <v>460</v>
      </c>
      <c r="G467" s="97">
        <v>117039</v>
      </c>
      <c r="H467" s="97">
        <v>54528</v>
      </c>
      <c r="I467" s="97">
        <v>22248</v>
      </c>
      <c r="J467" s="98">
        <v>8.82</v>
      </c>
      <c r="K467" s="98">
        <v>1.71</v>
      </c>
      <c r="L467" s="99">
        <v>73130.3</v>
      </c>
      <c r="M467" s="100">
        <f t="shared" si="168"/>
        <v>46.589598339015197</v>
      </c>
      <c r="N467" s="100">
        <f t="shared" si="169"/>
        <v>19.009048265962626</v>
      </c>
      <c r="O467" s="100">
        <f t="shared" si="170"/>
        <v>40.801056338028168</v>
      </c>
      <c r="P467" s="100">
        <f t="shared" si="171"/>
        <v>624.83702013858635</v>
      </c>
      <c r="Q467" s="100">
        <f t="shared" si="172"/>
        <v>35.565837226891659</v>
      </c>
      <c r="R467" s="100">
        <f t="shared" si="173"/>
        <v>30.71114383300629</v>
      </c>
      <c r="S467" s="101">
        <f t="shared" si="174"/>
        <v>45939</v>
      </c>
      <c r="T467" s="102" t="str">
        <f t="shared" si="175"/>
        <v>Octubre</v>
      </c>
      <c r="U467" s="102" t="str">
        <f t="shared" si="176"/>
        <v>Jueves</v>
      </c>
      <c r="V467" s="102">
        <f t="shared" si="177"/>
        <v>9</v>
      </c>
      <c r="W467" s="102" t="str">
        <f t="shared" si="178"/>
        <v>Resto del mes</v>
      </c>
      <c r="X467" s="102">
        <f t="shared" si="179"/>
        <v>27</v>
      </c>
      <c r="Y467" s="102" t="str">
        <f t="shared" si="180"/>
        <v>Sí</v>
      </c>
      <c r="Z467" s="102" t="str">
        <f>CHOOSE(MATCH(B467,{"Customer Appreciation","Exclusive Offers","Flash Sale","Holiday Discounts","New Product Launch","Newsletter"},0),"Fidelizar","Vender","Vender","Vender","Lanzar","Educar")</f>
        <v>Vender</v>
      </c>
      <c r="AA467" s="102" t="str">
        <f t="shared" si="181"/>
        <v>100 a 200 mil</v>
      </c>
      <c r="AB467" s="102">
        <f>COUNTIFS($E$5:$E$493,E467,$S$5:$S$493,"&lt;"&amp;S467)+COUNTIFS($E$5:E467,E467,$S$5:S467,S467)</f>
        <v>8</v>
      </c>
      <c r="AC467" s="102">
        <f t="shared" si="182"/>
        <v>9</v>
      </c>
      <c r="AD467" s="102" t="str">
        <f t="shared" si="183"/>
        <v>Último tercio</v>
      </c>
      <c r="AE467" s="103">
        <f t="shared" si="184"/>
        <v>11.023761112123537</v>
      </c>
      <c r="AF467" s="102" t="str">
        <f t="shared" si="185"/>
        <v xml:space="preserve">  aprovecha los descuentos  temporada de fiestas  beauty deals </v>
      </c>
      <c r="AG467" s="102" t="str">
        <f t="shared" si="186"/>
        <v xml:space="preserve"> tus productos favoritos con precios festivos   no te los pierdas  </v>
      </c>
      <c r="AH467" s="102" t="str">
        <f>IF(SUMPRODUCT(--(LEFT(IF(LEFT(LOWER(E467),1)="¡",MID(LOWER(E467),2,300),LOWER(E467)),LEN({"actualizaci","el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467" s="102" t="str">
        <f>IF(OR(SUMPRODUCT(--ISNUMBER(SEARCH({"descuento","oferta","ahorr","precio"," sale ","flash","deals"},AF467)))&gt;0,SUMPRODUCT(--ISNUMBER(SEARCH({"descuento","oferta","ahorr","precio"," sale ","flash","deals"},AG467)))&gt;0),"Sí","No")</f>
        <v>Sí</v>
      </c>
      <c r="AJ467" s="102" t="str">
        <f>IF(SUMPRODUCT(--ISNUMBER(SEARCH({" hoy ","horas","tiempo limitado","antes de que","se acab","se agot","finalic","última oportunidad","oportunidad única","relámpago","express","no esperes","no volver","no parpadees"},AF467)))&gt;0,"Sí","No")</f>
        <v>No</v>
      </c>
      <c r="AK467" s="102" t="str">
        <f>IF(SUMPRODUCT(--ISNUMBER(SEARCH({" hoy ","horas","tiempo limitado","antes de que","se acab","se agot","finalic","última oportunidad","oportunidad única","relámpago","express","no esperes","no volver","no parpadees"},AG467)))&gt;0,"Sí","No")</f>
        <v>No</v>
      </c>
      <c r="AL467" s="102" t="str">
        <f t="shared" si="187"/>
        <v>Descuento sin tiempo límite</v>
      </c>
      <c r="AM467" s="102" t="str">
        <f>IF(SUMPRODUCT(--ISNUMBER(SEARCH({"0","1","2","3","4","5","6","7","8","9","favorit","maquillaje","piel","cabello","productos","belleza","regalo"},E467)))&gt;0,"Sí","No")</f>
        <v>No</v>
      </c>
      <c r="AN467" s="102" t="str">
        <f>IF(SUMPRODUCT(--ISNUMBER(SEARCH({"lo que tenemos","estas ofertas","algo especial","ofertas únicas","que preparamos","no te quedes","echa un vistazo"},F467)))&gt;0,"Sí","No")</f>
        <v>No</v>
      </c>
      <c r="AO467" s="102">
        <f t="shared" si="188"/>
        <v>61</v>
      </c>
      <c r="AP467" s="102">
        <f t="shared" si="189"/>
        <v>8</v>
      </c>
      <c r="AQ467" s="102">
        <f>SUMPRODUCT(LEN(E467)-LEN(SUBSTITUTE(E467,{"!","¡","?","¿",":",",",".","%","·","-",";"},"")))</f>
        <v>3</v>
      </c>
      <c r="AR467" s="102" t="str">
        <f t="shared" si="190"/>
        <v>No</v>
      </c>
      <c r="AS467" s="102" t="str">
        <f t="shared" si="191"/>
        <v>No</v>
      </c>
      <c r="AT467" s="102" t="str">
        <f>IF(SUMPRODUCT(--ISNUMBER(FIND({"0","1","2","3","4","5","6","7","8","9"},E467)))&gt;0,"Con cifra concreta",IF(OR(ISNUMBER(FIND("?",E467)),ISNUMBER(FIND("¿",E467))),"Pregunta abierta",IF(SUMPRODUCT(--ISNUMBER(SEARCH({" hoy ","horas","tiempo limitado","antes de que","se acab","se agot","finalic","última oportunidad","oportunidad única","relámpago","express","no esperes","no volver","no parpadees"," ya ","últimas horas","últimas unidades"," ahora "},AF467)))&gt;0,"Solo urgencia, sin cifra",IF(SUMPRODUCT(--ISNUMBER(SEARCH({"recompensa","sorpresa","regalo","lealtad","detalle","gracias","pensamos en ti","para ti"},E467)))&gt;0,"Recompensa o sorpresa","Otro: beneficio o novedad"))))</f>
        <v>Otro: beneficio o novedad</v>
      </c>
    </row>
    <row r="468" spans="1:46" x14ac:dyDescent="0.2">
      <c r="A468" s="104" t="s">
        <v>1339</v>
      </c>
      <c r="B468" s="104" t="s">
        <v>274</v>
      </c>
      <c r="C468" s="104" t="s">
        <v>830</v>
      </c>
      <c r="D468" s="104" t="s">
        <v>950</v>
      </c>
      <c r="E468" s="104" t="s">
        <v>453</v>
      </c>
      <c r="F468" s="104" t="s">
        <v>454</v>
      </c>
      <c r="G468" s="105">
        <v>1929</v>
      </c>
      <c r="H468" s="105">
        <v>755</v>
      </c>
      <c r="I468" s="105">
        <v>227</v>
      </c>
      <c r="J468" s="106">
        <v>8.91</v>
      </c>
      <c r="K468" s="106">
        <v>3.57</v>
      </c>
      <c r="L468" s="107">
        <v>98444.97</v>
      </c>
      <c r="M468" s="108">
        <f t="shared" si="168"/>
        <v>39.139450492483149</v>
      </c>
      <c r="N468" s="108">
        <f t="shared" si="169"/>
        <v>11.767755313634007</v>
      </c>
      <c r="O468" s="108">
        <f t="shared" si="170"/>
        <v>30.066225165562916</v>
      </c>
      <c r="P468" s="108">
        <f t="shared" si="171"/>
        <v>51034.199066874033</v>
      </c>
      <c r="Q468" s="108">
        <f t="shared" si="172"/>
        <v>39.210446566150395</v>
      </c>
      <c r="R468" s="108">
        <f t="shared" si="173"/>
        <v>31.113650744455075</v>
      </c>
      <c r="S468" s="101">
        <f t="shared" si="174"/>
        <v>45901</v>
      </c>
      <c r="T468" s="102" t="str">
        <f t="shared" si="175"/>
        <v>Septiembre</v>
      </c>
      <c r="U468" s="102" t="str">
        <f t="shared" si="176"/>
        <v>Lunes</v>
      </c>
      <c r="V468" s="102">
        <f t="shared" si="177"/>
        <v>14</v>
      </c>
      <c r="W468" s="102" t="str">
        <f t="shared" si="178"/>
        <v>Quincena</v>
      </c>
      <c r="X468" s="102">
        <f t="shared" si="179"/>
        <v>29</v>
      </c>
      <c r="Y468" s="102" t="str">
        <f t="shared" si="180"/>
        <v>Sí</v>
      </c>
      <c r="Z468" s="102" t="str">
        <f>CHOOSE(MATCH(B468,{"Customer Appreciation","Exclusive Offers","Flash Sale","Holiday Discounts","New Product Launch","Newsletter"},0),"Fidelizar","Vender","Vender","Vender","Lanzar","Educar")</f>
        <v>Fidelizar</v>
      </c>
      <c r="AA468" s="102" t="str">
        <f t="shared" si="181"/>
        <v>Menos de 100 mil</v>
      </c>
      <c r="AB468" s="102">
        <f>COUNTIFS($E$5:$E$493,E468,$S$5:$S$493,"&lt;"&amp;S468)+COUNTIFS($E$5:E468,E468,$S$5:S468,S468)</f>
        <v>12</v>
      </c>
      <c r="AC468" s="102">
        <f t="shared" si="182"/>
        <v>20</v>
      </c>
      <c r="AD468" s="102" t="str">
        <f t="shared" si="183"/>
        <v>Medio</v>
      </c>
      <c r="AE468" s="103">
        <f t="shared" si="184"/>
        <v>-7.0996073667245696E-2</v>
      </c>
      <c r="AF468" s="102" t="str">
        <f t="shared" si="185"/>
        <v xml:space="preserve">  pensamos en ti  descubre estas sorpresas exclusivas </v>
      </c>
      <c r="AG468" s="102" t="str">
        <f t="shared" si="186"/>
        <v xml:space="preserve"> ofertas exclusivas por tu lealtad a l'oréal   aprovecha  </v>
      </c>
      <c r="AH468" s="102" t="str">
        <f>IF(SUMPRODUCT(--(LEFT(IF(LEFT(LOWER(E468),1)="¡",MID(LOWER(E468),2,300),LOWER(E468)),LEN({"actualizaci","el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468" s="102" t="str">
        <f>IF(OR(SUMPRODUCT(--ISNUMBER(SEARCH({"descuento","oferta","ahorr","precio"," sale ","flash","deals"},AF468)))&gt;0,SUMPRODUCT(--ISNUMBER(SEARCH({"descuento","oferta","ahorr","precio"," sale ","flash","deals"},AG468)))&gt;0),"Sí","No")</f>
        <v>Sí</v>
      </c>
      <c r="AJ468" s="102" t="str">
        <f>IF(SUMPRODUCT(--ISNUMBER(SEARCH({" hoy ","horas","tiempo limitado","antes de que","se acab","se agot","finalic","última oportunidad","oportunidad única","relámpago","express","no esperes","no volver","no parpadees"},AF468)))&gt;0,"Sí","No")</f>
        <v>No</v>
      </c>
      <c r="AK468" s="102" t="str">
        <f>IF(SUMPRODUCT(--ISNUMBER(SEARCH({" hoy ","horas","tiempo limitado","antes de que","se acab","se agot","finalic","última oportunidad","oportunidad única","relámpago","express","no esperes","no volver","no parpadees"},AG468)))&gt;0,"Sí","No")</f>
        <v>No</v>
      </c>
      <c r="AL468" s="102" t="str">
        <f t="shared" si="187"/>
        <v>Descuento sin tiempo límite</v>
      </c>
      <c r="AM468" s="102" t="str">
        <f>IF(SUMPRODUCT(--ISNUMBER(SEARCH({"0","1","2","3","4","5","6","7","8","9","favorit","maquillaje","piel","cabello","productos","belleza","regalo"},E468)))&gt;0,"Sí","No")</f>
        <v>No</v>
      </c>
      <c r="AN468" s="102" t="str">
        <f>IF(SUMPRODUCT(--ISNUMBER(SEARCH({"lo que tenemos","estas ofertas","algo especial","ofertas únicas","que preparamos","no te quedes","echa un vistazo"},F468)))&gt;0,"Sí","No")</f>
        <v>No</v>
      </c>
      <c r="AO468" s="102">
        <f t="shared" si="188"/>
        <v>52</v>
      </c>
      <c r="AP468" s="102">
        <f t="shared" si="189"/>
        <v>7</v>
      </c>
      <c r="AQ468" s="102">
        <f>SUMPRODUCT(LEN(E468)-LEN(SUBSTITUTE(E468,{"!","¡","?","¿",":",",",".","%","·","-",";"},"")))</f>
        <v>2</v>
      </c>
      <c r="AR468" s="102" t="str">
        <f t="shared" si="190"/>
        <v>Sí</v>
      </c>
      <c r="AS468" s="102" t="str">
        <f t="shared" si="191"/>
        <v>No</v>
      </c>
      <c r="AT468" s="102" t="str">
        <f>IF(SUMPRODUCT(--ISNUMBER(FIND({"0","1","2","3","4","5","6","7","8","9"},E468)))&gt;0,"Con cifra concreta",IF(OR(ISNUMBER(FIND("?",E468)),ISNUMBER(FIND("¿",E468))),"Pregunta abierta",IF(SUMPRODUCT(--ISNUMBER(SEARCH({" hoy ","horas","tiempo limitado","antes de que","se acab","se agot","finalic","última oportunidad","oportunidad única","relámpago","express","no esperes","no volver","no parpadees"," ya ","últimas horas","últimas unidades"," ahora "},AF468)))&gt;0,"Solo urgencia, sin cifra",IF(SUMPRODUCT(--ISNUMBER(SEARCH({"recompensa","sorpresa","regalo","lealtad","detalle","gracias","pensamos en ti","para ti"},E468)))&gt;0,"Recompensa o sorpresa","Otro: beneficio o novedad"))))</f>
        <v>Recompensa o sorpresa</v>
      </c>
    </row>
    <row r="469" spans="1:46" x14ac:dyDescent="0.2">
      <c r="A469" s="96" t="s">
        <v>1340</v>
      </c>
      <c r="B469" s="96" t="s">
        <v>279</v>
      </c>
      <c r="C469" s="96" t="s">
        <v>976</v>
      </c>
      <c r="D469" s="96" t="s">
        <v>751</v>
      </c>
      <c r="E469" s="96" t="s">
        <v>472</v>
      </c>
      <c r="F469" s="96" t="s">
        <v>473</v>
      </c>
      <c r="G469" s="97">
        <v>203384</v>
      </c>
      <c r="H469" s="97">
        <v>20584</v>
      </c>
      <c r="I469" s="97">
        <v>19504</v>
      </c>
      <c r="J469" s="98">
        <v>3.52</v>
      </c>
      <c r="K469" s="98">
        <v>3.57</v>
      </c>
      <c r="L469" s="99">
        <v>50908.95</v>
      </c>
      <c r="M469" s="100">
        <f t="shared" si="168"/>
        <v>10.120756795028123</v>
      </c>
      <c r="N469" s="100">
        <f t="shared" si="169"/>
        <v>9.5897415725917483</v>
      </c>
      <c r="O469" s="100">
        <f t="shared" si="170"/>
        <v>94.75320637388262</v>
      </c>
      <c r="P469" s="100">
        <f t="shared" si="171"/>
        <v>250.30951303937377</v>
      </c>
      <c r="Q469" s="100">
        <f t="shared" si="172"/>
        <v>22.891293825435607</v>
      </c>
      <c r="R469" s="100">
        <f t="shared" si="173"/>
        <v>27.75136451093497</v>
      </c>
      <c r="S469" s="101">
        <f t="shared" si="174"/>
        <v>45892</v>
      </c>
      <c r="T469" s="102" t="str">
        <f t="shared" si="175"/>
        <v>Agosto</v>
      </c>
      <c r="U469" s="102" t="str">
        <f t="shared" si="176"/>
        <v>Sábado</v>
      </c>
      <c r="V469" s="102">
        <f t="shared" si="177"/>
        <v>11</v>
      </c>
      <c r="W469" s="102" t="str">
        <f t="shared" si="178"/>
        <v>Resto del mes</v>
      </c>
      <c r="X469" s="102">
        <f t="shared" si="179"/>
        <v>25</v>
      </c>
      <c r="Y469" s="102" t="str">
        <f t="shared" si="180"/>
        <v>Sí</v>
      </c>
      <c r="Z469" s="102" t="str">
        <f>CHOOSE(MATCH(B469,{"Customer Appreciation","Exclusive Offers","Flash Sale","Holiday Discounts","New Product Launch","Newsletter"},0),"Fidelizar","Vender","Vender","Vender","Lanzar","Educar")</f>
        <v>Educar</v>
      </c>
      <c r="AA469" s="102" t="str">
        <f t="shared" si="181"/>
        <v>200 a 300 mil</v>
      </c>
      <c r="AB469" s="102">
        <f>COUNTIFS($E$5:$E$493,E469,$S$5:$S$493,"&lt;"&amp;S469)+COUNTIFS($E$5:E469,E469,$S$5:S469,S469)</f>
        <v>6</v>
      </c>
      <c r="AC469" s="102">
        <f t="shared" si="182"/>
        <v>22</v>
      </c>
      <c r="AD469" s="102" t="str">
        <f t="shared" si="183"/>
        <v>Primer tercio</v>
      </c>
      <c r="AE469" s="103">
        <f t="shared" si="184"/>
        <v>-12.770537030407484</v>
      </c>
      <c r="AF469" s="102" t="str">
        <f t="shared" si="185"/>
        <v xml:space="preserve"> tu dosis semanal de belleza  novedades y tips </v>
      </c>
      <c r="AG469" s="102" t="str">
        <f t="shared" si="186"/>
        <v xml:space="preserve"> novedades  tips y más para tu rutina diaria   entra ya  </v>
      </c>
      <c r="AH469" s="102" t="str">
        <f>IF(SUMPRODUCT(--(LEFT(IF(LEFT(LOWER(E469),1)="¡",MID(LOWER(E469),2,300),LOWER(E469)),LEN({"actualizaci","el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469" s="102" t="str">
        <f>IF(OR(SUMPRODUCT(--ISNUMBER(SEARCH({"descuento","oferta","ahorr","precio"," sale ","flash","deals"},AF469)))&gt;0,SUMPRODUCT(--ISNUMBER(SEARCH({"descuento","oferta","ahorr","precio"," sale ","flash","deals"},AG469)))&gt;0),"Sí","No")</f>
        <v>No</v>
      </c>
      <c r="AJ469" s="102" t="str">
        <f>IF(SUMPRODUCT(--ISNUMBER(SEARCH({" hoy ","horas","tiempo limitado","antes de que","se acab","se agot","finalic","última oportunidad","oportunidad única","relámpago","express","no esperes","no volver","no parpadees"},AF469)))&gt;0,"Sí","No")</f>
        <v>No</v>
      </c>
      <c r="AK469" s="102" t="str">
        <f>IF(SUMPRODUCT(--ISNUMBER(SEARCH({" hoy ","horas","tiempo limitado","antes de que","se acab","se agot","finalic","última oportunidad","oportunidad única","relámpago","express","no esperes","no volver","no parpadees"},AG469)))&gt;0,"Sí","No")</f>
        <v>No</v>
      </c>
      <c r="AL469" s="102" t="str">
        <f t="shared" si="187"/>
        <v>Sin descuento</v>
      </c>
      <c r="AM469" s="102" t="str">
        <f>IF(SUMPRODUCT(--ISNUMBER(SEARCH({"0","1","2","3","4","5","6","7","8","9","favorit","maquillaje","piel","cabello","productos","belleza","regalo"},E469)))&gt;0,"Sí","No")</f>
        <v>Sí</v>
      </c>
      <c r="AN469" s="102" t="str">
        <f>IF(SUMPRODUCT(--ISNUMBER(SEARCH({"lo que tenemos","estas ofertas","algo especial","ofertas únicas","que preparamos","no te quedes","echa un vistazo"},F469)))&gt;0,"Sí","No")</f>
        <v>No</v>
      </c>
      <c r="AO469" s="102">
        <f t="shared" si="188"/>
        <v>45</v>
      </c>
      <c r="AP469" s="102">
        <f t="shared" si="189"/>
        <v>8</v>
      </c>
      <c r="AQ469" s="102">
        <f>SUMPRODUCT(LEN(E469)-LEN(SUBSTITUTE(E469,{"!","¡","?","¿",":",",",".","%","·","-",";"},"")))</f>
        <v>1</v>
      </c>
      <c r="AR469" s="102" t="str">
        <f t="shared" si="190"/>
        <v>Sí</v>
      </c>
      <c r="AS469" s="102" t="str">
        <f t="shared" si="191"/>
        <v>No</v>
      </c>
      <c r="AT469" s="102" t="str">
        <f>IF(SUMPRODUCT(--ISNUMBER(FIND({"0","1","2","3","4","5","6","7","8","9"},E469)))&gt;0,"Con cifra concreta",IF(OR(ISNUMBER(FIND("?",E469)),ISNUMBER(FIND("¿",E469))),"Pregunta abierta",IF(SUMPRODUCT(--ISNUMBER(SEARCH({" hoy ","horas","tiempo limitado","antes de que","se acab","se agot","finalic","última oportunidad","oportunidad única","relámpago","express","no esperes","no volver","no parpadees"," ya ","últimas horas","últimas unidades"," ahora "},AF469)))&gt;0,"Solo urgencia, sin cifra",IF(SUMPRODUCT(--ISNUMBER(SEARCH({"recompensa","sorpresa","regalo","lealtad","detalle","gracias","pensamos en ti","para ti"},E469)))&gt;0,"Recompensa o sorpresa","Otro: beneficio o novedad"))))</f>
        <v>Otro: beneficio o novedad</v>
      </c>
    </row>
    <row r="470" spans="1:46" x14ac:dyDescent="0.2">
      <c r="A470" s="104" t="s">
        <v>1341</v>
      </c>
      <c r="B470" s="104" t="s">
        <v>277</v>
      </c>
      <c r="C470" s="104" t="s">
        <v>742</v>
      </c>
      <c r="D470" s="104" t="s">
        <v>702</v>
      </c>
      <c r="E470" s="104" t="s">
        <v>461</v>
      </c>
      <c r="F470" s="104" t="s">
        <v>462</v>
      </c>
      <c r="G470" s="105">
        <v>188253</v>
      </c>
      <c r="H470" s="105">
        <v>59218</v>
      </c>
      <c r="I470" s="105">
        <v>24317</v>
      </c>
      <c r="J470" s="106">
        <v>8.25</v>
      </c>
      <c r="K470" s="106">
        <v>3.68</v>
      </c>
      <c r="L470" s="107">
        <v>38484.22</v>
      </c>
      <c r="M470" s="108">
        <f t="shared" si="168"/>
        <v>31.456603613222633</v>
      </c>
      <c r="N470" s="108">
        <f t="shared" si="169"/>
        <v>12.91719122670024</v>
      </c>
      <c r="O470" s="108">
        <f t="shared" si="170"/>
        <v>41.063527981357019</v>
      </c>
      <c r="P470" s="108">
        <f t="shared" si="171"/>
        <v>204.42818972340416</v>
      </c>
      <c r="Q470" s="108">
        <f t="shared" si="172"/>
        <v>35.409886702202286</v>
      </c>
      <c r="R470" s="108">
        <f t="shared" si="173"/>
        <v>30.71114383300629</v>
      </c>
      <c r="S470" s="101">
        <f t="shared" si="174"/>
        <v>45948</v>
      </c>
      <c r="T470" s="102" t="str">
        <f t="shared" si="175"/>
        <v>Octubre</v>
      </c>
      <c r="U470" s="102" t="str">
        <f t="shared" si="176"/>
        <v>Sábado</v>
      </c>
      <c r="V470" s="102">
        <f t="shared" si="177"/>
        <v>16</v>
      </c>
      <c r="W470" s="102" t="str">
        <f t="shared" si="178"/>
        <v>Días después del pago</v>
      </c>
      <c r="X470" s="102">
        <f t="shared" si="179"/>
        <v>27</v>
      </c>
      <c r="Y470" s="102" t="str">
        <f t="shared" si="180"/>
        <v>Sí</v>
      </c>
      <c r="Z470" s="102" t="str">
        <f>CHOOSE(MATCH(B470,{"Customer Appreciation","Exclusive Offers","Flash Sale","Holiday Discounts","New Product Launch","Newsletter"},0),"Fidelizar","Vender","Vender","Vender","Lanzar","Educar")</f>
        <v>Vender</v>
      </c>
      <c r="AA470" s="102" t="str">
        <f t="shared" si="181"/>
        <v>100 a 200 mil</v>
      </c>
      <c r="AB470" s="102">
        <f>COUNTIFS($E$5:$E$493,E470,$S$5:$S$493,"&lt;"&amp;S470)+COUNTIFS($E$5:E470,E470,$S$5:S470,S470)</f>
        <v>27</v>
      </c>
      <c r="AC470" s="102">
        <f t="shared" si="182"/>
        <v>30</v>
      </c>
      <c r="AD470" s="102" t="str">
        <f t="shared" si="183"/>
        <v>Último tercio</v>
      </c>
      <c r="AE470" s="103">
        <f t="shared" si="184"/>
        <v>-3.9532830889796529</v>
      </c>
      <c r="AF470" s="102" t="str">
        <f t="shared" si="185"/>
        <v xml:space="preserve">  regalos perfectos te esperan  descuentos de lujo  l'oréal </v>
      </c>
      <c r="AG470" s="102" t="str">
        <f t="shared" si="186"/>
        <v xml:space="preserve"> encuentra ese detalle especial para ti o tus seres queridos   descubre  </v>
      </c>
      <c r="AH470" s="102" t="str">
        <f>IF(SUMPRODUCT(--(LEFT(IF(LEFT(LOWER(E470),1)="¡",MID(LOWER(E470),2,300),LOWER(E470)),LEN({"actualizaci","el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470" s="102" t="str">
        <f>IF(OR(SUMPRODUCT(--ISNUMBER(SEARCH({"descuento","oferta","ahorr","precio"," sale ","flash","deals"},AF470)))&gt;0,SUMPRODUCT(--ISNUMBER(SEARCH({"descuento","oferta","ahorr","precio"," sale ","flash","deals"},AG470)))&gt;0),"Sí","No")</f>
        <v>Sí</v>
      </c>
      <c r="AJ470" s="102" t="str">
        <f>IF(SUMPRODUCT(--ISNUMBER(SEARCH({" hoy ","horas","tiempo limitado","antes de que","se acab","se agot","finalic","última oportunidad","oportunidad única","relámpago","express","no esperes","no volver","no parpadees"},AF470)))&gt;0,"Sí","No")</f>
        <v>No</v>
      </c>
      <c r="AK470" s="102" t="str">
        <f>IF(SUMPRODUCT(--ISNUMBER(SEARCH({" hoy ","horas","tiempo limitado","antes de que","se acab","se agot","finalic","última oportunidad","oportunidad única","relámpago","express","no esperes","no volver","no parpadees"},AG470)))&gt;0,"Sí","No")</f>
        <v>No</v>
      </c>
      <c r="AL470" s="102" t="str">
        <f t="shared" si="187"/>
        <v>Descuento sin tiempo límite</v>
      </c>
      <c r="AM470" s="102" t="str">
        <f>IF(SUMPRODUCT(--ISNUMBER(SEARCH({"0","1","2","3","4","5","6","7","8","9","favorit","maquillaje","piel","cabello","productos","belleza","regalo"},E470)))&gt;0,"Sí","No")</f>
        <v>Sí</v>
      </c>
      <c r="AN470" s="102" t="str">
        <f>IF(SUMPRODUCT(--ISNUMBER(SEARCH({"lo que tenemos","estas ofertas","algo especial","ofertas únicas","que preparamos","no te quedes","echa un vistazo"},F470)))&gt;0,"Sí","No")</f>
        <v>No</v>
      </c>
      <c r="AO470" s="102">
        <f t="shared" si="188"/>
        <v>58</v>
      </c>
      <c r="AP470" s="102">
        <f t="shared" si="189"/>
        <v>8</v>
      </c>
      <c r="AQ470" s="102">
        <f>SUMPRODUCT(LEN(E470)-LEN(SUBSTITUTE(E470,{"!","¡","?","¿",":",",",".","%","·","-",";"},"")))</f>
        <v>3</v>
      </c>
      <c r="AR470" s="102" t="str">
        <f t="shared" si="190"/>
        <v>Sí</v>
      </c>
      <c r="AS470" s="102" t="str">
        <f t="shared" si="191"/>
        <v>No</v>
      </c>
      <c r="AT470" s="102" t="str">
        <f>IF(SUMPRODUCT(--ISNUMBER(FIND({"0","1","2","3","4","5","6","7","8","9"},E470)))&gt;0,"Con cifra concreta",IF(OR(ISNUMBER(FIND("?",E470)),ISNUMBER(FIND("¿",E470))),"Pregunta abierta",IF(SUMPRODUCT(--ISNUMBER(SEARCH({" hoy ","horas","tiempo limitado","antes de que","se acab","se agot","finalic","última oportunidad","oportunidad única","relámpago","express","no esperes","no volver","no parpadees"," ya ","últimas horas","últimas unidades"," ahora "},AF470)))&gt;0,"Solo urgencia, sin cifra",IF(SUMPRODUCT(--ISNUMBER(SEARCH({"recompensa","sorpresa","regalo","lealtad","detalle","gracias","pensamos en ti","para ti"},E470)))&gt;0,"Recompensa o sorpresa","Otro: beneficio o novedad"))))</f>
        <v>Recompensa o sorpresa</v>
      </c>
    </row>
    <row r="471" spans="1:46" x14ac:dyDescent="0.2">
      <c r="A471" s="96" t="s">
        <v>1342</v>
      </c>
      <c r="B471" s="96" t="s">
        <v>277</v>
      </c>
      <c r="C471" s="96" t="s">
        <v>773</v>
      </c>
      <c r="D471" s="96" t="s">
        <v>707</v>
      </c>
      <c r="E471" s="96" t="s">
        <v>469</v>
      </c>
      <c r="F471" s="96" t="s">
        <v>470</v>
      </c>
      <c r="G471" s="97">
        <v>375635</v>
      </c>
      <c r="H471" s="97">
        <v>106095</v>
      </c>
      <c r="I471" s="97">
        <v>33668</v>
      </c>
      <c r="J471" s="98">
        <v>0.94</v>
      </c>
      <c r="K471" s="98">
        <v>0.81</v>
      </c>
      <c r="L471" s="99">
        <v>8809.15</v>
      </c>
      <c r="M471" s="100">
        <f t="shared" si="168"/>
        <v>28.244173200047918</v>
      </c>
      <c r="N471" s="100">
        <f t="shared" si="169"/>
        <v>8.9629560610699208</v>
      </c>
      <c r="O471" s="100">
        <f t="shared" si="170"/>
        <v>31.733823460106507</v>
      </c>
      <c r="P471" s="100">
        <f t="shared" si="171"/>
        <v>23.451355704340649</v>
      </c>
      <c r="Q471" s="100">
        <f t="shared" si="172"/>
        <v>29.233022524783024</v>
      </c>
      <c r="R471" s="100">
        <f t="shared" si="173"/>
        <v>30.71114383300629</v>
      </c>
      <c r="S471" s="101">
        <f t="shared" si="174"/>
        <v>45909</v>
      </c>
      <c r="T471" s="102" t="str">
        <f t="shared" si="175"/>
        <v>Septiembre</v>
      </c>
      <c r="U471" s="102" t="str">
        <f t="shared" si="176"/>
        <v>Martes</v>
      </c>
      <c r="V471" s="102">
        <f t="shared" si="177"/>
        <v>13</v>
      </c>
      <c r="W471" s="102" t="str">
        <f t="shared" si="178"/>
        <v>Resto del mes</v>
      </c>
      <c r="X471" s="102">
        <f t="shared" si="179"/>
        <v>28</v>
      </c>
      <c r="Y471" s="102" t="str">
        <f t="shared" si="180"/>
        <v>Sí</v>
      </c>
      <c r="Z471" s="102" t="str">
        <f>CHOOSE(MATCH(B471,{"Customer Appreciation","Exclusive Offers","Flash Sale","Holiday Discounts","New Product Launch","Newsletter"},0),"Fidelizar","Vender","Vender","Vender","Lanzar","Educar")</f>
        <v>Vender</v>
      </c>
      <c r="AA471" s="102" t="str">
        <f t="shared" si="181"/>
        <v>300 a 400 mil</v>
      </c>
      <c r="AB471" s="102">
        <f>COUNTIFS($E$5:$E$493,E471,$S$5:$S$493,"&lt;"&amp;S471)+COUNTIFS($E$5:E471,E471,$S$5:S471,S471)</f>
        <v>9</v>
      </c>
      <c r="AC471" s="102">
        <f t="shared" si="182"/>
        <v>20</v>
      </c>
      <c r="AD471" s="102" t="str">
        <f t="shared" si="183"/>
        <v>Medio</v>
      </c>
      <c r="AE471" s="103">
        <f t="shared" si="184"/>
        <v>-0.98884932473510645</v>
      </c>
      <c r="AF471" s="102" t="str">
        <f t="shared" si="185"/>
        <v xml:space="preserve">  celebra con nosotros  descuentos festivos para regalar </v>
      </c>
      <c r="AG471" s="102" t="str">
        <f t="shared" si="186"/>
        <v xml:space="preserve"> regalos perfectos y ofertas que te encantarán   descubre más  </v>
      </c>
      <c r="AH471" s="102" t="str">
        <f>IF(SUMPRODUCT(--(LEFT(IF(LEFT(LOWER(E471),1)="¡",MID(LOWER(E471),2,300),LOWER(E471)),LEN({"actualizaci","el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471" s="102" t="str">
        <f>IF(OR(SUMPRODUCT(--ISNUMBER(SEARCH({"descuento","oferta","ahorr","precio"," sale ","flash","deals"},AF471)))&gt;0,SUMPRODUCT(--ISNUMBER(SEARCH({"descuento","oferta","ahorr","precio"," sale ","flash","deals"},AG471)))&gt;0),"Sí","No")</f>
        <v>Sí</v>
      </c>
      <c r="AJ471" s="102" t="str">
        <f>IF(SUMPRODUCT(--ISNUMBER(SEARCH({" hoy ","horas","tiempo limitado","antes de que","se acab","se agot","finalic","última oportunidad","oportunidad única","relámpago","express","no esperes","no volver","no parpadees"},AF471)))&gt;0,"Sí","No")</f>
        <v>No</v>
      </c>
      <c r="AK471" s="102" t="str">
        <f>IF(SUMPRODUCT(--ISNUMBER(SEARCH({" hoy ","horas","tiempo limitado","antes de que","se acab","se agot","finalic","última oportunidad","oportunidad única","relámpago","express","no esperes","no volver","no parpadees"},AG471)))&gt;0,"Sí","No")</f>
        <v>No</v>
      </c>
      <c r="AL471" s="102" t="str">
        <f t="shared" si="187"/>
        <v>Descuento sin tiempo límite</v>
      </c>
      <c r="AM471" s="102" t="str">
        <f>IF(SUMPRODUCT(--ISNUMBER(SEARCH({"0","1","2","3","4","5","6","7","8","9","favorit","maquillaje","piel","cabello","productos","belleza","regalo"},E471)))&gt;0,"Sí","No")</f>
        <v>No</v>
      </c>
      <c r="AN471" s="102" t="str">
        <f>IF(SUMPRODUCT(--ISNUMBER(SEARCH({"lo que tenemos","estas ofertas","algo especial","ofertas únicas","que preparamos","no te quedes","echa un vistazo"},F471)))&gt;0,"Sí","No")</f>
        <v>No</v>
      </c>
      <c r="AO471" s="102">
        <f t="shared" si="188"/>
        <v>55</v>
      </c>
      <c r="AP471" s="102">
        <f t="shared" si="189"/>
        <v>7</v>
      </c>
      <c r="AQ471" s="102">
        <f>SUMPRODUCT(LEN(E471)-LEN(SUBSTITUTE(E471,{"!","¡","?","¿",":",",",".","%","·","-",";"},"")))</f>
        <v>2</v>
      </c>
      <c r="AR471" s="102" t="str">
        <f t="shared" si="190"/>
        <v>Sí</v>
      </c>
      <c r="AS471" s="102" t="str">
        <f t="shared" si="191"/>
        <v>No</v>
      </c>
      <c r="AT471" s="102" t="str">
        <f>IF(SUMPRODUCT(--ISNUMBER(FIND({"0","1","2","3","4","5","6","7","8","9"},E471)))&gt;0,"Con cifra concreta",IF(OR(ISNUMBER(FIND("?",E471)),ISNUMBER(FIND("¿",E471))),"Pregunta abierta",IF(SUMPRODUCT(--ISNUMBER(SEARCH({" hoy ","horas","tiempo limitado","antes de que","se acab","se agot","finalic","última oportunidad","oportunidad única","relámpago","express","no esperes","no volver","no parpadees"," ya ","últimas horas","últimas unidades"," ahora "},AF471)))&gt;0,"Solo urgencia, sin cifra",IF(SUMPRODUCT(--ISNUMBER(SEARCH({"recompensa","sorpresa","regalo","lealtad","detalle","gracias","pensamos en ti","para ti"},E471)))&gt;0,"Recompensa o sorpresa","Otro: beneficio o novedad"))))</f>
        <v>Otro: beneficio o novedad</v>
      </c>
    </row>
    <row r="472" spans="1:46" x14ac:dyDescent="0.2">
      <c r="A472" s="104" t="s">
        <v>1343</v>
      </c>
      <c r="B472" s="104" t="s">
        <v>279</v>
      </c>
      <c r="C472" s="104" t="s">
        <v>980</v>
      </c>
      <c r="D472" s="104" t="s">
        <v>824</v>
      </c>
      <c r="E472" s="104" t="s">
        <v>369</v>
      </c>
      <c r="F472" s="104" t="s">
        <v>457</v>
      </c>
      <c r="G472" s="105">
        <v>215418</v>
      </c>
      <c r="H472" s="105">
        <v>102830</v>
      </c>
      <c r="I472" s="105">
        <v>31620</v>
      </c>
      <c r="J472" s="106">
        <v>4.5599999999999996</v>
      </c>
      <c r="K472" s="106">
        <v>1.5</v>
      </c>
      <c r="L472" s="107">
        <v>20372.91</v>
      </c>
      <c r="M472" s="108">
        <f t="shared" si="168"/>
        <v>47.735101059335804</v>
      </c>
      <c r="N472" s="108">
        <f t="shared" si="169"/>
        <v>14.678439127649501</v>
      </c>
      <c r="O472" s="108">
        <f t="shared" si="170"/>
        <v>30.749781192259068</v>
      </c>
      <c r="P472" s="108">
        <f t="shared" si="171"/>
        <v>94.573851767261786</v>
      </c>
      <c r="Q472" s="108">
        <f t="shared" si="172"/>
        <v>36.827379346292652</v>
      </c>
      <c r="R472" s="108">
        <f t="shared" si="173"/>
        <v>27.75136451093497</v>
      </c>
      <c r="S472" s="101">
        <f t="shared" si="174"/>
        <v>45875</v>
      </c>
      <c r="T472" s="102" t="str">
        <f t="shared" si="175"/>
        <v>Agosto</v>
      </c>
      <c r="U472" s="102" t="str">
        <f t="shared" si="176"/>
        <v>Miércoles</v>
      </c>
      <c r="V472" s="102">
        <f t="shared" si="177"/>
        <v>10</v>
      </c>
      <c r="W472" s="102" t="str">
        <f t="shared" si="178"/>
        <v>Resto del mes</v>
      </c>
      <c r="X472" s="102">
        <f t="shared" si="179"/>
        <v>28</v>
      </c>
      <c r="Y472" s="102" t="str">
        <f t="shared" si="180"/>
        <v>Sí</v>
      </c>
      <c r="Z472" s="102" t="str">
        <f>CHOOSE(MATCH(B472,{"Customer Appreciation","Exclusive Offers","Flash Sale","Holiday Discounts","New Product Launch","Newsletter"},0),"Fidelizar","Vender","Vender","Vender","Lanzar","Educar")</f>
        <v>Educar</v>
      </c>
      <c r="AA472" s="102" t="str">
        <f t="shared" si="181"/>
        <v>200 a 300 mil</v>
      </c>
      <c r="AB472" s="102">
        <f>COUNTIFS($E$5:$E$493,E472,$S$5:$S$493,"&lt;"&amp;S472)+COUNTIFS($E$5:E472,E472,$S$5:S472,S472)</f>
        <v>5</v>
      </c>
      <c r="AC472" s="102">
        <f t="shared" si="182"/>
        <v>19</v>
      </c>
      <c r="AD472" s="102" t="str">
        <f t="shared" si="183"/>
        <v>Primer tercio</v>
      </c>
      <c r="AE472" s="103">
        <f t="shared" si="184"/>
        <v>10.907721713043152</v>
      </c>
      <c r="AF472" s="102" t="str">
        <f t="shared" si="185"/>
        <v xml:space="preserve"> lo último en l'oréal  mantente informad@ de las novedades </v>
      </c>
      <c r="AG472" s="102" t="str">
        <f t="shared" si="186"/>
        <v xml:space="preserve"> descubre las novedades y tips de la semana   entra ya  </v>
      </c>
      <c r="AH472" s="102" t="str">
        <f>IF(SUMPRODUCT(--(LEFT(IF(LEFT(LOWER(E472),1)="¡",MID(LOWER(E472),2,300),LOWER(E472)),LEN({"actualizaci","el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472" s="102" t="str">
        <f>IF(OR(SUMPRODUCT(--ISNUMBER(SEARCH({"descuento","oferta","ahorr","precio"," sale ","flash","deals"},AF472)))&gt;0,SUMPRODUCT(--ISNUMBER(SEARCH({"descuento","oferta","ahorr","precio"," sale ","flash","deals"},AG472)))&gt;0),"Sí","No")</f>
        <v>No</v>
      </c>
      <c r="AJ472" s="102" t="str">
        <f>IF(SUMPRODUCT(--ISNUMBER(SEARCH({" hoy ","horas","tiempo limitado","antes de que","se acab","se agot","finalic","última oportunidad","oportunidad única","relámpago","express","no esperes","no volver","no parpadees"},AF472)))&gt;0,"Sí","No")</f>
        <v>No</v>
      </c>
      <c r="AK472" s="102" t="str">
        <f>IF(SUMPRODUCT(--ISNUMBER(SEARCH({" hoy ","horas","tiempo limitado","antes de que","se acab","se agot","finalic","última oportunidad","oportunidad única","relámpago","express","no esperes","no volver","no parpadees"},AG472)))&gt;0,"Sí","No")</f>
        <v>No</v>
      </c>
      <c r="AL472" s="102" t="str">
        <f t="shared" si="187"/>
        <v>Sin descuento</v>
      </c>
      <c r="AM472" s="102" t="str">
        <f>IF(SUMPRODUCT(--ISNUMBER(SEARCH({"0","1","2","3","4","5","6","7","8","9","favorit","maquillaje","piel","cabello","productos","belleza","regalo"},E472)))&gt;0,"Sí","No")</f>
        <v>No</v>
      </c>
      <c r="AN472" s="102" t="str">
        <f>IF(SUMPRODUCT(--ISNUMBER(SEARCH({"lo que tenemos","estas ofertas","algo especial","ofertas únicas","que preparamos","no te quedes","echa un vistazo"},F472)))&gt;0,"Sí","No")</f>
        <v>No</v>
      </c>
      <c r="AO472" s="102">
        <f t="shared" si="188"/>
        <v>57</v>
      </c>
      <c r="AP472" s="102">
        <f t="shared" si="189"/>
        <v>9</v>
      </c>
      <c r="AQ472" s="102">
        <f>SUMPRODUCT(LEN(E472)-LEN(SUBSTITUTE(E472,{"!","¡","?","¿",":",",",".","%","·","-",";"},"")))</f>
        <v>1</v>
      </c>
      <c r="AR472" s="102" t="str">
        <f t="shared" si="190"/>
        <v>Sí</v>
      </c>
      <c r="AS472" s="102" t="str">
        <f t="shared" si="191"/>
        <v>No</v>
      </c>
      <c r="AT472" s="102" t="str">
        <f>IF(SUMPRODUCT(--ISNUMBER(FIND({"0","1","2","3","4","5","6","7","8","9"},E472)))&gt;0,"Con cifra concreta",IF(OR(ISNUMBER(FIND("?",E472)),ISNUMBER(FIND("¿",E472))),"Pregunta abierta",IF(SUMPRODUCT(--ISNUMBER(SEARCH({" hoy ","horas","tiempo limitado","antes de que","se acab","se agot","finalic","última oportunidad","oportunidad única","relámpago","express","no esperes","no volver","no parpadees"," ya ","últimas horas","últimas unidades"," ahora "},AF472)))&gt;0,"Solo urgencia, sin cifra",IF(SUMPRODUCT(--ISNUMBER(SEARCH({"recompensa","sorpresa","regalo","lealtad","detalle","gracias","pensamos en ti","para ti"},E472)))&gt;0,"Recompensa o sorpresa","Otro: beneficio o novedad"))))</f>
        <v>Otro: beneficio o novedad</v>
      </c>
    </row>
    <row r="473" spans="1:46" x14ac:dyDescent="0.2">
      <c r="A473" s="96" t="s">
        <v>1344</v>
      </c>
      <c r="B473" s="96" t="s">
        <v>279</v>
      </c>
      <c r="C473" s="96" t="s">
        <v>815</v>
      </c>
      <c r="D473" s="96" t="s">
        <v>764</v>
      </c>
      <c r="E473" s="96" t="s">
        <v>463</v>
      </c>
      <c r="F473" s="96" t="s">
        <v>464</v>
      </c>
      <c r="G473" s="97">
        <v>441856</v>
      </c>
      <c r="H473" s="97">
        <v>123629</v>
      </c>
      <c r="I473" s="97">
        <v>59871</v>
      </c>
      <c r="J473" s="98">
        <v>1.99</v>
      </c>
      <c r="K473" s="98">
        <v>1.04</v>
      </c>
      <c r="L473" s="99">
        <v>25180.44</v>
      </c>
      <c r="M473" s="100">
        <f t="shared" si="168"/>
        <v>27.979477476825025</v>
      </c>
      <c r="N473" s="100">
        <f t="shared" si="169"/>
        <v>13.54988955677868</v>
      </c>
      <c r="O473" s="100">
        <f t="shared" si="170"/>
        <v>48.427957841606748</v>
      </c>
      <c r="P473" s="100">
        <f t="shared" si="171"/>
        <v>56.987887456546929</v>
      </c>
      <c r="Q473" s="100">
        <f t="shared" si="172"/>
        <v>33.412775116147934</v>
      </c>
      <c r="R473" s="100">
        <f t="shared" si="173"/>
        <v>27.75136451093497</v>
      </c>
      <c r="S473" s="101">
        <f t="shared" si="174"/>
        <v>45959</v>
      </c>
      <c r="T473" s="102" t="str">
        <f t="shared" si="175"/>
        <v>Octubre</v>
      </c>
      <c r="U473" s="102" t="str">
        <f t="shared" si="176"/>
        <v>Miércoles</v>
      </c>
      <c r="V473" s="102">
        <f t="shared" si="177"/>
        <v>15</v>
      </c>
      <c r="W473" s="102" t="str">
        <f t="shared" si="178"/>
        <v>Resto del mes</v>
      </c>
      <c r="X473" s="102">
        <f t="shared" si="179"/>
        <v>27</v>
      </c>
      <c r="Y473" s="102" t="str">
        <f t="shared" si="180"/>
        <v>Sí</v>
      </c>
      <c r="Z473" s="102" t="str">
        <f>CHOOSE(MATCH(B473,{"Customer Appreciation","Exclusive Offers","Flash Sale","Holiday Discounts","New Product Launch","Newsletter"},0),"Fidelizar","Vender","Vender","Vender","Lanzar","Educar")</f>
        <v>Educar</v>
      </c>
      <c r="AA473" s="102" t="str">
        <f t="shared" si="181"/>
        <v>Más de 400 mil</v>
      </c>
      <c r="AB473" s="102">
        <f>COUNTIFS($E$5:$E$493,E473,$S$5:$S$493,"&lt;"&amp;S473)+COUNTIFS($E$5:E473,E473,$S$5:S473,S473)</f>
        <v>25</v>
      </c>
      <c r="AC473" s="102">
        <f t="shared" si="182"/>
        <v>25</v>
      </c>
      <c r="AD473" s="102" t="str">
        <f t="shared" si="183"/>
        <v>Último tercio</v>
      </c>
      <c r="AE473" s="103">
        <f t="shared" si="184"/>
        <v>-5.4332976393229089</v>
      </c>
      <c r="AF473" s="102" t="str">
        <f t="shared" si="185"/>
        <v xml:space="preserve"> tu dosis de belleza   no te lo pierdas  tips y trucos </v>
      </c>
      <c r="AG473" s="102" t="str">
        <f t="shared" si="186"/>
        <v xml:space="preserve"> consejos expertos  tendencias y más en tu bandeja de entrada   descúbrelo  </v>
      </c>
      <c r="AH473" s="102" t="str">
        <f>IF(SUMPRODUCT(--(LEFT(IF(LEFT(LOWER(E473),1)="¡",MID(LOWER(E473),2,300),LOWER(E473)),LEN({"actualizaci","el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473" s="102" t="str">
        <f>IF(OR(SUMPRODUCT(--ISNUMBER(SEARCH({"descuento","oferta","ahorr","precio"," sale ","flash","deals"},AF473)))&gt;0,SUMPRODUCT(--ISNUMBER(SEARCH({"descuento","oferta","ahorr","precio"," sale ","flash","deals"},AG473)))&gt;0),"Sí","No")</f>
        <v>No</v>
      </c>
      <c r="AJ473" s="102" t="str">
        <f>IF(SUMPRODUCT(--ISNUMBER(SEARCH({" hoy ","horas","tiempo limitado","antes de que","se acab","se agot","finalic","última oportunidad","oportunidad única","relámpago","express","no esperes","no volver","no parpadees"},AF473)))&gt;0,"Sí","No")</f>
        <v>No</v>
      </c>
      <c r="AK473" s="102" t="str">
        <f>IF(SUMPRODUCT(--ISNUMBER(SEARCH({" hoy ","horas","tiempo limitado","antes de que","se acab","se agot","finalic","última oportunidad","oportunidad única","relámpago","express","no esperes","no volver","no parpadees"},AG473)))&gt;0,"Sí","No")</f>
        <v>No</v>
      </c>
      <c r="AL473" s="102" t="str">
        <f t="shared" si="187"/>
        <v>Sin descuento</v>
      </c>
      <c r="AM473" s="102" t="str">
        <f>IF(SUMPRODUCT(--ISNUMBER(SEARCH({"0","1","2","3","4","5","6","7","8","9","favorit","maquillaje","piel","cabello","productos","belleza","regalo"},E473)))&gt;0,"Sí","No")</f>
        <v>Sí</v>
      </c>
      <c r="AN473" s="102" t="str">
        <f>IF(SUMPRODUCT(--ISNUMBER(SEARCH({"lo que tenemos","estas ofertas","algo especial","ofertas únicas","que preparamos","no te quedes","echa un vistazo"},F473)))&gt;0,"Sí","No")</f>
        <v>No</v>
      </c>
      <c r="AO473" s="102">
        <f t="shared" si="188"/>
        <v>53</v>
      </c>
      <c r="AP473" s="102">
        <f t="shared" si="189"/>
        <v>11</v>
      </c>
      <c r="AQ473" s="102">
        <f>SUMPRODUCT(LEN(E473)-LEN(SUBSTITUTE(E473,{"!","¡","?","¿",":",",",".","%","·","-",";"},"")))</f>
        <v>3</v>
      </c>
      <c r="AR473" s="102" t="str">
        <f t="shared" si="190"/>
        <v>No</v>
      </c>
      <c r="AS473" s="102" t="str">
        <f t="shared" si="191"/>
        <v>No</v>
      </c>
      <c r="AT473" s="102" t="str">
        <f>IF(SUMPRODUCT(--ISNUMBER(FIND({"0","1","2","3","4","5","6","7","8","9"},E473)))&gt;0,"Con cifra concreta",IF(OR(ISNUMBER(FIND("?",E473)),ISNUMBER(FIND("¿",E473))),"Pregunta abierta",IF(SUMPRODUCT(--ISNUMBER(SEARCH({" hoy ","horas","tiempo limitado","antes de que","se acab","se agot","finalic","última oportunidad","oportunidad única","relámpago","express","no esperes","no volver","no parpadees"," ya ","últimas horas","últimas unidades"," ahora "},AF473)))&gt;0,"Solo urgencia, sin cifra",IF(SUMPRODUCT(--ISNUMBER(SEARCH({"recompensa","sorpresa","regalo","lealtad","detalle","gracias","pensamos en ti","para ti"},E473)))&gt;0,"Recompensa o sorpresa","Otro: beneficio o novedad"))))</f>
        <v>Otro: beneficio o novedad</v>
      </c>
    </row>
    <row r="474" spans="1:46" x14ac:dyDescent="0.2">
      <c r="A474" s="104" t="s">
        <v>1345</v>
      </c>
      <c r="B474" s="104" t="s">
        <v>276</v>
      </c>
      <c r="C474" s="104" t="s">
        <v>869</v>
      </c>
      <c r="D474" s="104" t="s">
        <v>821</v>
      </c>
      <c r="E474" s="104" t="s">
        <v>450</v>
      </c>
      <c r="F474" s="104" t="s">
        <v>451</v>
      </c>
      <c r="G474" s="105">
        <v>135396</v>
      </c>
      <c r="H474" s="105">
        <v>55191</v>
      </c>
      <c r="I474" s="105">
        <v>2654</v>
      </c>
      <c r="J474" s="106">
        <v>9.82</v>
      </c>
      <c r="K474" s="106">
        <v>1.5</v>
      </c>
      <c r="L474" s="107">
        <v>97061.11</v>
      </c>
      <c r="M474" s="108">
        <f t="shared" si="168"/>
        <v>40.762651777009665</v>
      </c>
      <c r="N474" s="108">
        <f t="shared" si="169"/>
        <v>1.9601760761026914</v>
      </c>
      <c r="O474" s="108">
        <f t="shared" si="170"/>
        <v>4.8087550506423149</v>
      </c>
      <c r="P474" s="108">
        <f t="shared" si="171"/>
        <v>716.8683712960501</v>
      </c>
      <c r="Q474" s="108">
        <f t="shared" si="172"/>
        <v>41.593592985418489</v>
      </c>
      <c r="R474" s="108">
        <f t="shared" si="173"/>
        <v>29.440902453236173</v>
      </c>
      <c r="S474" s="101">
        <f t="shared" si="174"/>
        <v>45917</v>
      </c>
      <c r="T474" s="102" t="str">
        <f t="shared" si="175"/>
        <v>Septiembre</v>
      </c>
      <c r="U474" s="102" t="str">
        <f t="shared" si="176"/>
        <v>Miércoles</v>
      </c>
      <c r="V474" s="102">
        <f t="shared" si="177"/>
        <v>8</v>
      </c>
      <c r="W474" s="102" t="str">
        <f t="shared" si="178"/>
        <v>Días después del pago</v>
      </c>
      <c r="X474" s="102">
        <f t="shared" si="179"/>
        <v>26</v>
      </c>
      <c r="Y474" s="102" t="str">
        <f t="shared" si="180"/>
        <v>Sí</v>
      </c>
      <c r="Z474" s="102" t="str">
        <f>CHOOSE(MATCH(B474,{"Customer Appreciation","Exclusive Offers","Flash Sale","Holiday Discounts","New Product Launch","Newsletter"},0),"Fidelizar","Vender","Vender","Vender","Lanzar","Educar")</f>
        <v>Vender</v>
      </c>
      <c r="AA474" s="102" t="str">
        <f t="shared" si="181"/>
        <v>100 a 200 mil</v>
      </c>
      <c r="AB474" s="102">
        <f>COUNTIFS($E$5:$E$493,E474,$S$5:$S$493,"&lt;"&amp;S474)+COUNTIFS($E$5:E474,E474,$S$5:S474,S474)</f>
        <v>14</v>
      </c>
      <c r="AC474" s="102">
        <f t="shared" si="182"/>
        <v>21</v>
      </c>
      <c r="AD474" s="102" t="str">
        <f t="shared" si="183"/>
        <v>Medio</v>
      </c>
      <c r="AE474" s="103">
        <f t="shared" si="184"/>
        <v>-0.83094120840882368</v>
      </c>
      <c r="AF474" s="102" t="str">
        <f t="shared" si="185"/>
        <v xml:space="preserve">  ahorra ya  flash sale  hasta 50% en tus favoritos </v>
      </c>
      <c r="AG474" s="102" t="str">
        <f t="shared" si="186"/>
        <v xml:space="preserve"> edición limitada  maquillaje  cuidado de piel y más   corre  </v>
      </c>
      <c r="AH474" s="102" t="str">
        <f>IF(SUMPRODUCT(--(LEFT(IF(LEFT(LOWER(E474),1)="¡",MID(LOWER(E474),2,300),LOWER(E474)),LEN({"actualizaci","el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474" s="102" t="str">
        <f>IF(OR(SUMPRODUCT(--ISNUMBER(SEARCH({"descuento","oferta","ahorr","precio"," sale ","flash","deals"},AF474)))&gt;0,SUMPRODUCT(--ISNUMBER(SEARCH({"descuento","oferta","ahorr","precio"," sale ","flash","deals"},AG474)))&gt;0),"Sí","No")</f>
        <v>Sí</v>
      </c>
      <c r="AJ474" s="102" t="str">
        <f>IF(SUMPRODUCT(--ISNUMBER(SEARCH({" hoy ","horas","tiempo limitado","antes de que","se acab","se agot","finalic","última oportunidad","oportunidad única","relámpago","express","no esperes","no volver","no parpadees"},AF474)))&gt;0,"Sí","No")</f>
        <v>No</v>
      </c>
      <c r="AK474" s="102" t="str">
        <f>IF(SUMPRODUCT(--ISNUMBER(SEARCH({" hoy ","horas","tiempo limitado","antes de que","se acab","se agot","finalic","última oportunidad","oportunidad única","relámpago","express","no esperes","no volver","no parpadees"},AG474)))&gt;0,"Sí","No")</f>
        <v>No</v>
      </c>
      <c r="AL474" s="102" t="str">
        <f t="shared" si="187"/>
        <v>Descuento sin tiempo límite</v>
      </c>
      <c r="AM474" s="102" t="str">
        <f>IF(SUMPRODUCT(--ISNUMBER(SEARCH({"0","1","2","3","4","5","6","7","8","9","favorit","maquillaje","piel","cabello","productos","belleza","regalo"},E474)))&gt;0,"Sí","No")</f>
        <v>Sí</v>
      </c>
      <c r="AN474" s="102" t="str">
        <f>IF(SUMPRODUCT(--ISNUMBER(SEARCH({"lo que tenemos","estas ofertas","algo especial","ofertas únicas","que preparamos","no te quedes","echa un vistazo"},F474)))&gt;0,"Sí","No")</f>
        <v>No</v>
      </c>
      <c r="AO474" s="102">
        <f t="shared" si="188"/>
        <v>50</v>
      </c>
      <c r="AP474" s="102">
        <f t="shared" si="189"/>
        <v>9</v>
      </c>
      <c r="AQ474" s="102">
        <f>SUMPRODUCT(LEN(E474)-LEN(SUBSTITUTE(E474,{"!","¡","?","¿",":",",",".","%","·","-",";"},"")))</f>
        <v>4</v>
      </c>
      <c r="AR474" s="102" t="str">
        <f t="shared" si="190"/>
        <v>No</v>
      </c>
      <c r="AS474" s="102" t="str">
        <f t="shared" si="191"/>
        <v>No</v>
      </c>
      <c r="AT474" s="102" t="str">
        <f>IF(SUMPRODUCT(--ISNUMBER(FIND({"0","1","2","3","4","5","6","7","8","9"},E474)))&gt;0,"Con cifra concreta",IF(OR(ISNUMBER(FIND("?",E474)),ISNUMBER(FIND("¿",E474))),"Pregunta abierta",IF(SUMPRODUCT(--ISNUMBER(SEARCH({" hoy ","horas","tiempo limitado","antes de que","se acab","se agot","finalic","última oportunidad","oportunidad única","relámpago","express","no esperes","no volver","no parpadees"," ya ","últimas horas","últimas unidades"," ahora "},AF474)))&gt;0,"Solo urgencia, sin cifra",IF(SUMPRODUCT(--ISNUMBER(SEARCH({"recompensa","sorpresa","regalo","lealtad","detalle","gracias","pensamos en ti","para ti"},E474)))&gt;0,"Recompensa o sorpresa","Otro: beneficio o novedad"))))</f>
        <v>Con cifra concreta</v>
      </c>
    </row>
    <row r="475" spans="1:46" x14ac:dyDescent="0.2">
      <c r="A475" s="96" t="s">
        <v>1346</v>
      </c>
      <c r="B475" s="96" t="s">
        <v>276</v>
      </c>
      <c r="C475" s="96" t="s">
        <v>944</v>
      </c>
      <c r="D475" s="96" t="s">
        <v>794</v>
      </c>
      <c r="E475" s="96" t="s">
        <v>474</v>
      </c>
      <c r="F475" s="96" t="s">
        <v>475</v>
      </c>
      <c r="G475" s="97">
        <v>70097</v>
      </c>
      <c r="H475" s="97">
        <v>15689</v>
      </c>
      <c r="I475" s="97">
        <v>11887</v>
      </c>
      <c r="J475" s="98">
        <v>2.13</v>
      </c>
      <c r="K475" s="98">
        <v>1.47</v>
      </c>
      <c r="L475" s="99">
        <v>5677.63</v>
      </c>
      <c r="M475" s="100">
        <f t="shared" si="168"/>
        <v>22.381842304235558</v>
      </c>
      <c r="N475" s="100">
        <f t="shared" si="169"/>
        <v>16.957929725951182</v>
      </c>
      <c r="O475" s="100">
        <f t="shared" si="170"/>
        <v>75.76646057747466</v>
      </c>
      <c r="P475" s="100">
        <f t="shared" si="171"/>
        <v>80.996761630312292</v>
      </c>
      <c r="Q475" s="100">
        <f t="shared" si="172"/>
        <v>22.775066640377752</v>
      </c>
      <c r="R475" s="100">
        <f t="shared" si="173"/>
        <v>29.440902453236173</v>
      </c>
      <c r="S475" s="101">
        <f t="shared" si="174"/>
        <v>45943</v>
      </c>
      <c r="T475" s="102" t="str">
        <f t="shared" si="175"/>
        <v>Octubre</v>
      </c>
      <c r="U475" s="102" t="str">
        <f t="shared" si="176"/>
        <v>Lunes</v>
      </c>
      <c r="V475" s="102">
        <f t="shared" si="177"/>
        <v>12</v>
      </c>
      <c r="W475" s="102" t="str">
        <f t="shared" si="178"/>
        <v>Resto del mes</v>
      </c>
      <c r="X475" s="102">
        <f t="shared" si="179"/>
        <v>23</v>
      </c>
      <c r="Y475" s="102" t="str">
        <f t="shared" si="180"/>
        <v>Sí</v>
      </c>
      <c r="Z475" s="102" t="str">
        <f>CHOOSE(MATCH(B475,{"Customer Appreciation","Exclusive Offers","Flash Sale","Holiday Discounts","New Product Launch","Newsletter"},0),"Fidelizar","Vender","Vender","Vender","Lanzar","Educar")</f>
        <v>Vender</v>
      </c>
      <c r="AA475" s="102" t="str">
        <f t="shared" si="181"/>
        <v>Menos de 100 mil</v>
      </c>
      <c r="AB475" s="102">
        <f>COUNTIFS($E$5:$E$493,E475,$S$5:$S$493,"&lt;"&amp;S475)+COUNTIFS($E$5:E475,E475,$S$5:S475,S475)</f>
        <v>17</v>
      </c>
      <c r="AC475" s="102">
        <f t="shared" si="182"/>
        <v>20</v>
      </c>
      <c r="AD475" s="102" t="str">
        <f t="shared" si="183"/>
        <v>Último tercio</v>
      </c>
      <c r="AE475" s="103">
        <f t="shared" si="184"/>
        <v>-0.39322433614219321</v>
      </c>
      <c r="AF475" s="102" t="str">
        <f t="shared" si="185"/>
        <v xml:space="preserve">  aprovecha antes de que se acabe  oferta flash  productos top </v>
      </c>
      <c r="AG475" s="102" t="str">
        <f t="shared" si="186"/>
        <v xml:space="preserve"> grandes descuentos por tiempo limitado   no te lo pierdas  </v>
      </c>
      <c r="AH475" s="102" t="str">
        <f>IF(SUMPRODUCT(--(LEFT(IF(LEFT(LOWER(E475),1)="¡",MID(LOWER(E475),2,300),LOWER(E475)),LEN({"actualizaci","el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475" s="102" t="str">
        <f>IF(OR(SUMPRODUCT(--ISNUMBER(SEARCH({"descuento","oferta","ahorr","precio"," sale ","flash","deals"},AF475)))&gt;0,SUMPRODUCT(--ISNUMBER(SEARCH({"descuento","oferta","ahorr","precio"," sale ","flash","deals"},AG475)))&gt;0),"Sí","No")</f>
        <v>Sí</v>
      </c>
      <c r="AJ475" s="102" t="str">
        <f>IF(SUMPRODUCT(--ISNUMBER(SEARCH({" hoy ","horas","tiempo limitado","antes de que","se acab","se agot","finalic","última oportunidad","oportunidad única","relámpago","express","no esperes","no volver","no parpadees"},AF475)))&gt;0,"Sí","No")</f>
        <v>Sí</v>
      </c>
      <c r="AK475" s="102" t="str">
        <f>IF(SUMPRODUCT(--ISNUMBER(SEARCH({" hoy ","horas","tiempo limitado","antes de que","se acab","se agot","finalic","última oportunidad","oportunidad única","relámpago","express","no esperes","no volver","no parpadees"},AG475)))&gt;0,"Sí","No")</f>
        <v>Sí</v>
      </c>
      <c r="AL475" s="102" t="str">
        <f t="shared" si="187"/>
        <v>Descuento con tiempo límite en el asunto</v>
      </c>
      <c r="AM475" s="102" t="str">
        <f>IF(SUMPRODUCT(--ISNUMBER(SEARCH({"0","1","2","3","4","5","6","7","8","9","favorit","maquillaje","piel","cabello","productos","belleza","regalo"},E475)))&gt;0,"Sí","No")</f>
        <v>Sí</v>
      </c>
      <c r="AN475" s="102" t="str">
        <f>IF(SUMPRODUCT(--ISNUMBER(SEARCH({"lo que tenemos","estas ofertas","algo especial","ofertas únicas","que preparamos","no te quedes","echa un vistazo"},F475)))&gt;0,"Sí","No")</f>
        <v>No</v>
      </c>
      <c r="AO475" s="102">
        <f t="shared" si="188"/>
        <v>61</v>
      </c>
      <c r="AP475" s="102">
        <f t="shared" si="189"/>
        <v>10</v>
      </c>
      <c r="AQ475" s="102">
        <f>SUMPRODUCT(LEN(E475)-LEN(SUBSTITUTE(E475,{"!","¡","?","¿",":",",",".","%","·","-",";"},"")))</f>
        <v>3</v>
      </c>
      <c r="AR475" s="102" t="str">
        <f t="shared" si="190"/>
        <v>No</v>
      </c>
      <c r="AS475" s="102" t="str">
        <f t="shared" si="191"/>
        <v>No</v>
      </c>
      <c r="AT475" s="102" t="str">
        <f>IF(SUMPRODUCT(--ISNUMBER(FIND({"0","1","2","3","4","5","6","7","8","9"},E475)))&gt;0,"Con cifra concreta",IF(OR(ISNUMBER(FIND("?",E475)),ISNUMBER(FIND("¿",E475))),"Pregunta abierta",IF(SUMPRODUCT(--ISNUMBER(SEARCH({" hoy ","horas","tiempo limitado","antes de que","se acab","se agot","finalic","última oportunidad","oportunidad única","relámpago","express","no esperes","no volver","no parpadees"," ya ","últimas horas","últimas unidades"," ahora "},AF475)))&gt;0,"Solo urgencia, sin cifra",IF(SUMPRODUCT(--ISNUMBER(SEARCH({"recompensa","sorpresa","regalo","lealtad","detalle","gracias","pensamos en ti","para ti"},E475)))&gt;0,"Recompensa o sorpresa","Otro: beneficio o novedad"))))</f>
        <v>Solo urgencia, sin cifra</v>
      </c>
    </row>
    <row r="476" spans="1:46" x14ac:dyDescent="0.2">
      <c r="A476" s="104" t="s">
        <v>1347</v>
      </c>
      <c r="B476" s="104" t="s">
        <v>279</v>
      </c>
      <c r="C476" s="104" t="s">
        <v>889</v>
      </c>
      <c r="D476" s="104" t="s">
        <v>761</v>
      </c>
      <c r="E476" s="104" t="s">
        <v>472</v>
      </c>
      <c r="F476" s="104" t="s">
        <v>473</v>
      </c>
      <c r="G476" s="105">
        <v>254606</v>
      </c>
      <c r="H476" s="105">
        <v>37207</v>
      </c>
      <c r="I476" s="105">
        <v>15615</v>
      </c>
      <c r="J476" s="106">
        <v>2.12</v>
      </c>
      <c r="K476" s="106">
        <v>3.63</v>
      </c>
      <c r="L476" s="107">
        <v>65718.61</v>
      </c>
      <c r="M476" s="108">
        <f t="shared" si="168"/>
        <v>14.61355977471073</v>
      </c>
      <c r="N476" s="108">
        <f t="shared" si="169"/>
        <v>6.133005506547371</v>
      </c>
      <c r="O476" s="108">
        <f t="shared" si="170"/>
        <v>41.967909264385732</v>
      </c>
      <c r="P476" s="108">
        <f t="shared" si="171"/>
        <v>258.11885815730972</v>
      </c>
      <c r="Q476" s="108">
        <f t="shared" si="172"/>
        <v>22.891293825435607</v>
      </c>
      <c r="R476" s="108">
        <f t="shared" si="173"/>
        <v>27.75136451093497</v>
      </c>
      <c r="S476" s="101">
        <f t="shared" si="174"/>
        <v>45908</v>
      </c>
      <c r="T476" s="102" t="str">
        <f t="shared" si="175"/>
        <v>Septiembre</v>
      </c>
      <c r="U476" s="102" t="str">
        <f t="shared" si="176"/>
        <v>Lunes</v>
      </c>
      <c r="V476" s="102">
        <f t="shared" si="177"/>
        <v>10</v>
      </c>
      <c r="W476" s="102" t="str">
        <f t="shared" si="178"/>
        <v>Resto del mes</v>
      </c>
      <c r="X476" s="102">
        <f t="shared" si="179"/>
        <v>28</v>
      </c>
      <c r="Y476" s="102" t="str">
        <f t="shared" si="180"/>
        <v>Sí</v>
      </c>
      <c r="Z476" s="102" t="str">
        <f>CHOOSE(MATCH(B476,{"Customer Appreciation","Exclusive Offers","Flash Sale","Holiday Discounts","New Product Launch","Newsletter"},0),"Fidelizar","Vender","Vender","Vender","Lanzar","Educar")</f>
        <v>Educar</v>
      </c>
      <c r="AA476" s="102" t="str">
        <f t="shared" si="181"/>
        <v>200 a 300 mil</v>
      </c>
      <c r="AB476" s="102">
        <f>COUNTIFS($E$5:$E$493,E476,$S$5:$S$493,"&lt;"&amp;S476)+COUNTIFS($E$5:E476,E476,$S$5:S476,S476)</f>
        <v>11</v>
      </c>
      <c r="AC476" s="102">
        <f t="shared" si="182"/>
        <v>22</v>
      </c>
      <c r="AD476" s="102" t="str">
        <f t="shared" si="183"/>
        <v>Medio</v>
      </c>
      <c r="AE476" s="103">
        <f t="shared" si="184"/>
        <v>-8.2777340507248773</v>
      </c>
      <c r="AF476" s="102" t="str">
        <f t="shared" si="185"/>
        <v xml:space="preserve"> tu dosis semanal de belleza  novedades y tips </v>
      </c>
      <c r="AG476" s="102" t="str">
        <f t="shared" si="186"/>
        <v xml:space="preserve"> novedades  tips y más para tu rutina diaria   entra ya  </v>
      </c>
      <c r="AH476" s="102" t="str">
        <f>IF(SUMPRODUCT(--(LEFT(IF(LEFT(LOWER(E476),1)="¡",MID(LOWER(E476),2,300),LOWER(E476)),LEN({"actualizaci","el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476" s="102" t="str">
        <f>IF(OR(SUMPRODUCT(--ISNUMBER(SEARCH({"descuento","oferta","ahorr","precio"," sale ","flash","deals"},AF476)))&gt;0,SUMPRODUCT(--ISNUMBER(SEARCH({"descuento","oferta","ahorr","precio"," sale ","flash","deals"},AG476)))&gt;0),"Sí","No")</f>
        <v>No</v>
      </c>
      <c r="AJ476" s="102" t="str">
        <f>IF(SUMPRODUCT(--ISNUMBER(SEARCH({" hoy ","horas","tiempo limitado","antes de que","se acab","se agot","finalic","última oportunidad","oportunidad única","relámpago","express","no esperes","no volver","no parpadees"},AF476)))&gt;0,"Sí","No")</f>
        <v>No</v>
      </c>
      <c r="AK476" s="102" t="str">
        <f>IF(SUMPRODUCT(--ISNUMBER(SEARCH({" hoy ","horas","tiempo limitado","antes de que","se acab","se agot","finalic","última oportunidad","oportunidad única","relámpago","express","no esperes","no volver","no parpadees"},AG476)))&gt;0,"Sí","No")</f>
        <v>No</v>
      </c>
      <c r="AL476" s="102" t="str">
        <f t="shared" si="187"/>
        <v>Sin descuento</v>
      </c>
      <c r="AM476" s="102" t="str">
        <f>IF(SUMPRODUCT(--ISNUMBER(SEARCH({"0","1","2","3","4","5","6","7","8","9","favorit","maquillaje","piel","cabello","productos","belleza","regalo"},E476)))&gt;0,"Sí","No")</f>
        <v>Sí</v>
      </c>
      <c r="AN476" s="102" t="str">
        <f>IF(SUMPRODUCT(--ISNUMBER(SEARCH({"lo que tenemos","estas ofertas","algo especial","ofertas únicas","que preparamos","no te quedes","echa un vistazo"},F476)))&gt;0,"Sí","No")</f>
        <v>No</v>
      </c>
      <c r="AO476" s="102">
        <f t="shared" si="188"/>
        <v>45</v>
      </c>
      <c r="AP476" s="102">
        <f t="shared" si="189"/>
        <v>8</v>
      </c>
      <c r="AQ476" s="102">
        <f>SUMPRODUCT(LEN(E476)-LEN(SUBSTITUTE(E476,{"!","¡","?","¿",":",",",".","%","·","-",";"},"")))</f>
        <v>1</v>
      </c>
      <c r="AR476" s="102" t="str">
        <f t="shared" si="190"/>
        <v>Sí</v>
      </c>
      <c r="AS476" s="102" t="str">
        <f t="shared" si="191"/>
        <v>No</v>
      </c>
      <c r="AT476" s="102" t="str">
        <f>IF(SUMPRODUCT(--ISNUMBER(FIND({"0","1","2","3","4","5","6","7","8","9"},E476)))&gt;0,"Con cifra concreta",IF(OR(ISNUMBER(FIND("?",E476)),ISNUMBER(FIND("¿",E476))),"Pregunta abierta",IF(SUMPRODUCT(--ISNUMBER(SEARCH({" hoy ","horas","tiempo limitado","antes de que","se acab","se agot","finalic","última oportunidad","oportunidad única","relámpago","express","no esperes","no volver","no parpadees"," ya ","últimas horas","últimas unidades"," ahora "},AF476)))&gt;0,"Solo urgencia, sin cifra",IF(SUMPRODUCT(--ISNUMBER(SEARCH({"recompensa","sorpresa","regalo","lealtad","detalle","gracias","pensamos en ti","para ti"},E476)))&gt;0,"Recompensa o sorpresa","Otro: beneficio o novedad"))))</f>
        <v>Otro: beneficio o novedad</v>
      </c>
    </row>
    <row r="477" spans="1:46" x14ac:dyDescent="0.2">
      <c r="A477" s="96" t="s">
        <v>1348</v>
      </c>
      <c r="B477" s="96" t="s">
        <v>274</v>
      </c>
      <c r="C477" s="96" t="s">
        <v>891</v>
      </c>
      <c r="D477" s="96" t="s">
        <v>786</v>
      </c>
      <c r="E477" s="96" t="s">
        <v>372</v>
      </c>
      <c r="F477" s="96" t="s">
        <v>480</v>
      </c>
      <c r="G477" s="97">
        <v>498706</v>
      </c>
      <c r="H477" s="97">
        <v>144883</v>
      </c>
      <c r="I477" s="97">
        <v>54609</v>
      </c>
      <c r="J477" s="98">
        <v>8.48</v>
      </c>
      <c r="K477" s="98">
        <v>4.5999999999999996</v>
      </c>
      <c r="L477" s="99">
        <v>47977.83</v>
      </c>
      <c r="M477" s="100">
        <f t="shared" si="168"/>
        <v>29.051786022225517</v>
      </c>
      <c r="N477" s="100">
        <f t="shared" si="169"/>
        <v>10.950138959627516</v>
      </c>
      <c r="O477" s="100">
        <f t="shared" si="170"/>
        <v>37.691792687892992</v>
      </c>
      <c r="P477" s="100">
        <f t="shared" si="171"/>
        <v>96.204637602114275</v>
      </c>
      <c r="Q477" s="100">
        <f t="shared" si="172"/>
        <v>20.724631699294946</v>
      </c>
      <c r="R477" s="100">
        <f t="shared" si="173"/>
        <v>31.113650744455075</v>
      </c>
      <c r="S477" s="101">
        <f t="shared" si="174"/>
        <v>45888</v>
      </c>
      <c r="T477" s="102" t="str">
        <f t="shared" si="175"/>
        <v>Agosto</v>
      </c>
      <c r="U477" s="102" t="str">
        <f t="shared" si="176"/>
        <v>Martes</v>
      </c>
      <c r="V477" s="102">
        <f t="shared" si="177"/>
        <v>15</v>
      </c>
      <c r="W477" s="102" t="str">
        <f t="shared" si="178"/>
        <v>Días después del pago</v>
      </c>
      <c r="X477" s="102">
        <f t="shared" si="179"/>
        <v>29</v>
      </c>
      <c r="Y477" s="102" t="str">
        <f t="shared" si="180"/>
        <v>Sí</v>
      </c>
      <c r="Z477" s="102" t="str">
        <f>CHOOSE(MATCH(B477,{"Customer Appreciation","Exclusive Offers","Flash Sale","Holiday Discounts","New Product Launch","Newsletter"},0),"Fidelizar","Vender","Vender","Vender","Lanzar","Educar")</f>
        <v>Fidelizar</v>
      </c>
      <c r="AA477" s="102" t="str">
        <f t="shared" si="181"/>
        <v>Más de 400 mil</v>
      </c>
      <c r="AB477" s="102">
        <f>COUNTIFS($E$5:$E$493,E477,$S$5:$S$493,"&lt;"&amp;S477)+COUNTIFS($E$5:E477,E477,$S$5:S477,S477)</f>
        <v>7</v>
      </c>
      <c r="AC477" s="102">
        <f t="shared" si="182"/>
        <v>14</v>
      </c>
      <c r="AD477" s="102" t="str">
        <f t="shared" si="183"/>
        <v>Medio</v>
      </c>
      <c r="AE477" s="103">
        <f t="shared" si="184"/>
        <v>8.3271543229305713</v>
      </c>
      <c r="AF477" s="102" t="str">
        <f t="shared" si="185"/>
        <v xml:space="preserve">  un pequeño detalle para agradecerte tu lealtad  l'oréal </v>
      </c>
      <c r="AG477" s="102" t="str">
        <f t="shared" si="186"/>
        <v xml:space="preserve"> echa un vistazo a lo que tenemos para ti   te va a encantar  </v>
      </c>
      <c r="AH477" s="102" t="str">
        <f>IF(SUMPRODUCT(--(LEFT(IF(LEFT(LOWER(E477),1)="¡",MID(LOWER(E477),2,300),LOWER(E477)),LEN({"actualizaci","el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Sí</v>
      </c>
      <c r="AI477" s="102" t="str">
        <f>IF(OR(SUMPRODUCT(--ISNUMBER(SEARCH({"descuento","oferta","ahorr","precio"," sale ","flash","deals"},AF477)))&gt;0,SUMPRODUCT(--ISNUMBER(SEARCH({"descuento","oferta","ahorr","precio"," sale ","flash","deals"},AG477)))&gt;0),"Sí","No")</f>
        <v>No</v>
      </c>
      <c r="AJ477" s="102" t="str">
        <f>IF(SUMPRODUCT(--ISNUMBER(SEARCH({" hoy ","horas","tiempo limitado","antes de que","se acab","se agot","finalic","última oportunidad","oportunidad única","relámpago","express","no esperes","no volver","no parpadees"},AF477)))&gt;0,"Sí","No")</f>
        <v>No</v>
      </c>
      <c r="AK477" s="102" t="str">
        <f>IF(SUMPRODUCT(--ISNUMBER(SEARCH({" hoy ","horas","tiempo limitado","antes de que","se acab","se agot","finalic","última oportunidad","oportunidad única","relámpago","express","no esperes","no volver","no parpadees"},AG477)))&gt;0,"Sí","No")</f>
        <v>No</v>
      </c>
      <c r="AL477" s="102" t="str">
        <f t="shared" si="187"/>
        <v>Sin descuento</v>
      </c>
      <c r="AM477" s="102" t="str">
        <f>IF(SUMPRODUCT(--ISNUMBER(SEARCH({"0","1","2","3","4","5","6","7","8","9","favorit","maquillaje","piel","cabello","productos","belleza","regalo"},E477)))&gt;0,"Sí","No")</f>
        <v>No</v>
      </c>
      <c r="AN477" s="102" t="str">
        <f>IF(SUMPRODUCT(--ISNUMBER(SEARCH({"lo que tenemos","estas ofertas","algo especial","ofertas únicas","que preparamos","no te quedes","echa un vistazo"},F477)))&gt;0,"Sí","No")</f>
        <v>Sí</v>
      </c>
      <c r="AO477" s="102">
        <f t="shared" si="188"/>
        <v>56</v>
      </c>
      <c r="AP477" s="102">
        <f t="shared" si="189"/>
        <v>8</v>
      </c>
      <c r="AQ477" s="102">
        <f>SUMPRODUCT(LEN(E477)-LEN(SUBSTITUTE(E477,{"!","¡","?","¿",":",",",".","%","·","-",";"},"")))</f>
        <v>2</v>
      </c>
      <c r="AR477" s="102" t="str">
        <f t="shared" si="190"/>
        <v>Sí</v>
      </c>
      <c r="AS477" s="102" t="str">
        <f t="shared" si="191"/>
        <v>No</v>
      </c>
      <c r="AT477" s="102" t="str">
        <f>IF(SUMPRODUCT(--ISNUMBER(FIND({"0","1","2","3","4","5","6","7","8","9"},E477)))&gt;0,"Con cifra concreta",IF(OR(ISNUMBER(FIND("?",E477)),ISNUMBER(FIND("¿",E477))),"Pregunta abierta",IF(SUMPRODUCT(--ISNUMBER(SEARCH({" hoy ","horas","tiempo limitado","antes de que","se acab","se agot","finalic","última oportunidad","oportunidad única","relámpago","express","no esperes","no volver","no parpadees"," ya ","últimas horas","últimas unidades"," ahora "},AF477)))&gt;0,"Solo urgencia, sin cifra",IF(SUMPRODUCT(--ISNUMBER(SEARCH({"recompensa","sorpresa","regalo","lealtad","detalle","gracias","pensamos en ti","para ti"},E477)))&gt;0,"Recompensa o sorpresa","Otro: beneficio o novedad"))))</f>
        <v>Recompensa o sorpresa</v>
      </c>
    </row>
    <row r="478" spans="1:46" x14ac:dyDescent="0.2">
      <c r="A478" s="104" t="s">
        <v>1349</v>
      </c>
      <c r="B478" s="104" t="s">
        <v>279</v>
      </c>
      <c r="C478" s="104" t="s">
        <v>915</v>
      </c>
      <c r="D478" s="104" t="s">
        <v>769</v>
      </c>
      <c r="E478" s="104" t="s">
        <v>369</v>
      </c>
      <c r="F478" s="104" t="s">
        <v>457</v>
      </c>
      <c r="G478" s="105">
        <v>462755</v>
      </c>
      <c r="H478" s="105">
        <v>155706</v>
      </c>
      <c r="I478" s="105">
        <v>13753</v>
      </c>
      <c r="J478" s="106">
        <v>1.5</v>
      </c>
      <c r="K478" s="106">
        <v>0.57999999999999996</v>
      </c>
      <c r="L478" s="107">
        <v>19139.060000000001</v>
      </c>
      <c r="M478" s="108">
        <f t="shared" si="168"/>
        <v>33.64761050663958</v>
      </c>
      <c r="N478" s="108">
        <f t="shared" si="169"/>
        <v>2.9719830147702351</v>
      </c>
      <c r="O478" s="108">
        <f t="shared" si="170"/>
        <v>8.8326718302441787</v>
      </c>
      <c r="P478" s="108">
        <f t="shared" si="171"/>
        <v>41.358948039459328</v>
      </c>
      <c r="Q478" s="108">
        <f t="shared" si="172"/>
        <v>36.827379346292652</v>
      </c>
      <c r="R478" s="108">
        <f t="shared" si="173"/>
        <v>27.75136451093497</v>
      </c>
      <c r="S478" s="101">
        <f t="shared" si="174"/>
        <v>45954</v>
      </c>
      <c r="T478" s="102" t="str">
        <f t="shared" si="175"/>
        <v>Octubre</v>
      </c>
      <c r="U478" s="102" t="str">
        <f t="shared" si="176"/>
        <v>Viernes</v>
      </c>
      <c r="V478" s="102">
        <f t="shared" si="177"/>
        <v>13</v>
      </c>
      <c r="W478" s="102" t="str">
        <f t="shared" si="178"/>
        <v>Resto del mes</v>
      </c>
      <c r="X478" s="102">
        <f t="shared" si="179"/>
        <v>29</v>
      </c>
      <c r="Y478" s="102" t="str">
        <f t="shared" si="180"/>
        <v>Sí</v>
      </c>
      <c r="Z478" s="102" t="str">
        <f>CHOOSE(MATCH(B478,{"Customer Appreciation","Exclusive Offers","Flash Sale","Holiday Discounts","New Product Launch","Newsletter"},0),"Fidelizar","Vender","Vender","Vender","Lanzar","Educar")</f>
        <v>Educar</v>
      </c>
      <c r="AA478" s="102" t="str">
        <f t="shared" si="181"/>
        <v>Más de 400 mil</v>
      </c>
      <c r="AB478" s="102">
        <f>COUNTIFS($E$5:$E$493,E478,$S$5:$S$493,"&lt;"&amp;S478)+COUNTIFS($E$5:E478,E478,$S$5:S478,S478)</f>
        <v>18</v>
      </c>
      <c r="AC478" s="102">
        <f t="shared" si="182"/>
        <v>19</v>
      </c>
      <c r="AD478" s="102" t="str">
        <f t="shared" si="183"/>
        <v>Último tercio</v>
      </c>
      <c r="AE478" s="103">
        <f t="shared" si="184"/>
        <v>-3.1797688396530717</v>
      </c>
      <c r="AF478" s="102" t="str">
        <f t="shared" si="185"/>
        <v xml:space="preserve"> lo último en l'oréal  mantente informad@ de las novedades </v>
      </c>
      <c r="AG478" s="102" t="str">
        <f t="shared" si="186"/>
        <v xml:space="preserve"> descubre las novedades y tips de la semana   entra ya  </v>
      </c>
      <c r="AH478" s="102" t="str">
        <f>IF(SUMPRODUCT(--(LEFT(IF(LEFT(LOWER(E478),1)="¡",MID(LOWER(E478),2,300),LOWER(E478)),LEN({"actualizaci","el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478" s="102" t="str">
        <f>IF(OR(SUMPRODUCT(--ISNUMBER(SEARCH({"descuento","oferta","ahorr","precio"," sale ","flash","deals"},AF478)))&gt;0,SUMPRODUCT(--ISNUMBER(SEARCH({"descuento","oferta","ahorr","precio"," sale ","flash","deals"},AG478)))&gt;0),"Sí","No")</f>
        <v>No</v>
      </c>
      <c r="AJ478" s="102" t="str">
        <f>IF(SUMPRODUCT(--ISNUMBER(SEARCH({" hoy ","horas","tiempo limitado","antes de que","se acab","se agot","finalic","última oportunidad","oportunidad única","relámpago","express","no esperes","no volver","no parpadees"},AF478)))&gt;0,"Sí","No")</f>
        <v>No</v>
      </c>
      <c r="AK478" s="102" t="str">
        <f>IF(SUMPRODUCT(--ISNUMBER(SEARCH({" hoy ","horas","tiempo limitado","antes de que","se acab","se agot","finalic","última oportunidad","oportunidad única","relámpago","express","no esperes","no volver","no parpadees"},AG478)))&gt;0,"Sí","No")</f>
        <v>No</v>
      </c>
      <c r="AL478" s="102" t="str">
        <f t="shared" si="187"/>
        <v>Sin descuento</v>
      </c>
      <c r="AM478" s="102" t="str">
        <f>IF(SUMPRODUCT(--ISNUMBER(SEARCH({"0","1","2","3","4","5","6","7","8","9","favorit","maquillaje","piel","cabello","productos","belleza","regalo"},E478)))&gt;0,"Sí","No")</f>
        <v>No</v>
      </c>
      <c r="AN478" s="102" t="str">
        <f>IF(SUMPRODUCT(--ISNUMBER(SEARCH({"lo que tenemos","estas ofertas","algo especial","ofertas únicas","que preparamos","no te quedes","echa un vistazo"},F478)))&gt;0,"Sí","No")</f>
        <v>No</v>
      </c>
      <c r="AO478" s="102">
        <f t="shared" si="188"/>
        <v>57</v>
      </c>
      <c r="AP478" s="102">
        <f t="shared" si="189"/>
        <v>9</v>
      </c>
      <c r="AQ478" s="102">
        <f>SUMPRODUCT(LEN(E478)-LEN(SUBSTITUTE(E478,{"!","¡","?","¿",":",",",".","%","·","-",";"},"")))</f>
        <v>1</v>
      </c>
      <c r="AR478" s="102" t="str">
        <f t="shared" si="190"/>
        <v>Sí</v>
      </c>
      <c r="AS478" s="102" t="str">
        <f t="shared" si="191"/>
        <v>No</v>
      </c>
      <c r="AT478" s="102" t="str">
        <f>IF(SUMPRODUCT(--ISNUMBER(FIND({"0","1","2","3","4","5","6","7","8","9"},E478)))&gt;0,"Con cifra concreta",IF(OR(ISNUMBER(FIND("?",E478)),ISNUMBER(FIND("¿",E478))),"Pregunta abierta",IF(SUMPRODUCT(--ISNUMBER(SEARCH({" hoy ","horas","tiempo limitado","antes de que","se acab","se agot","finalic","última oportunidad","oportunidad única","relámpago","express","no esperes","no volver","no parpadees"," ya ","últimas horas","últimas unidades"," ahora "},AF478)))&gt;0,"Solo urgencia, sin cifra",IF(SUMPRODUCT(--ISNUMBER(SEARCH({"recompensa","sorpresa","regalo","lealtad","detalle","gracias","pensamos en ti","para ti"},E478)))&gt;0,"Recompensa o sorpresa","Otro: beneficio o novedad"))))</f>
        <v>Otro: beneficio o novedad</v>
      </c>
    </row>
    <row r="479" spans="1:46" x14ac:dyDescent="0.2">
      <c r="A479" s="96" t="s">
        <v>1350</v>
      </c>
      <c r="B479" s="96" t="s">
        <v>275</v>
      </c>
      <c r="C479" s="96" t="s">
        <v>917</v>
      </c>
      <c r="D479" s="96" t="s">
        <v>774</v>
      </c>
      <c r="E479" s="96" t="s">
        <v>465</v>
      </c>
      <c r="F479" s="96" t="s">
        <v>466</v>
      </c>
      <c r="G479" s="97">
        <v>41079</v>
      </c>
      <c r="H479" s="97">
        <v>18134</v>
      </c>
      <c r="I479" s="97">
        <v>7736</v>
      </c>
      <c r="J479" s="98">
        <v>1.45</v>
      </c>
      <c r="K479" s="98">
        <v>1.76</v>
      </c>
      <c r="L479" s="99">
        <v>8413.35</v>
      </c>
      <c r="M479" s="100">
        <f t="shared" si="168"/>
        <v>44.144209936950752</v>
      </c>
      <c r="N479" s="100">
        <f t="shared" si="169"/>
        <v>18.832006621388057</v>
      </c>
      <c r="O479" s="100">
        <f t="shared" si="170"/>
        <v>42.660196316311897</v>
      </c>
      <c r="P479" s="100">
        <f t="shared" si="171"/>
        <v>204.80902650989557</v>
      </c>
      <c r="Q479" s="100">
        <f t="shared" si="172"/>
        <v>33.047230763392911</v>
      </c>
      <c r="R479" s="100">
        <f t="shared" si="173"/>
        <v>27.021447627328243</v>
      </c>
      <c r="S479" s="101">
        <f t="shared" si="174"/>
        <v>45916</v>
      </c>
      <c r="T479" s="102" t="str">
        <f t="shared" si="175"/>
        <v>Septiembre</v>
      </c>
      <c r="U479" s="102" t="str">
        <f t="shared" si="176"/>
        <v>Martes</v>
      </c>
      <c r="V479" s="102">
        <f t="shared" si="177"/>
        <v>11</v>
      </c>
      <c r="W479" s="102" t="str">
        <f t="shared" si="178"/>
        <v>Quincena</v>
      </c>
      <c r="X479" s="102">
        <f t="shared" si="179"/>
        <v>27</v>
      </c>
      <c r="Y479" s="102" t="str">
        <f t="shared" si="180"/>
        <v>Sí</v>
      </c>
      <c r="Z479" s="102" t="str">
        <f>CHOOSE(MATCH(B479,{"Customer Appreciation","Exclusive Offers","Flash Sale","Holiday Discounts","New Product Launch","Newsletter"},0),"Fidelizar","Vender","Vender","Vender","Lanzar","Educar")</f>
        <v>Vender</v>
      </c>
      <c r="AA479" s="102" t="str">
        <f t="shared" si="181"/>
        <v>Menos de 100 mil</v>
      </c>
      <c r="AB479" s="102">
        <f>COUNTIFS($E$5:$E$493,E479,$S$5:$S$493,"&lt;"&amp;S479)+COUNTIFS($E$5:E479,E479,$S$5:S479,S479)</f>
        <v>11</v>
      </c>
      <c r="AC479" s="102">
        <f t="shared" si="182"/>
        <v>22</v>
      </c>
      <c r="AD479" s="102" t="str">
        <f t="shared" si="183"/>
        <v>Medio</v>
      </c>
      <c r="AE479" s="103">
        <f t="shared" si="184"/>
        <v>11.096979173557841</v>
      </c>
      <c r="AF479" s="102" t="str">
        <f t="shared" si="185"/>
        <v xml:space="preserve">  ofertas exclusivas  solo para nuestra comunidad vip </v>
      </c>
      <c r="AG479" s="102" t="str">
        <f t="shared" si="186"/>
        <v xml:space="preserve"> productos premium con descuentos únicos   acceso limitado  </v>
      </c>
      <c r="AH479" s="102" t="str">
        <f>IF(SUMPRODUCT(--(LEFT(IF(LEFT(LOWER(E479),1)="¡",MID(LOWER(E479),2,300),LOWER(E479)),LEN({"actualizaci","el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479" s="102" t="str">
        <f>IF(OR(SUMPRODUCT(--ISNUMBER(SEARCH({"descuento","oferta","ahorr","precio"," sale ","flash","deals"},AF479)))&gt;0,SUMPRODUCT(--ISNUMBER(SEARCH({"descuento","oferta","ahorr","precio"," sale ","flash","deals"},AG479)))&gt;0),"Sí","No")</f>
        <v>Sí</v>
      </c>
      <c r="AJ479" s="102" t="str">
        <f>IF(SUMPRODUCT(--ISNUMBER(SEARCH({" hoy ","horas","tiempo limitado","antes de que","se acab","se agot","finalic","última oportunidad","oportunidad única","relámpago","express","no esperes","no volver","no parpadees"},AF479)))&gt;0,"Sí","No")</f>
        <v>No</v>
      </c>
      <c r="AK479" s="102" t="str">
        <f>IF(SUMPRODUCT(--ISNUMBER(SEARCH({" hoy ","horas","tiempo limitado","antes de que","se acab","se agot","finalic","última oportunidad","oportunidad única","relámpago","express","no esperes","no volver","no parpadees"},AG479)))&gt;0,"Sí","No")</f>
        <v>No</v>
      </c>
      <c r="AL479" s="102" t="str">
        <f t="shared" si="187"/>
        <v>Descuento sin tiempo límite</v>
      </c>
      <c r="AM479" s="102" t="str">
        <f>IF(SUMPRODUCT(--ISNUMBER(SEARCH({"0","1","2","3","4","5","6","7","8","9","favorit","maquillaje","piel","cabello","productos","belleza","regalo"},E479)))&gt;0,"Sí","No")</f>
        <v>No</v>
      </c>
      <c r="AN479" s="102" t="str">
        <f>IF(SUMPRODUCT(--ISNUMBER(SEARCH({"lo que tenemos","estas ofertas","algo especial","ofertas únicas","que preparamos","no te quedes","echa un vistazo"},F479)))&gt;0,"Sí","No")</f>
        <v>No</v>
      </c>
      <c r="AO479" s="102">
        <f t="shared" si="188"/>
        <v>52</v>
      </c>
      <c r="AP479" s="102">
        <f t="shared" si="189"/>
        <v>7</v>
      </c>
      <c r="AQ479" s="102">
        <f>SUMPRODUCT(LEN(E479)-LEN(SUBSTITUTE(E479,{"!","¡","?","¿",":",",",".","%","·","-",";"},"")))</f>
        <v>2</v>
      </c>
      <c r="AR479" s="102" t="str">
        <f t="shared" si="190"/>
        <v>Sí</v>
      </c>
      <c r="AS479" s="102" t="str">
        <f t="shared" si="191"/>
        <v>No</v>
      </c>
      <c r="AT479" s="102" t="str">
        <f>IF(SUMPRODUCT(--ISNUMBER(FIND({"0","1","2","3","4","5","6","7","8","9"},E479)))&gt;0,"Con cifra concreta",IF(OR(ISNUMBER(FIND("?",E479)),ISNUMBER(FIND("¿",E479))),"Pregunta abierta",IF(SUMPRODUCT(--ISNUMBER(SEARCH({" hoy ","horas","tiempo limitado","antes de que","se acab","se agot","finalic","última oportunidad","oportunidad única","relámpago","express","no esperes","no volver","no parpadees"," ya ","últimas horas","últimas unidades"," ahora "},AF479)))&gt;0,"Solo urgencia, sin cifra",IF(SUMPRODUCT(--ISNUMBER(SEARCH({"recompensa","sorpresa","regalo","lealtad","detalle","gracias","pensamos en ti","para ti"},E479)))&gt;0,"Recompensa o sorpresa","Otro: beneficio o novedad"))))</f>
        <v>Otro: beneficio o novedad</v>
      </c>
    </row>
    <row r="480" spans="1:46" x14ac:dyDescent="0.2">
      <c r="A480" s="104" t="s">
        <v>1351</v>
      </c>
      <c r="B480" s="104" t="s">
        <v>275</v>
      </c>
      <c r="C480" s="104" t="s">
        <v>923</v>
      </c>
      <c r="D480" s="104" t="s">
        <v>729</v>
      </c>
      <c r="E480" s="104" t="s">
        <v>455</v>
      </c>
      <c r="F480" s="104" t="s">
        <v>456</v>
      </c>
      <c r="G480" s="105">
        <v>338250</v>
      </c>
      <c r="H480" s="105">
        <v>161559</v>
      </c>
      <c r="I480" s="105">
        <v>9506</v>
      </c>
      <c r="J480" s="106">
        <v>6.55</v>
      </c>
      <c r="K480" s="106">
        <v>4.43</v>
      </c>
      <c r="L480" s="107">
        <v>26166.39</v>
      </c>
      <c r="M480" s="108">
        <f t="shared" si="168"/>
        <v>47.763192904656322</v>
      </c>
      <c r="N480" s="108">
        <f t="shared" si="169"/>
        <v>2.8103473762010349</v>
      </c>
      <c r="O480" s="108">
        <f t="shared" si="170"/>
        <v>5.8839185684486779</v>
      </c>
      <c r="P480" s="108">
        <f t="shared" si="171"/>
        <v>77.358137472283815</v>
      </c>
      <c r="Q480" s="108">
        <f t="shared" si="172"/>
        <v>38.720231784441999</v>
      </c>
      <c r="R480" s="108">
        <f t="shared" si="173"/>
        <v>27.021447627328243</v>
      </c>
      <c r="S480" s="101">
        <f t="shared" si="174"/>
        <v>45873</v>
      </c>
      <c r="T480" s="102" t="str">
        <f t="shared" si="175"/>
        <v>Agosto</v>
      </c>
      <c r="U480" s="102" t="str">
        <f t="shared" si="176"/>
        <v>Lunes</v>
      </c>
      <c r="V480" s="102">
        <f t="shared" si="177"/>
        <v>10</v>
      </c>
      <c r="W480" s="102" t="str">
        <f t="shared" si="178"/>
        <v>Días después del pago</v>
      </c>
      <c r="X480" s="102">
        <f t="shared" si="179"/>
        <v>24</v>
      </c>
      <c r="Y480" s="102" t="str">
        <f t="shared" si="180"/>
        <v>Sí</v>
      </c>
      <c r="Z480" s="102" t="str">
        <f>CHOOSE(MATCH(B480,{"Customer Appreciation","Exclusive Offers","Flash Sale","Holiday Discounts","New Product Launch","Newsletter"},0),"Fidelizar","Vender","Vender","Vender","Lanzar","Educar")</f>
        <v>Vender</v>
      </c>
      <c r="AA480" s="102" t="str">
        <f t="shared" si="181"/>
        <v>300 a 400 mil</v>
      </c>
      <c r="AB480" s="102">
        <f>COUNTIFS($E$5:$E$493,E480,$S$5:$S$493,"&lt;"&amp;S480)+COUNTIFS($E$5:E480,E480,$S$5:S480,S480)</f>
        <v>2</v>
      </c>
      <c r="AC480" s="102">
        <f t="shared" si="182"/>
        <v>15</v>
      </c>
      <c r="AD480" s="102" t="str">
        <f t="shared" si="183"/>
        <v>Primer tercio</v>
      </c>
      <c r="AE480" s="103">
        <f t="shared" si="184"/>
        <v>9.0429611202143221</v>
      </c>
      <c r="AF480" s="102" t="str">
        <f t="shared" si="185"/>
        <v xml:space="preserve">  solo un clic te separa de estas ofertas  l'oréal paris </v>
      </c>
      <c r="AG480" s="102" t="str">
        <f t="shared" si="186"/>
        <v xml:space="preserve"> descuentos irresistibles en productos seleccionados   últimas horas  </v>
      </c>
      <c r="AH480" s="102" t="str">
        <f>IF(SUMPRODUCT(--(LEFT(IF(LEFT(LOWER(E480),1)="¡",MID(LOWER(E480),2,300),LOWER(E480)),LEN({"actualizaci","el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480" s="102" t="str">
        <f>IF(OR(SUMPRODUCT(--ISNUMBER(SEARCH({"descuento","oferta","ahorr","precio"," sale ","flash","deals"},AF480)))&gt;0,SUMPRODUCT(--ISNUMBER(SEARCH({"descuento","oferta","ahorr","precio"," sale ","flash","deals"},AG480)))&gt;0),"Sí","No")</f>
        <v>Sí</v>
      </c>
      <c r="AJ480" s="102" t="str">
        <f>IF(SUMPRODUCT(--ISNUMBER(SEARCH({" hoy ","horas","tiempo limitado","antes de que","se acab","se agot","finalic","última oportunidad","oportunidad única","relámpago","express","no esperes","no volver","no parpadees"},AF480)))&gt;0,"Sí","No")</f>
        <v>No</v>
      </c>
      <c r="AK480" s="102" t="str">
        <f>IF(SUMPRODUCT(--ISNUMBER(SEARCH({" hoy ","horas","tiempo limitado","antes de que","se acab","se agot","finalic","última oportunidad","oportunidad única","relámpago","express","no esperes","no volver","no parpadees"},AG480)))&gt;0,"Sí","No")</f>
        <v>Sí</v>
      </c>
      <c r="AL480" s="102" t="str">
        <f t="shared" si="187"/>
        <v>Descuento con tiempo límite solo en el preheader</v>
      </c>
      <c r="AM480" s="102" t="str">
        <f>IF(SUMPRODUCT(--ISNUMBER(SEARCH({"0","1","2","3","4","5","6","7","8","9","favorit","maquillaje","piel","cabello","productos","belleza","regalo"},E480)))&gt;0,"Sí","No")</f>
        <v>No</v>
      </c>
      <c r="AN480" s="102" t="str">
        <f>IF(SUMPRODUCT(--ISNUMBER(SEARCH({"lo que tenemos","estas ofertas","algo especial","ofertas únicas","que preparamos","no te quedes","echa un vistazo"},F480)))&gt;0,"Sí","No")</f>
        <v>No</v>
      </c>
      <c r="AO480" s="102">
        <f t="shared" si="188"/>
        <v>55</v>
      </c>
      <c r="AP480" s="102">
        <f t="shared" si="189"/>
        <v>10</v>
      </c>
      <c r="AQ480" s="102">
        <f>SUMPRODUCT(LEN(E480)-LEN(SUBSTITUTE(E480,{"!","¡","?","¿",":",",",".","%","·","-",";"},"")))</f>
        <v>2</v>
      </c>
      <c r="AR480" s="102" t="str">
        <f t="shared" si="190"/>
        <v>No</v>
      </c>
      <c r="AS480" s="102" t="str">
        <f t="shared" si="191"/>
        <v>No</v>
      </c>
      <c r="AT480" s="102" t="str">
        <f>IF(SUMPRODUCT(--ISNUMBER(FIND({"0","1","2","3","4","5","6","7","8","9"},E480)))&gt;0,"Con cifra concreta",IF(OR(ISNUMBER(FIND("?",E480)),ISNUMBER(FIND("¿",E480))),"Pregunta abierta",IF(SUMPRODUCT(--ISNUMBER(SEARCH({" hoy ","horas","tiempo limitado","antes de que","se acab","se agot","finalic","última oportunidad","oportunidad única","relámpago","express","no esperes","no volver","no parpadees"," ya ","últimas horas","últimas unidades"," ahora "},AF480)))&gt;0,"Solo urgencia, sin cifra",IF(SUMPRODUCT(--ISNUMBER(SEARCH({"recompensa","sorpresa","regalo","lealtad","detalle","gracias","pensamos en ti","para ti"},E480)))&gt;0,"Recompensa o sorpresa","Otro: beneficio o novedad"))))</f>
        <v>Otro: beneficio o novedad</v>
      </c>
    </row>
    <row r="481" spans="1:46" x14ac:dyDescent="0.2">
      <c r="A481" s="96" t="s">
        <v>1352</v>
      </c>
      <c r="B481" s="96" t="s">
        <v>277</v>
      </c>
      <c r="C481" s="96" t="s">
        <v>793</v>
      </c>
      <c r="D481" s="96" t="s">
        <v>947</v>
      </c>
      <c r="E481" s="96" t="s">
        <v>461</v>
      </c>
      <c r="F481" s="96" t="s">
        <v>462</v>
      </c>
      <c r="G481" s="97">
        <v>162058</v>
      </c>
      <c r="H481" s="97">
        <v>49853</v>
      </c>
      <c r="I481" s="97">
        <v>20641</v>
      </c>
      <c r="J481" s="98">
        <v>8.1199999999999992</v>
      </c>
      <c r="K481" s="98">
        <v>4.34</v>
      </c>
      <c r="L481" s="99">
        <v>59175.23</v>
      </c>
      <c r="M481" s="100">
        <f t="shared" si="168"/>
        <v>30.762443075935774</v>
      </c>
      <c r="N481" s="100">
        <f t="shared" si="169"/>
        <v>12.736797936541238</v>
      </c>
      <c r="O481" s="100">
        <f t="shared" si="170"/>
        <v>41.403726957254328</v>
      </c>
      <c r="P481" s="100">
        <f t="shared" si="171"/>
        <v>365.14846536425233</v>
      </c>
      <c r="Q481" s="100">
        <f t="shared" si="172"/>
        <v>35.409886702202286</v>
      </c>
      <c r="R481" s="100">
        <f t="shared" si="173"/>
        <v>30.71114383300629</v>
      </c>
      <c r="S481" s="101">
        <f t="shared" si="174"/>
        <v>45939</v>
      </c>
      <c r="T481" s="102" t="str">
        <f t="shared" si="175"/>
        <v>Octubre</v>
      </c>
      <c r="U481" s="102" t="str">
        <f t="shared" si="176"/>
        <v>Jueves</v>
      </c>
      <c r="V481" s="102">
        <f t="shared" si="177"/>
        <v>9</v>
      </c>
      <c r="W481" s="102" t="str">
        <f t="shared" si="178"/>
        <v>Resto del mes</v>
      </c>
      <c r="X481" s="102">
        <f t="shared" si="179"/>
        <v>27</v>
      </c>
      <c r="Y481" s="102" t="str">
        <f t="shared" si="180"/>
        <v>Sí</v>
      </c>
      <c r="Z481" s="102" t="str">
        <f>CHOOSE(MATCH(B481,{"Customer Appreciation","Exclusive Offers","Flash Sale","Holiday Discounts","New Product Launch","Newsletter"},0),"Fidelizar","Vender","Vender","Vender","Lanzar","Educar")</f>
        <v>Vender</v>
      </c>
      <c r="AA481" s="102" t="str">
        <f t="shared" si="181"/>
        <v>100 a 200 mil</v>
      </c>
      <c r="AB481" s="102">
        <f>COUNTIFS($E$5:$E$493,E481,$S$5:$S$493,"&lt;"&amp;S481)+COUNTIFS($E$5:E481,E481,$S$5:S481,S481)</f>
        <v>25</v>
      </c>
      <c r="AC481" s="102">
        <f t="shared" si="182"/>
        <v>30</v>
      </c>
      <c r="AD481" s="102" t="str">
        <f t="shared" si="183"/>
        <v>Último tercio</v>
      </c>
      <c r="AE481" s="103">
        <f t="shared" si="184"/>
        <v>-4.6474436262665115</v>
      </c>
      <c r="AF481" s="102" t="str">
        <f t="shared" si="185"/>
        <v xml:space="preserve">  regalos perfectos te esperan  descuentos de lujo  l'oréal </v>
      </c>
      <c r="AG481" s="102" t="str">
        <f t="shared" si="186"/>
        <v xml:space="preserve"> encuentra ese detalle especial para ti o tus seres queridos   descubre  </v>
      </c>
      <c r="AH481" s="102" t="str">
        <f>IF(SUMPRODUCT(--(LEFT(IF(LEFT(LOWER(E481),1)="¡",MID(LOWER(E481),2,300),LOWER(E481)),LEN({"actualizaci","el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481" s="102" t="str">
        <f>IF(OR(SUMPRODUCT(--ISNUMBER(SEARCH({"descuento","oferta","ahorr","precio"," sale ","flash","deals"},AF481)))&gt;0,SUMPRODUCT(--ISNUMBER(SEARCH({"descuento","oferta","ahorr","precio"," sale ","flash","deals"},AG481)))&gt;0),"Sí","No")</f>
        <v>Sí</v>
      </c>
      <c r="AJ481" s="102" t="str">
        <f>IF(SUMPRODUCT(--ISNUMBER(SEARCH({" hoy ","horas","tiempo limitado","antes de que","se acab","se agot","finalic","última oportunidad","oportunidad única","relámpago","express","no esperes","no volver","no parpadees"},AF481)))&gt;0,"Sí","No")</f>
        <v>No</v>
      </c>
      <c r="AK481" s="102" t="str">
        <f>IF(SUMPRODUCT(--ISNUMBER(SEARCH({" hoy ","horas","tiempo limitado","antes de que","se acab","se agot","finalic","última oportunidad","oportunidad única","relámpago","express","no esperes","no volver","no parpadees"},AG481)))&gt;0,"Sí","No")</f>
        <v>No</v>
      </c>
      <c r="AL481" s="102" t="str">
        <f t="shared" si="187"/>
        <v>Descuento sin tiempo límite</v>
      </c>
      <c r="AM481" s="102" t="str">
        <f>IF(SUMPRODUCT(--ISNUMBER(SEARCH({"0","1","2","3","4","5","6","7","8","9","favorit","maquillaje","piel","cabello","productos","belleza","regalo"},E481)))&gt;0,"Sí","No")</f>
        <v>Sí</v>
      </c>
      <c r="AN481" s="102" t="str">
        <f>IF(SUMPRODUCT(--ISNUMBER(SEARCH({"lo que tenemos","estas ofertas","algo especial","ofertas únicas","que preparamos","no te quedes","echa un vistazo"},F481)))&gt;0,"Sí","No")</f>
        <v>No</v>
      </c>
      <c r="AO481" s="102">
        <f t="shared" si="188"/>
        <v>58</v>
      </c>
      <c r="AP481" s="102">
        <f t="shared" si="189"/>
        <v>8</v>
      </c>
      <c r="AQ481" s="102">
        <f>SUMPRODUCT(LEN(E481)-LEN(SUBSTITUTE(E481,{"!","¡","?","¿",":",",",".","%","·","-",";"},"")))</f>
        <v>3</v>
      </c>
      <c r="AR481" s="102" t="str">
        <f t="shared" si="190"/>
        <v>Sí</v>
      </c>
      <c r="AS481" s="102" t="str">
        <f t="shared" si="191"/>
        <v>No</v>
      </c>
      <c r="AT481" s="102" t="str">
        <f>IF(SUMPRODUCT(--ISNUMBER(FIND({"0","1","2","3","4","5","6","7","8","9"},E481)))&gt;0,"Con cifra concreta",IF(OR(ISNUMBER(FIND("?",E481)),ISNUMBER(FIND("¿",E481))),"Pregunta abierta",IF(SUMPRODUCT(--ISNUMBER(SEARCH({" hoy ","horas","tiempo limitado","antes de que","se acab","se agot","finalic","última oportunidad","oportunidad única","relámpago","express","no esperes","no volver","no parpadees"," ya ","últimas horas","últimas unidades"," ahora "},AF481)))&gt;0,"Solo urgencia, sin cifra",IF(SUMPRODUCT(--ISNUMBER(SEARCH({"recompensa","sorpresa","regalo","lealtad","detalle","gracias","pensamos en ti","para ti"},E481)))&gt;0,"Recompensa o sorpresa","Otro: beneficio o novedad"))))</f>
        <v>Recompensa o sorpresa</v>
      </c>
    </row>
    <row r="482" spans="1:46" x14ac:dyDescent="0.2">
      <c r="A482" s="104" t="s">
        <v>1353</v>
      </c>
      <c r="B482" s="104" t="s">
        <v>276</v>
      </c>
      <c r="C482" s="104" t="s">
        <v>976</v>
      </c>
      <c r="D482" s="104" t="s">
        <v>751</v>
      </c>
      <c r="E482" s="104" t="s">
        <v>450</v>
      </c>
      <c r="F482" s="104" t="s">
        <v>451</v>
      </c>
      <c r="G482" s="105">
        <v>16997</v>
      </c>
      <c r="H482" s="105">
        <v>5665</v>
      </c>
      <c r="I482" s="105">
        <v>1543</v>
      </c>
      <c r="J482" s="106">
        <v>9.2899999999999991</v>
      </c>
      <c r="K482" s="106">
        <v>3.31</v>
      </c>
      <c r="L482" s="107">
        <v>40388.53</v>
      </c>
      <c r="M482" s="108">
        <f t="shared" si="168"/>
        <v>33.329411072542214</v>
      </c>
      <c r="N482" s="108">
        <f t="shared" si="169"/>
        <v>9.0780726010472428</v>
      </c>
      <c r="O482" s="108">
        <f t="shared" si="170"/>
        <v>27.237422771403352</v>
      </c>
      <c r="P482" s="108">
        <f t="shared" si="171"/>
        <v>2376.2152144496085</v>
      </c>
      <c r="Q482" s="108">
        <f t="shared" si="172"/>
        <v>41.593592985418489</v>
      </c>
      <c r="R482" s="108">
        <f t="shared" si="173"/>
        <v>29.440902453236173</v>
      </c>
      <c r="S482" s="101">
        <f t="shared" si="174"/>
        <v>45892</v>
      </c>
      <c r="T482" s="102" t="str">
        <f t="shared" si="175"/>
        <v>Agosto</v>
      </c>
      <c r="U482" s="102" t="str">
        <f t="shared" si="176"/>
        <v>Sábado</v>
      </c>
      <c r="V482" s="102">
        <f t="shared" si="177"/>
        <v>11</v>
      </c>
      <c r="W482" s="102" t="str">
        <f t="shared" si="178"/>
        <v>Resto del mes</v>
      </c>
      <c r="X482" s="102">
        <f t="shared" si="179"/>
        <v>25</v>
      </c>
      <c r="Y482" s="102" t="str">
        <f t="shared" si="180"/>
        <v>Sí</v>
      </c>
      <c r="Z482" s="102" t="str">
        <f>CHOOSE(MATCH(B482,{"Customer Appreciation","Exclusive Offers","Flash Sale","Holiday Discounts","New Product Launch","Newsletter"},0),"Fidelizar","Vender","Vender","Vender","Lanzar","Educar")</f>
        <v>Vender</v>
      </c>
      <c r="AA482" s="102" t="str">
        <f t="shared" si="181"/>
        <v>Menos de 100 mil</v>
      </c>
      <c r="AB482" s="102">
        <f>COUNTIFS($E$5:$E$493,E482,$S$5:$S$493,"&lt;"&amp;S482)+COUNTIFS($E$5:E482,E482,$S$5:S482,S482)</f>
        <v>6</v>
      </c>
      <c r="AC482" s="102">
        <f t="shared" si="182"/>
        <v>21</v>
      </c>
      <c r="AD482" s="102" t="str">
        <f t="shared" si="183"/>
        <v>Primer tercio</v>
      </c>
      <c r="AE482" s="103">
        <f t="shared" si="184"/>
        <v>-8.2641819128762748</v>
      </c>
      <c r="AF482" s="102" t="str">
        <f t="shared" si="185"/>
        <v xml:space="preserve">  ahorra ya  flash sale  hasta 50% en tus favoritos </v>
      </c>
      <c r="AG482" s="102" t="str">
        <f t="shared" si="186"/>
        <v xml:space="preserve"> edición limitada  maquillaje  cuidado de piel y más   corre  </v>
      </c>
      <c r="AH482" s="102" t="str">
        <f>IF(SUMPRODUCT(--(LEFT(IF(LEFT(LOWER(E482),1)="¡",MID(LOWER(E482),2,300),LOWER(E482)),LEN({"actualizaci","el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482" s="102" t="str">
        <f>IF(OR(SUMPRODUCT(--ISNUMBER(SEARCH({"descuento","oferta","ahorr","precio"," sale ","flash","deals"},AF482)))&gt;0,SUMPRODUCT(--ISNUMBER(SEARCH({"descuento","oferta","ahorr","precio"," sale ","flash","deals"},AG482)))&gt;0),"Sí","No")</f>
        <v>Sí</v>
      </c>
      <c r="AJ482" s="102" t="str">
        <f>IF(SUMPRODUCT(--ISNUMBER(SEARCH({" hoy ","horas","tiempo limitado","antes de que","se acab","se agot","finalic","última oportunidad","oportunidad única","relámpago","express","no esperes","no volver","no parpadees"},AF482)))&gt;0,"Sí","No")</f>
        <v>No</v>
      </c>
      <c r="AK482" s="102" t="str">
        <f>IF(SUMPRODUCT(--ISNUMBER(SEARCH({" hoy ","horas","tiempo limitado","antes de que","se acab","se agot","finalic","última oportunidad","oportunidad única","relámpago","express","no esperes","no volver","no parpadees"},AG482)))&gt;0,"Sí","No")</f>
        <v>No</v>
      </c>
      <c r="AL482" s="102" t="str">
        <f t="shared" si="187"/>
        <v>Descuento sin tiempo límite</v>
      </c>
      <c r="AM482" s="102" t="str">
        <f>IF(SUMPRODUCT(--ISNUMBER(SEARCH({"0","1","2","3","4","5","6","7","8","9","favorit","maquillaje","piel","cabello","productos","belleza","regalo"},E482)))&gt;0,"Sí","No")</f>
        <v>Sí</v>
      </c>
      <c r="AN482" s="102" t="str">
        <f>IF(SUMPRODUCT(--ISNUMBER(SEARCH({"lo que tenemos","estas ofertas","algo especial","ofertas únicas","que preparamos","no te quedes","echa un vistazo"},F482)))&gt;0,"Sí","No")</f>
        <v>No</v>
      </c>
      <c r="AO482" s="102">
        <f t="shared" si="188"/>
        <v>50</v>
      </c>
      <c r="AP482" s="102">
        <f t="shared" si="189"/>
        <v>9</v>
      </c>
      <c r="AQ482" s="102">
        <f>SUMPRODUCT(LEN(E482)-LEN(SUBSTITUTE(E482,{"!","¡","?","¿",":",",",".","%","·","-",";"},"")))</f>
        <v>4</v>
      </c>
      <c r="AR482" s="102" t="str">
        <f t="shared" si="190"/>
        <v>No</v>
      </c>
      <c r="AS482" s="102" t="str">
        <f t="shared" si="191"/>
        <v>No</v>
      </c>
      <c r="AT482" s="102" t="str">
        <f>IF(SUMPRODUCT(--ISNUMBER(FIND({"0","1","2","3","4","5","6","7","8","9"},E482)))&gt;0,"Con cifra concreta",IF(OR(ISNUMBER(FIND("?",E482)),ISNUMBER(FIND("¿",E482))),"Pregunta abierta",IF(SUMPRODUCT(--ISNUMBER(SEARCH({" hoy ","horas","tiempo limitado","antes de que","se acab","se agot","finalic","última oportunidad","oportunidad única","relámpago","express","no esperes","no volver","no parpadees"," ya ","últimas horas","últimas unidades"," ahora "},AF482)))&gt;0,"Solo urgencia, sin cifra",IF(SUMPRODUCT(--ISNUMBER(SEARCH({"recompensa","sorpresa","regalo","lealtad","detalle","gracias","pensamos en ti","para ti"},E482)))&gt;0,"Recompensa o sorpresa","Otro: beneficio o novedad"))))</f>
        <v>Con cifra concreta</v>
      </c>
    </row>
    <row r="483" spans="1:46" x14ac:dyDescent="0.2">
      <c r="A483" s="96" t="s">
        <v>1354</v>
      </c>
      <c r="B483" s="96" t="s">
        <v>277</v>
      </c>
      <c r="C483" s="96" t="s">
        <v>742</v>
      </c>
      <c r="D483" s="96" t="s">
        <v>702</v>
      </c>
      <c r="E483" s="96" t="s">
        <v>469</v>
      </c>
      <c r="F483" s="96" t="s">
        <v>470</v>
      </c>
      <c r="G483" s="97">
        <v>37011</v>
      </c>
      <c r="H483" s="97">
        <v>11210</v>
      </c>
      <c r="I483" s="97">
        <v>1562</v>
      </c>
      <c r="J483" s="98">
        <v>9.2100000000000009</v>
      </c>
      <c r="K483" s="98">
        <v>1.88</v>
      </c>
      <c r="L483" s="99">
        <v>12925.25</v>
      </c>
      <c r="M483" s="100">
        <f t="shared" si="168"/>
        <v>30.288292669746831</v>
      </c>
      <c r="N483" s="100">
        <f t="shared" si="169"/>
        <v>4.2203669179433145</v>
      </c>
      <c r="O483" s="100">
        <f t="shared" si="170"/>
        <v>13.933987511150757</v>
      </c>
      <c r="P483" s="100">
        <f t="shared" si="171"/>
        <v>349.22725676150333</v>
      </c>
      <c r="Q483" s="100">
        <f t="shared" si="172"/>
        <v>29.233022524783024</v>
      </c>
      <c r="R483" s="100">
        <f t="shared" si="173"/>
        <v>30.71114383300629</v>
      </c>
      <c r="S483" s="101">
        <f t="shared" si="174"/>
        <v>45948</v>
      </c>
      <c r="T483" s="102" t="str">
        <f t="shared" si="175"/>
        <v>Octubre</v>
      </c>
      <c r="U483" s="102" t="str">
        <f t="shared" si="176"/>
        <v>Sábado</v>
      </c>
      <c r="V483" s="102">
        <f t="shared" si="177"/>
        <v>16</v>
      </c>
      <c r="W483" s="102" t="str">
        <f t="shared" si="178"/>
        <v>Días después del pago</v>
      </c>
      <c r="X483" s="102">
        <f t="shared" si="179"/>
        <v>27</v>
      </c>
      <c r="Y483" s="102" t="str">
        <f t="shared" si="180"/>
        <v>Sí</v>
      </c>
      <c r="Z483" s="102" t="str">
        <f>CHOOSE(MATCH(B483,{"Customer Appreciation","Exclusive Offers","Flash Sale","Holiday Discounts","New Product Launch","Newsletter"},0),"Fidelizar","Vender","Vender","Vender","Lanzar","Educar")</f>
        <v>Vender</v>
      </c>
      <c r="AA483" s="102" t="str">
        <f t="shared" si="181"/>
        <v>Menos de 100 mil</v>
      </c>
      <c r="AB483" s="102">
        <f>COUNTIFS($E$5:$E$493,E483,$S$5:$S$493,"&lt;"&amp;S483)+COUNTIFS($E$5:E483,E483,$S$5:S483,S483)</f>
        <v>13</v>
      </c>
      <c r="AC483" s="102">
        <f t="shared" si="182"/>
        <v>20</v>
      </c>
      <c r="AD483" s="102" t="str">
        <f t="shared" si="183"/>
        <v>Medio</v>
      </c>
      <c r="AE483" s="103">
        <f t="shared" si="184"/>
        <v>1.0552701449638064</v>
      </c>
      <c r="AF483" s="102" t="str">
        <f t="shared" si="185"/>
        <v xml:space="preserve">  celebra con nosotros  descuentos festivos para regalar </v>
      </c>
      <c r="AG483" s="102" t="str">
        <f t="shared" si="186"/>
        <v xml:space="preserve"> regalos perfectos y ofertas que te encantarán   descubre más  </v>
      </c>
      <c r="AH483" s="102" t="str">
        <f>IF(SUMPRODUCT(--(LEFT(IF(LEFT(LOWER(E483),1)="¡",MID(LOWER(E483),2,300),LOWER(E483)),LEN({"actualizaci","el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483" s="102" t="str">
        <f>IF(OR(SUMPRODUCT(--ISNUMBER(SEARCH({"descuento","oferta","ahorr","precio"," sale ","flash","deals"},AF483)))&gt;0,SUMPRODUCT(--ISNUMBER(SEARCH({"descuento","oferta","ahorr","precio"," sale ","flash","deals"},AG483)))&gt;0),"Sí","No")</f>
        <v>Sí</v>
      </c>
      <c r="AJ483" s="102" t="str">
        <f>IF(SUMPRODUCT(--ISNUMBER(SEARCH({" hoy ","horas","tiempo limitado","antes de que","se acab","se agot","finalic","última oportunidad","oportunidad única","relámpago","express","no esperes","no volver","no parpadees"},AF483)))&gt;0,"Sí","No")</f>
        <v>No</v>
      </c>
      <c r="AK483" s="102" t="str">
        <f>IF(SUMPRODUCT(--ISNUMBER(SEARCH({" hoy ","horas","tiempo limitado","antes de que","se acab","se agot","finalic","última oportunidad","oportunidad única","relámpago","express","no esperes","no volver","no parpadees"},AG483)))&gt;0,"Sí","No")</f>
        <v>No</v>
      </c>
      <c r="AL483" s="102" t="str">
        <f t="shared" si="187"/>
        <v>Descuento sin tiempo límite</v>
      </c>
      <c r="AM483" s="102" t="str">
        <f>IF(SUMPRODUCT(--ISNUMBER(SEARCH({"0","1","2","3","4","5","6","7","8","9","favorit","maquillaje","piel","cabello","productos","belleza","regalo"},E483)))&gt;0,"Sí","No")</f>
        <v>No</v>
      </c>
      <c r="AN483" s="102" t="str">
        <f>IF(SUMPRODUCT(--ISNUMBER(SEARCH({"lo que tenemos","estas ofertas","algo especial","ofertas únicas","que preparamos","no te quedes","echa un vistazo"},F483)))&gt;0,"Sí","No")</f>
        <v>No</v>
      </c>
      <c r="AO483" s="102">
        <f t="shared" si="188"/>
        <v>55</v>
      </c>
      <c r="AP483" s="102">
        <f t="shared" si="189"/>
        <v>7</v>
      </c>
      <c r="AQ483" s="102">
        <f>SUMPRODUCT(LEN(E483)-LEN(SUBSTITUTE(E483,{"!","¡","?","¿",":",",",".","%","·","-",";"},"")))</f>
        <v>2</v>
      </c>
      <c r="AR483" s="102" t="str">
        <f t="shared" si="190"/>
        <v>Sí</v>
      </c>
      <c r="AS483" s="102" t="str">
        <f t="shared" si="191"/>
        <v>No</v>
      </c>
      <c r="AT483" s="102" t="str">
        <f>IF(SUMPRODUCT(--ISNUMBER(FIND({"0","1","2","3","4","5","6","7","8","9"},E483)))&gt;0,"Con cifra concreta",IF(OR(ISNUMBER(FIND("?",E483)),ISNUMBER(FIND("¿",E483))),"Pregunta abierta",IF(SUMPRODUCT(--ISNUMBER(SEARCH({" hoy ","horas","tiempo limitado","antes de que","se acab","se agot","finalic","última oportunidad","oportunidad única","relámpago","express","no esperes","no volver","no parpadees"," ya ","últimas horas","últimas unidades"," ahora "},AF483)))&gt;0,"Solo urgencia, sin cifra",IF(SUMPRODUCT(--ISNUMBER(SEARCH({"recompensa","sorpresa","regalo","lealtad","detalle","gracias","pensamos en ti","para ti"},E483)))&gt;0,"Recompensa o sorpresa","Otro: beneficio o novedad"))))</f>
        <v>Otro: beneficio o novedad</v>
      </c>
    </row>
    <row r="484" spans="1:46" x14ac:dyDescent="0.2">
      <c r="A484" s="104" t="s">
        <v>1355</v>
      </c>
      <c r="B484" s="104" t="s">
        <v>275</v>
      </c>
      <c r="C484" s="104" t="s">
        <v>773</v>
      </c>
      <c r="D484" s="104" t="s">
        <v>707</v>
      </c>
      <c r="E484" s="104" t="s">
        <v>465</v>
      </c>
      <c r="F484" s="104" t="s">
        <v>466</v>
      </c>
      <c r="G484" s="105">
        <v>361048</v>
      </c>
      <c r="H484" s="105">
        <v>66597</v>
      </c>
      <c r="I484" s="105">
        <v>6003</v>
      </c>
      <c r="J484" s="106">
        <v>3.55</v>
      </c>
      <c r="K484" s="106">
        <v>4.09</v>
      </c>
      <c r="L484" s="107">
        <v>62869.91</v>
      </c>
      <c r="M484" s="108">
        <f t="shared" si="168"/>
        <v>18.445469854423788</v>
      </c>
      <c r="N484" s="108">
        <f t="shared" si="169"/>
        <v>1.6626598125457002</v>
      </c>
      <c r="O484" s="108">
        <f t="shared" si="170"/>
        <v>9.0139195459254911</v>
      </c>
      <c r="P484" s="108">
        <f t="shared" si="171"/>
        <v>174.13172209789283</v>
      </c>
      <c r="Q484" s="108">
        <f t="shared" si="172"/>
        <v>33.047230763392911</v>
      </c>
      <c r="R484" s="108">
        <f t="shared" si="173"/>
        <v>27.021447627328243</v>
      </c>
      <c r="S484" s="101">
        <f t="shared" si="174"/>
        <v>45909</v>
      </c>
      <c r="T484" s="102" t="str">
        <f t="shared" si="175"/>
        <v>Septiembre</v>
      </c>
      <c r="U484" s="102" t="str">
        <f t="shared" si="176"/>
        <v>Martes</v>
      </c>
      <c r="V484" s="102">
        <f t="shared" si="177"/>
        <v>13</v>
      </c>
      <c r="W484" s="102" t="str">
        <f t="shared" si="178"/>
        <v>Resto del mes</v>
      </c>
      <c r="X484" s="102">
        <f t="shared" si="179"/>
        <v>28</v>
      </c>
      <c r="Y484" s="102" t="str">
        <f t="shared" si="180"/>
        <v>Sí</v>
      </c>
      <c r="Z484" s="102" t="str">
        <f>CHOOSE(MATCH(B484,{"Customer Appreciation","Exclusive Offers","Flash Sale","Holiday Discounts","New Product Launch","Newsletter"},0),"Fidelizar","Vender","Vender","Vender","Lanzar","Educar")</f>
        <v>Vender</v>
      </c>
      <c r="AA484" s="102" t="str">
        <f t="shared" si="181"/>
        <v>300 a 400 mil</v>
      </c>
      <c r="AB484" s="102">
        <f>COUNTIFS($E$5:$E$493,E484,$S$5:$S$493,"&lt;"&amp;S484)+COUNTIFS($E$5:E484,E484,$S$5:S484,S484)</f>
        <v>10</v>
      </c>
      <c r="AC484" s="102">
        <f t="shared" si="182"/>
        <v>22</v>
      </c>
      <c r="AD484" s="102" t="str">
        <f t="shared" si="183"/>
        <v>Medio</v>
      </c>
      <c r="AE484" s="103">
        <f t="shared" si="184"/>
        <v>-14.601760908969123</v>
      </c>
      <c r="AF484" s="102" t="str">
        <f t="shared" si="185"/>
        <v xml:space="preserve">  ofertas exclusivas  solo para nuestra comunidad vip </v>
      </c>
      <c r="AG484" s="102" t="str">
        <f t="shared" si="186"/>
        <v xml:space="preserve"> productos premium con descuentos únicos   acceso limitado  </v>
      </c>
      <c r="AH484" s="102" t="str">
        <f>IF(SUMPRODUCT(--(LEFT(IF(LEFT(LOWER(E484),1)="¡",MID(LOWER(E484),2,300),LOWER(E484)),LEN({"actualizaci","el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484" s="102" t="str">
        <f>IF(OR(SUMPRODUCT(--ISNUMBER(SEARCH({"descuento","oferta","ahorr","precio"," sale ","flash","deals"},AF484)))&gt;0,SUMPRODUCT(--ISNUMBER(SEARCH({"descuento","oferta","ahorr","precio"," sale ","flash","deals"},AG484)))&gt;0),"Sí","No")</f>
        <v>Sí</v>
      </c>
      <c r="AJ484" s="102" t="str">
        <f>IF(SUMPRODUCT(--ISNUMBER(SEARCH({" hoy ","horas","tiempo limitado","antes de que","se acab","se agot","finalic","última oportunidad","oportunidad única","relámpago","express","no esperes","no volver","no parpadees"},AF484)))&gt;0,"Sí","No")</f>
        <v>No</v>
      </c>
      <c r="AK484" s="102" t="str">
        <f>IF(SUMPRODUCT(--ISNUMBER(SEARCH({" hoy ","horas","tiempo limitado","antes de que","se acab","se agot","finalic","última oportunidad","oportunidad única","relámpago","express","no esperes","no volver","no parpadees"},AG484)))&gt;0,"Sí","No")</f>
        <v>No</v>
      </c>
      <c r="AL484" s="102" t="str">
        <f t="shared" si="187"/>
        <v>Descuento sin tiempo límite</v>
      </c>
      <c r="AM484" s="102" t="str">
        <f>IF(SUMPRODUCT(--ISNUMBER(SEARCH({"0","1","2","3","4","5","6","7","8","9","favorit","maquillaje","piel","cabello","productos","belleza","regalo"},E484)))&gt;0,"Sí","No")</f>
        <v>No</v>
      </c>
      <c r="AN484" s="102" t="str">
        <f>IF(SUMPRODUCT(--ISNUMBER(SEARCH({"lo que tenemos","estas ofertas","algo especial","ofertas únicas","que preparamos","no te quedes","echa un vistazo"},F484)))&gt;0,"Sí","No")</f>
        <v>No</v>
      </c>
      <c r="AO484" s="102">
        <f t="shared" si="188"/>
        <v>52</v>
      </c>
      <c r="AP484" s="102">
        <f t="shared" si="189"/>
        <v>7</v>
      </c>
      <c r="AQ484" s="102">
        <f>SUMPRODUCT(LEN(E484)-LEN(SUBSTITUTE(E484,{"!","¡","?","¿",":",",",".","%","·","-",";"},"")))</f>
        <v>2</v>
      </c>
      <c r="AR484" s="102" t="str">
        <f t="shared" si="190"/>
        <v>Sí</v>
      </c>
      <c r="AS484" s="102" t="str">
        <f t="shared" si="191"/>
        <v>No</v>
      </c>
      <c r="AT484" s="102" t="str">
        <f>IF(SUMPRODUCT(--ISNUMBER(FIND({"0","1","2","3","4","5","6","7","8","9"},E484)))&gt;0,"Con cifra concreta",IF(OR(ISNUMBER(FIND("?",E484)),ISNUMBER(FIND("¿",E484))),"Pregunta abierta",IF(SUMPRODUCT(--ISNUMBER(SEARCH({" hoy ","horas","tiempo limitado","antes de que","se acab","se agot","finalic","última oportunidad","oportunidad única","relámpago","express","no esperes","no volver","no parpadees"," ya ","últimas horas","últimas unidades"," ahora "},AF484)))&gt;0,"Solo urgencia, sin cifra",IF(SUMPRODUCT(--ISNUMBER(SEARCH({"recompensa","sorpresa","regalo","lealtad","detalle","gracias","pensamos en ti","para ti"},E484)))&gt;0,"Recompensa o sorpresa","Otro: beneficio o novedad"))))</f>
        <v>Otro: beneficio o novedad</v>
      </c>
    </row>
    <row r="485" spans="1:46" x14ac:dyDescent="0.2">
      <c r="A485" s="96" t="s">
        <v>1356</v>
      </c>
      <c r="B485" s="96" t="s">
        <v>275</v>
      </c>
      <c r="C485" s="96" t="s">
        <v>980</v>
      </c>
      <c r="D485" s="96" t="s">
        <v>824</v>
      </c>
      <c r="E485" s="96" t="s">
        <v>455</v>
      </c>
      <c r="F485" s="96" t="s">
        <v>456</v>
      </c>
      <c r="G485" s="97">
        <v>183882</v>
      </c>
      <c r="H485" s="97">
        <v>67232</v>
      </c>
      <c r="I485" s="97">
        <v>18491</v>
      </c>
      <c r="J485" s="98">
        <v>8.1</v>
      </c>
      <c r="K485" s="98">
        <v>4.47</v>
      </c>
      <c r="L485" s="99">
        <v>20293.580000000002</v>
      </c>
      <c r="M485" s="100">
        <f t="shared" si="168"/>
        <v>36.56257817513405</v>
      </c>
      <c r="N485" s="100">
        <f t="shared" si="169"/>
        <v>10.055905417604768</v>
      </c>
      <c r="O485" s="100">
        <f t="shared" si="170"/>
        <v>27.503272251308903</v>
      </c>
      <c r="P485" s="100">
        <f t="shared" si="171"/>
        <v>110.36197126418031</v>
      </c>
      <c r="Q485" s="100">
        <f t="shared" si="172"/>
        <v>38.720231784441999</v>
      </c>
      <c r="R485" s="100">
        <f t="shared" si="173"/>
        <v>27.021447627328243</v>
      </c>
      <c r="S485" s="101">
        <f t="shared" si="174"/>
        <v>45875</v>
      </c>
      <c r="T485" s="102" t="str">
        <f t="shared" si="175"/>
        <v>Agosto</v>
      </c>
      <c r="U485" s="102" t="str">
        <f t="shared" si="176"/>
        <v>Miércoles</v>
      </c>
      <c r="V485" s="102">
        <f t="shared" si="177"/>
        <v>10</v>
      </c>
      <c r="W485" s="102" t="str">
        <f t="shared" si="178"/>
        <v>Resto del mes</v>
      </c>
      <c r="X485" s="102">
        <f t="shared" si="179"/>
        <v>28</v>
      </c>
      <c r="Y485" s="102" t="str">
        <f t="shared" si="180"/>
        <v>Sí</v>
      </c>
      <c r="Z485" s="102" t="str">
        <f>CHOOSE(MATCH(B485,{"Customer Appreciation","Exclusive Offers","Flash Sale","Holiday Discounts","New Product Launch","Newsletter"},0),"Fidelizar","Vender","Vender","Vender","Lanzar","Educar")</f>
        <v>Vender</v>
      </c>
      <c r="AA485" s="102" t="str">
        <f t="shared" si="181"/>
        <v>100 a 200 mil</v>
      </c>
      <c r="AB485" s="102">
        <f>COUNTIFS($E$5:$E$493,E485,$S$5:$S$493,"&lt;"&amp;S485)+COUNTIFS($E$5:E485,E485,$S$5:S485,S485)</f>
        <v>5</v>
      </c>
      <c r="AC485" s="102">
        <f t="shared" si="182"/>
        <v>15</v>
      </c>
      <c r="AD485" s="102" t="str">
        <f t="shared" si="183"/>
        <v>Primer tercio</v>
      </c>
      <c r="AE485" s="103">
        <f t="shared" si="184"/>
        <v>-2.1576536093079497</v>
      </c>
      <c r="AF485" s="102" t="str">
        <f t="shared" si="185"/>
        <v xml:space="preserve">  solo un clic te separa de estas ofertas  l'oréal paris </v>
      </c>
      <c r="AG485" s="102" t="str">
        <f t="shared" si="186"/>
        <v xml:space="preserve"> descuentos irresistibles en productos seleccionados   últimas horas  </v>
      </c>
      <c r="AH485" s="102" t="str">
        <f>IF(SUMPRODUCT(--(LEFT(IF(LEFT(LOWER(E485),1)="¡",MID(LOWER(E485),2,300),LOWER(E485)),LEN({"actualizaci","el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485" s="102" t="str">
        <f>IF(OR(SUMPRODUCT(--ISNUMBER(SEARCH({"descuento","oferta","ahorr","precio"," sale ","flash","deals"},AF485)))&gt;0,SUMPRODUCT(--ISNUMBER(SEARCH({"descuento","oferta","ahorr","precio"," sale ","flash","deals"},AG485)))&gt;0),"Sí","No")</f>
        <v>Sí</v>
      </c>
      <c r="AJ485" s="102" t="str">
        <f>IF(SUMPRODUCT(--ISNUMBER(SEARCH({" hoy ","horas","tiempo limitado","antes de que","se acab","se agot","finalic","última oportunidad","oportunidad única","relámpago","express","no esperes","no volver","no parpadees"},AF485)))&gt;0,"Sí","No")</f>
        <v>No</v>
      </c>
      <c r="AK485" s="102" t="str">
        <f>IF(SUMPRODUCT(--ISNUMBER(SEARCH({" hoy ","horas","tiempo limitado","antes de que","se acab","se agot","finalic","última oportunidad","oportunidad única","relámpago","express","no esperes","no volver","no parpadees"},AG485)))&gt;0,"Sí","No")</f>
        <v>Sí</v>
      </c>
      <c r="AL485" s="102" t="str">
        <f t="shared" si="187"/>
        <v>Descuento con tiempo límite solo en el preheader</v>
      </c>
      <c r="AM485" s="102" t="str">
        <f>IF(SUMPRODUCT(--ISNUMBER(SEARCH({"0","1","2","3","4","5","6","7","8","9","favorit","maquillaje","piel","cabello","productos","belleza","regalo"},E485)))&gt;0,"Sí","No")</f>
        <v>No</v>
      </c>
      <c r="AN485" s="102" t="str">
        <f>IF(SUMPRODUCT(--ISNUMBER(SEARCH({"lo que tenemos","estas ofertas","algo especial","ofertas únicas","que preparamos","no te quedes","echa un vistazo"},F485)))&gt;0,"Sí","No")</f>
        <v>No</v>
      </c>
      <c r="AO485" s="102">
        <f t="shared" si="188"/>
        <v>55</v>
      </c>
      <c r="AP485" s="102">
        <f t="shared" si="189"/>
        <v>10</v>
      </c>
      <c r="AQ485" s="102">
        <f>SUMPRODUCT(LEN(E485)-LEN(SUBSTITUTE(E485,{"!","¡","?","¿",":",",",".","%","·","-",";"},"")))</f>
        <v>2</v>
      </c>
      <c r="AR485" s="102" t="str">
        <f t="shared" si="190"/>
        <v>No</v>
      </c>
      <c r="AS485" s="102" t="str">
        <f t="shared" si="191"/>
        <v>No</v>
      </c>
      <c r="AT485" s="102" t="str">
        <f>IF(SUMPRODUCT(--ISNUMBER(FIND({"0","1","2","3","4","5","6","7","8","9"},E485)))&gt;0,"Con cifra concreta",IF(OR(ISNUMBER(FIND("?",E485)),ISNUMBER(FIND("¿",E485))),"Pregunta abierta",IF(SUMPRODUCT(--ISNUMBER(SEARCH({" hoy ","horas","tiempo limitado","antes de que","se acab","se agot","finalic","última oportunidad","oportunidad única","relámpago","express","no esperes","no volver","no parpadees"," ya ","últimas horas","últimas unidades"," ahora "},AF485)))&gt;0,"Solo urgencia, sin cifra",IF(SUMPRODUCT(--ISNUMBER(SEARCH({"recompensa","sorpresa","regalo","lealtad","detalle","gracias","pensamos en ti","para ti"},E485)))&gt;0,"Recompensa o sorpresa","Otro: beneficio o novedad"))))</f>
        <v>Otro: beneficio o novedad</v>
      </c>
    </row>
    <row r="486" spans="1:46" x14ac:dyDescent="0.2">
      <c r="A486" s="104" t="s">
        <v>1357</v>
      </c>
      <c r="B486" s="104" t="s">
        <v>278</v>
      </c>
      <c r="C486" s="104" t="s">
        <v>815</v>
      </c>
      <c r="D486" s="104" t="s">
        <v>764</v>
      </c>
      <c r="E486" s="104" t="s">
        <v>367</v>
      </c>
      <c r="F486" s="104" t="s">
        <v>458</v>
      </c>
      <c r="G486" s="105">
        <v>166677</v>
      </c>
      <c r="H486" s="105">
        <v>49060</v>
      </c>
      <c r="I486" s="105">
        <v>7651</v>
      </c>
      <c r="J486" s="106">
        <v>4.07</v>
      </c>
      <c r="K486" s="106">
        <v>4.25</v>
      </c>
      <c r="L486" s="107">
        <v>15011.92</v>
      </c>
      <c r="M486" s="108">
        <f t="shared" si="168"/>
        <v>29.434175081144971</v>
      </c>
      <c r="N486" s="108">
        <f t="shared" si="169"/>
        <v>4.5903154004451725</v>
      </c>
      <c r="O486" s="108">
        <f t="shared" si="170"/>
        <v>15.59518956379943</v>
      </c>
      <c r="P486" s="108">
        <f t="shared" si="171"/>
        <v>90.065935911973455</v>
      </c>
      <c r="Q486" s="108">
        <f t="shared" si="172"/>
        <v>36.132518317209367</v>
      </c>
      <c r="R486" s="108">
        <f t="shared" si="173"/>
        <v>29.458247936272421</v>
      </c>
      <c r="S486" s="101">
        <f t="shared" si="174"/>
        <v>45959</v>
      </c>
      <c r="T486" s="102" t="str">
        <f t="shared" si="175"/>
        <v>Octubre</v>
      </c>
      <c r="U486" s="102" t="str">
        <f t="shared" si="176"/>
        <v>Miércoles</v>
      </c>
      <c r="V486" s="102">
        <f t="shared" si="177"/>
        <v>15</v>
      </c>
      <c r="W486" s="102" t="str">
        <f t="shared" si="178"/>
        <v>Resto del mes</v>
      </c>
      <c r="X486" s="102">
        <f t="shared" si="179"/>
        <v>27</v>
      </c>
      <c r="Y486" s="102" t="str">
        <f t="shared" si="180"/>
        <v>Sí</v>
      </c>
      <c r="Z486" s="102" t="str">
        <f>CHOOSE(MATCH(B486,{"Customer Appreciation","Exclusive Offers","Flash Sale","Holiday Discounts","New Product Launch","Newsletter"},0),"Fidelizar","Vender","Vender","Vender","Lanzar","Educar")</f>
        <v>Lanzar</v>
      </c>
      <c r="AA486" s="102" t="str">
        <f t="shared" si="181"/>
        <v>100 a 200 mil</v>
      </c>
      <c r="AB486" s="102">
        <f>COUNTIFS($E$5:$E$493,E486,$S$5:$S$493,"&lt;"&amp;S486)+COUNTIFS($E$5:E486,E486,$S$5:S486,S486)</f>
        <v>25</v>
      </c>
      <c r="AC486" s="102">
        <f t="shared" si="182"/>
        <v>25</v>
      </c>
      <c r="AD486" s="102" t="str">
        <f t="shared" si="183"/>
        <v>Último tercio</v>
      </c>
      <c r="AE486" s="103">
        <f t="shared" si="184"/>
        <v>-6.698343236064396</v>
      </c>
      <c r="AF486" s="102" t="str">
        <f t="shared" si="185"/>
        <v xml:space="preserve">  el futuro de tu piel ha llegado  nuevo producto revolucionario </v>
      </c>
      <c r="AG486" s="102" t="str">
        <f t="shared" si="186"/>
        <v xml:space="preserve"> una fórmula revolucionaria para resultados visibles   compruébalo  </v>
      </c>
      <c r="AH486" s="102" t="str">
        <f>IF(SUMPRODUCT(--(LEFT(IF(LEFT(LOWER(E486),1)="¡",MID(LOWER(E486),2,300),LOWER(E486)),LEN({"actualizaci","el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486" s="102" t="str">
        <f>IF(OR(SUMPRODUCT(--ISNUMBER(SEARCH({"descuento","oferta","ahorr","precio"," sale ","flash","deals"},AF486)))&gt;0,SUMPRODUCT(--ISNUMBER(SEARCH({"descuento","oferta","ahorr","precio"," sale ","flash","deals"},AG486)))&gt;0),"Sí","No")</f>
        <v>No</v>
      </c>
      <c r="AJ486" s="102" t="str">
        <f>IF(SUMPRODUCT(--ISNUMBER(SEARCH({" hoy ","horas","tiempo limitado","antes de que","se acab","se agot","finalic","última oportunidad","oportunidad única","relámpago","express","no esperes","no volver","no parpadees"},AF486)))&gt;0,"Sí","No")</f>
        <v>No</v>
      </c>
      <c r="AK486" s="102" t="str">
        <f>IF(SUMPRODUCT(--ISNUMBER(SEARCH({" hoy ","horas","tiempo limitado","antes de que","se acab","se agot","finalic","última oportunidad","oportunidad única","relámpago","express","no esperes","no volver","no parpadees"},AG486)))&gt;0,"Sí","No")</f>
        <v>No</v>
      </c>
      <c r="AL486" s="102" t="str">
        <f t="shared" si="187"/>
        <v>Sin descuento</v>
      </c>
      <c r="AM486" s="102" t="str">
        <f>IF(SUMPRODUCT(--ISNUMBER(SEARCH({"0","1","2","3","4","5","6","7","8","9","favorit","maquillaje","piel","cabello","productos","belleza","regalo"},E486)))&gt;0,"Sí","No")</f>
        <v>Sí</v>
      </c>
      <c r="AN486" s="102" t="str">
        <f>IF(SUMPRODUCT(--ISNUMBER(SEARCH({"lo que tenemos","estas ofertas","algo especial","ofertas únicas","que preparamos","no te quedes","echa un vistazo"},F486)))&gt;0,"Sí","No")</f>
        <v>No</v>
      </c>
      <c r="AO486" s="102">
        <f t="shared" si="188"/>
        <v>63</v>
      </c>
      <c r="AP486" s="102">
        <f t="shared" si="189"/>
        <v>10</v>
      </c>
      <c r="AQ486" s="102">
        <f>SUMPRODUCT(LEN(E486)-LEN(SUBSTITUTE(E486,{"!","¡","?","¿",":",",",".","%","·","-",";"},"")))</f>
        <v>2</v>
      </c>
      <c r="AR486" s="102" t="str">
        <f t="shared" si="190"/>
        <v>No</v>
      </c>
      <c r="AS486" s="102" t="str">
        <f t="shared" si="191"/>
        <v>No</v>
      </c>
      <c r="AT486" s="102" t="str">
        <f>IF(SUMPRODUCT(--ISNUMBER(FIND({"0","1","2","3","4","5","6","7","8","9"},E486)))&gt;0,"Con cifra concreta",IF(OR(ISNUMBER(FIND("?",E486)),ISNUMBER(FIND("¿",E486))),"Pregunta abierta",IF(SUMPRODUCT(--ISNUMBER(SEARCH({" hoy ","horas","tiempo limitado","antes de que","se acab","se agot","finalic","última oportunidad","oportunidad única","relámpago","express","no esperes","no volver","no parpadees"," ya ","últimas horas","últimas unidades"," ahora "},AF486)))&gt;0,"Solo urgencia, sin cifra",IF(SUMPRODUCT(--ISNUMBER(SEARCH({"recompensa","sorpresa","regalo","lealtad","detalle","gracias","pensamos en ti","para ti"},E486)))&gt;0,"Recompensa o sorpresa","Otro: beneficio o novedad"))))</f>
        <v>Otro: beneficio o novedad</v>
      </c>
    </row>
    <row r="487" spans="1:46" x14ac:dyDescent="0.2">
      <c r="A487" s="96" t="s">
        <v>1358</v>
      </c>
      <c r="B487" s="96" t="s">
        <v>274</v>
      </c>
      <c r="C487" s="96" t="s">
        <v>869</v>
      </c>
      <c r="D487" s="96" t="s">
        <v>821</v>
      </c>
      <c r="E487" s="96" t="s">
        <v>371</v>
      </c>
      <c r="F487" s="96" t="s">
        <v>452</v>
      </c>
      <c r="G487" s="97">
        <v>217623</v>
      </c>
      <c r="H487" s="97">
        <v>106093</v>
      </c>
      <c r="I487" s="97">
        <v>21151</v>
      </c>
      <c r="J487" s="98">
        <v>5.17</v>
      </c>
      <c r="K487" s="98">
        <v>1.37</v>
      </c>
      <c r="L487" s="99">
        <v>46358.91</v>
      </c>
      <c r="M487" s="100">
        <f t="shared" si="168"/>
        <v>48.750821374578976</v>
      </c>
      <c r="N487" s="100">
        <f t="shared" si="169"/>
        <v>9.7191013817473326</v>
      </c>
      <c r="O487" s="100">
        <f t="shared" si="170"/>
        <v>19.936282318343341</v>
      </c>
      <c r="P487" s="100">
        <f t="shared" si="171"/>
        <v>213.02394507933445</v>
      </c>
      <c r="Q487" s="100">
        <f t="shared" si="172"/>
        <v>40.72142758959253</v>
      </c>
      <c r="R487" s="100">
        <f t="shared" si="173"/>
        <v>31.113650744455075</v>
      </c>
      <c r="S487" s="101">
        <f t="shared" si="174"/>
        <v>45917</v>
      </c>
      <c r="T487" s="102" t="str">
        <f t="shared" si="175"/>
        <v>Septiembre</v>
      </c>
      <c r="U487" s="102" t="str">
        <f t="shared" si="176"/>
        <v>Miércoles</v>
      </c>
      <c r="V487" s="102">
        <f t="shared" si="177"/>
        <v>8</v>
      </c>
      <c r="W487" s="102" t="str">
        <f t="shared" si="178"/>
        <v>Días después del pago</v>
      </c>
      <c r="X487" s="102">
        <f t="shared" si="179"/>
        <v>26</v>
      </c>
      <c r="Y487" s="102" t="str">
        <f t="shared" si="180"/>
        <v>Sí</v>
      </c>
      <c r="Z487" s="102" t="str">
        <f>CHOOSE(MATCH(B487,{"Customer Appreciation","Exclusive Offers","Flash Sale","Holiday Discounts","New Product Launch","Newsletter"},0),"Fidelizar","Vender","Vender","Vender","Lanzar","Educar")</f>
        <v>Fidelizar</v>
      </c>
      <c r="AA487" s="102" t="str">
        <f t="shared" si="181"/>
        <v>200 a 300 mil</v>
      </c>
      <c r="AB487" s="102">
        <f>COUNTIFS($E$5:$E$493,E487,$S$5:$S$493,"&lt;"&amp;S487)+COUNTIFS($E$5:E487,E487,$S$5:S487,S487)</f>
        <v>12</v>
      </c>
      <c r="AC487" s="102">
        <f t="shared" si="182"/>
        <v>16</v>
      </c>
      <c r="AD487" s="102" t="str">
        <f t="shared" si="183"/>
        <v>Último tercio</v>
      </c>
      <c r="AE487" s="103">
        <f t="shared" si="184"/>
        <v>8.0293937849864463</v>
      </c>
      <c r="AF487" s="102" t="str">
        <f t="shared" si="185"/>
        <v xml:space="preserve">  tu lealtad tiene recompensa  descúbrela  sorpresas para ti </v>
      </c>
      <c r="AG487" s="102" t="str">
        <f t="shared" si="186"/>
        <v xml:space="preserve"> ofertas exclusivas para nuestros clientes más especiales   no te las pierdas  </v>
      </c>
      <c r="AH487" s="102" t="str">
        <f>IF(SUMPRODUCT(--(LEFT(IF(LEFT(LOWER(E487),1)="¡",MID(LOWER(E487),2,300),LOWER(E487)),LEN({"actualizaci","el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487" s="102" t="str">
        <f>IF(OR(SUMPRODUCT(--ISNUMBER(SEARCH({"descuento","oferta","ahorr","precio"," sale ","flash","deals"},AF487)))&gt;0,SUMPRODUCT(--ISNUMBER(SEARCH({"descuento","oferta","ahorr","precio"," sale ","flash","deals"},AG487)))&gt;0),"Sí","No")</f>
        <v>Sí</v>
      </c>
      <c r="AJ487" s="102" t="str">
        <f>IF(SUMPRODUCT(--ISNUMBER(SEARCH({" hoy ","horas","tiempo limitado","antes de que","se acab","se agot","finalic","última oportunidad","oportunidad única","relámpago","express","no esperes","no volver","no parpadees"},AF487)))&gt;0,"Sí","No")</f>
        <v>No</v>
      </c>
      <c r="AK487" s="102" t="str">
        <f>IF(SUMPRODUCT(--ISNUMBER(SEARCH({" hoy ","horas","tiempo limitado","antes de que","se acab","se agot","finalic","última oportunidad","oportunidad única","relámpago","express","no esperes","no volver","no parpadees"},AG487)))&gt;0,"Sí","No")</f>
        <v>No</v>
      </c>
      <c r="AL487" s="102" t="str">
        <f t="shared" si="187"/>
        <v>Descuento sin tiempo límite</v>
      </c>
      <c r="AM487" s="102" t="str">
        <f>IF(SUMPRODUCT(--ISNUMBER(SEARCH({"0","1","2","3","4","5","6","7","8","9","favorit","maquillaje","piel","cabello","productos","belleza","regalo"},E487)))&gt;0,"Sí","No")</f>
        <v>No</v>
      </c>
      <c r="AN487" s="102" t="str">
        <f>IF(SUMPRODUCT(--ISNUMBER(SEARCH({"lo que tenemos","estas ofertas","algo especial","ofertas únicas","que preparamos","no te quedes","echa un vistazo"},F487)))&gt;0,"Sí","No")</f>
        <v>No</v>
      </c>
      <c r="AO487" s="102">
        <f t="shared" si="188"/>
        <v>59</v>
      </c>
      <c r="AP487" s="102">
        <f t="shared" si="189"/>
        <v>8</v>
      </c>
      <c r="AQ487" s="102">
        <f>SUMPRODUCT(LEN(E487)-LEN(SUBSTITUTE(E487,{"!","¡","?","¿",":",",",".","%","·","-",";"},"")))</f>
        <v>3</v>
      </c>
      <c r="AR487" s="102" t="str">
        <f t="shared" si="190"/>
        <v>Sí</v>
      </c>
      <c r="AS487" s="102" t="str">
        <f t="shared" si="191"/>
        <v>No</v>
      </c>
      <c r="AT487" s="102" t="str">
        <f>IF(SUMPRODUCT(--ISNUMBER(FIND({"0","1","2","3","4","5","6","7","8","9"},E487)))&gt;0,"Con cifra concreta",IF(OR(ISNUMBER(FIND("?",E487)),ISNUMBER(FIND("¿",E487))),"Pregunta abierta",IF(SUMPRODUCT(--ISNUMBER(SEARCH({" hoy ","horas","tiempo limitado","antes de que","se acab","se agot","finalic","última oportunidad","oportunidad única","relámpago","express","no esperes","no volver","no parpadees"," ya ","últimas horas","últimas unidades"," ahora "},AF487)))&gt;0,"Solo urgencia, sin cifra",IF(SUMPRODUCT(--ISNUMBER(SEARCH({"recompensa","sorpresa","regalo","lealtad","detalle","gracias","pensamos en ti","para ti"},E487)))&gt;0,"Recompensa o sorpresa","Otro: beneficio o novedad"))))</f>
        <v>Recompensa o sorpresa</v>
      </c>
    </row>
    <row r="488" spans="1:46" x14ac:dyDescent="0.2">
      <c r="A488" s="104" t="s">
        <v>1359</v>
      </c>
      <c r="B488" s="104" t="s">
        <v>274</v>
      </c>
      <c r="C488" s="104" t="s">
        <v>928</v>
      </c>
      <c r="D488" s="104" t="s">
        <v>715</v>
      </c>
      <c r="E488" s="104" t="s">
        <v>372</v>
      </c>
      <c r="F488" s="104" t="s">
        <v>480</v>
      </c>
      <c r="G488" s="105">
        <v>236273</v>
      </c>
      <c r="H488" s="105">
        <v>52349</v>
      </c>
      <c r="I488" s="105">
        <v>13511</v>
      </c>
      <c r="J488" s="106">
        <v>6.85</v>
      </c>
      <c r="K488" s="106">
        <v>0.46</v>
      </c>
      <c r="L488" s="107">
        <v>10604.13</v>
      </c>
      <c r="M488" s="108">
        <f t="shared" si="168"/>
        <v>22.156149877472245</v>
      </c>
      <c r="N488" s="108">
        <f t="shared" si="169"/>
        <v>5.7183850884358343</v>
      </c>
      <c r="O488" s="108">
        <f t="shared" si="170"/>
        <v>25.809471050067813</v>
      </c>
      <c r="P488" s="108">
        <f t="shared" si="171"/>
        <v>44.88083699787957</v>
      </c>
      <c r="Q488" s="108">
        <f t="shared" si="172"/>
        <v>20.724631699294946</v>
      </c>
      <c r="R488" s="108">
        <f t="shared" si="173"/>
        <v>31.113650744455075</v>
      </c>
      <c r="S488" s="101">
        <f t="shared" si="174"/>
        <v>45883</v>
      </c>
      <c r="T488" s="102" t="str">
        <f t="shared" si="175"/>
        <v>Agosto</v>
      </c>
      <c r="U488" s="102" t="str">
        <f t="shared" si="176"/>
        <v>Jueves</v>
      </c>
      <c r="V488" s="102">
        <f t="shared" si="177"/>
        <v>11</v>
      </c>
      <c r="W488" s="102" t="str">
        <f t="shared" si="178"/>
        <v>Quincena</v>
      </c>
      <c r="X488" s="102">
        <f t="shared" si="179"/>
        <v>23</v>
      </c>
      <c r="Y488" s="102" t="str">
        <f t="shared" si="180"/>
        <v>Sí</v>
      </c>
      <c r="Z488" s="102" t="str">
        <f>CHOOSE(MATCH(B488,{"Customer Appreciation","Exclusive Offers","Flash Sale","Holiday Discounts","New Product Launch","Newsletter"},0),"Fidelizar","Vender","Vender","Vender","Lanzar","Educar")</f>
        <v>Fidelizar</v>
      </c>
      <c r="AA488" s="102" t="str">
        <f t="shared" si="181"/>
        <v>200 a 300 mil</v>
      </c>
      <c r="AB488" s="102">
        <f>COUNTIFS($E$5:$E$493,E488,$S$5:$S$493,"&lt;"&amp;S488)+COUNTIFS($E$5:E488,E488,$S$5:S488,S488)</f>
        <v>5</v>
      </c>
      <c r="AC488" s="102">
        <f t="shared" si="182"/>
        <v>14</v>
      </c>
      <c r="AD488" s="102" t="str">
        <f t="shared" si="183"/>
        <v>Medio</v>
      </c>
      <c r="AE488" s="103">
        <f t="shared" si="184"/>
        <v>1.4315181781772992</v>
      </c>
      <c r="AF488" s="102" t="str">
        <f t="shared" si="185"/>
        <v xml:space="preserve">  un pequeño detalle para agradecerte tu lealtad  l'oréal </v>
      </c>
      <c r="AG488" s="102" t="str">
        <f t="shared" si="186"/>
        <v xml:space="preserve"> echa un vistazo a lo que tenemos para ti   te va a encantar  </v>
      </c>
      <c r="AH488" s="102" t="str">
        <f>IF(SUMPRODUCT(--(LEFT(IF(LEFT(LOWER(E488),1)="¡",MID(LOWER(E488),2,300),LOWER(E488)),LEN({"actualizaci","el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Sí</v>
      </c>
      <c r="AI488" s="102" t="str">
        <f>IF(OR(SUMPRODUCT(--ISNUMBER(SEARCH({"descuento","oferta","ahorr","precio"," sale ","flash","deals"},AF488)))&gt;0,SUMPRODUCT(--ISNUMBER(SEARCH({"descuento","oferta","ahorr","precio"," sale ","flash","deals"},AG488)))&gt;0),"Sí","No")</f>
        <v>No</v>
      </c>
      <c r="AJ488" s="102" t="str">
        <f>IF(SUMPRODUCT(--ISNUMBER(SEARCH({" hoy ","horas","tiempo limitado","antes de que","se acab","se agot","finalic","última oportunidad","oportunidad única","relámpago","express","no esperes","no volver","no parpadees"},AF488)))&gt;0,"Sí","No")</f>
        <v>No</v>
      </c>
      <c r="AK488" s="102" t="str">
        <f>IF(SUMPRODUCT(--ISNUMBER(SEARCH({" hoy ","horas","tiempo limitado","antes de que","se acab","se agot","finalic","última oportunidad","oportunidad única","relámpago","express","no esperes","no volver","no parpadees"},AG488)))&gt;0,"Sí","No")</f>
        <v>No</v>
      </c>
      <c r="AL488" s="102" t="str">
        <f t="shared" si="187"/>
        <v>Sin descuento</v>
      </c>
      <c r="AM488" s="102" t="str">
        <f>IF(SUMPRODUCT(--ISNUMBER(SEARCH({"0","1","2","3","4","5","6","7","8","9","favorit","maquillaje","piel","cabello","productos","belleza","regalo"},E488)))&gt;0,"Sí","No")</f>
        <v>No</v>
      </c>
      <c r="AN488" s="102" t="str">
        <f>IF(SUMPRODUCT(--ISNUMBER(SEARCH({"lo que tenemos","estas ofertas","algo especial","ofertas únicas","que preparamos","no te quedes","echa un vistazo"},F488)))&gt;0,"Sí","No")</f>
        <v>Sí</v>
      </c>
      <c r="AO488" s="102">
        <f t="shared" si="188"/>
        <v>56</v>
      </c>
      <c r="AP488" s="102">
        <f t="shared" si="189"/>
        <v>8</v>
      </c>
      <c r="AQ488" s="102">
        <f>SUMPRODUCT(LEN(E488)-LEN(SUBSTITUTE(E488,{"!","¡","?","¿",":",",",".","%","·","-",";"},"")))</f>
        <v>2</v>
      </c>
      <c r="AR488" s="102" t="str">
        <f t="shared" si="190"/>
        <v>Sí</v>
      </c>
      <c r="AS488" s="102" t="str">
        <f t="shared" si="191"/>
        <v>No</v>
      </c>
      <c r="AT488" s="102" t="str">
        <f>IF(SUMPRODUCT(--ISNUMBER(FIND({"0","1","2","3","4","5","6","7","8","9"},E488)))&gt;0,"Con cifra concreta",IF(OR(ISNUMBER(FIND("?",E488)),ISNUMBER(FIND("¿",E488))),"Pregunta abierta",IF(SUMPRODUCT(--ISNUMBER(SEARCH({" hoy ","horas","tiempo limitado","antes de que","se acab","se agot","finalic","última oportunidad","oportunidad única","relámpago","express","no esperes","no volver","no parpadees"," ya ","últimas horas","últimas unidades"," ahora "},AF488)))&gt;0,"Solo urgencia, sin cifra",IF(SUMPRODUCT(--ISNUMBER(SEARCH({"recompensa","sorpresa","regalo","lealtad","detalle","gracias","pensamos en ti","para ti"},E488)))&gt;0,"Recompensa o sorpresa","Otro: beneficio o novedad"))))</f>
        <v>Recompensa o sorpresa</v>
      </c>
    </row>
    <row r="489" spans="1:46" x14ac:dyDescent="0.2">
      <c r="A489" s="96" t="s">
        <v>1360</v>
      </c>
      <c r="B489" s="96" t="s">
        <v>274</v>
      </c>
      <c r="C489" s="96" t="s">
        <v>889</v>
      </c>
      <c r="D489" s="96" t="s">
        <v>761</v>
      </c>
      <c r="E489" s="96" t="s">
        <v>453</v>
      </c>
      <c r="F489" s="96" t="s">
        <v>454</v>
      </c>
      <c r="G489" s="97">
        <v>255610</v>
      </c>
      <c r="H489" s="97">
        <v>54956</v>
      </c>
      <c r="I489" s="97">
        <v>50444</v>
      </c>
      <c r="J489" s="98">
        <v>6.28</v>
      </c>
      <c r="K489" s="98">
        <v>3.15</v>
      </c>
      <c r="L489" s="99">
        <v>41143.269999999997</v>
      </c>
      <c r="M489" s="100">
        <f t="shared" si="168"/>
        <v>21.499941316849888</v>
      </c>
      <c r="N489" s="100">
        <f t="shared" si="169"/>
        <v>19.734752161496029</v>
      </c>
      <c r="O489" s="100">
        <f t="shared" si="170"/>
        <v>91.789795472741829</v>
      </c>
      <c r="P489" s="100">
        <f t="shared" si="171"/>
        <v>160.9611126325261</v>
      </c>
      <c r="Q489" s="100">
        <f t="shared" si="172"/>
        <v>39.210446566150395</v>
      </c>
      <c r="R489" s="100">
        <f t="shared" si="173"/>
        <v>31.113650744455075</v>
      </c>
      <c r="S489" s="101">
        <f t="shared" si="174"/>
        <v>45908</v>
      </c>
      <c r="T489" s="102" t="str">
        <f t="shared" si="175"/>
        <v>Septiembre</v>
      </c>
      <c r="U489" s="102" t="str">
        <f t="shared" si="176"/>
        <v>Lunes</v>
      </c>
      <c r="V489" s="102">
        <f t="shared" si="177"/>
        <v>10</v>
      </c>
      <c r="W489" s="102" t="str">
        <f t="shared" si="178"/>
        <v>Resto del mes</v>
      </c>
      <c r="X489" s="102">
        <f t="shared" si="179"/>
        <v>28</v>
      </c>
      <c r="Y489" s="102" t="str">
        <f t="shared" si="180"/>
        <v>Sí</v>
      </c>
      <c r="Z489" s="102" t="str">
        <f>CHOOSE(MATCH(B489,{"Customer Appreciation","Exclusive Offers","Flash Sale","Holiday Discounts","New Product Launch","Newsletter"},0),"Fidelizar","Vender","Vender","Vender","Lanzar","Educar")</f>
        <v>Fidelizar</v>
      </c>
      <c r="AA489" s="102" t="str">
        <f t="shared" si="181"/>
        <v>200 a 300 mil</v>
      </c>
      <c r="AB489" s="102">
        <f>COUNTIFS($E$5:$E$493,E489,$S$5:$S$493,"&lt;"&amp;S489)+COUNTIFS($E$5:E489,E489,$S$5:S489,S489)</f>
        <v>15</v>
      </c>
      <c r="AC489" s="102">
        <f t="shared" si="182"/>
        <v>20</v>
      </c>
      <c r="AD489" s="102" t="str">
        <f t="shared" si="183"/>
        <v>Último tercio</v>
      </c>
      <c r="AE489" s="103">
        <f t="shared" si="184"/>
        <v>-17.710505249300507</v>
      </c>
      <c r="AF489" s="102" t="str">
        <f t="shared" si="185"/>
        <v xml:space="preserve">  pensamos en ti  descubre estas sorpresas exclusivas </v>
      </c>
      <c r="AG489" s="102" t="str">
        <f t="shared" si="186"/>
        <v xml:space="preserve"> ofertas exclusivas por tu lealtad a l'oréal   aprovecha  </v>
      </c>
      <c r="AH489" s="102" t="str">
        <f>IF(SUMPRODUCT(--(LEFT(IF(LEFT(LOWER(E489),1)="¡",MID(LOWER(E489),2,300),LOWER(E489)),LEN({"actualizaci","el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489" s="102" t="str">
        <f>IF(OR(SUMPRODUCT(--ISNUMBER(SEARCH({"descuento","oferta","ahorr","precio"," sale ","flash","deals"},AF489)))&gt;0,SUMPRODUCT(--ISNUMBER(SEARCH({"descuento","oferta","ahorr","precio"," sale ","flash","deals"},AG489)))&gt;0),"Sí","No")</f>
        <v>Sí</v>
      </c>
      <c r="AJ489" s="102" t="str">
        <f>IF(SUMPRODUCT(--ISNUMBER(SEARCH({" hoy ","horas","tiempo limitado","antes de que","se acab","se agot","finalic","última oportunidad","oportunidad única","relámpago","express","no esperes","no volver","no parpadees"},AF489)))&gt;0,"Sí","No")</f>
        <v>No</v>
      </c>
      <c r="AK489" s="102" t="str">
        <f>IF(SUMPRODUCT(--ISNUMBER(SEARCH({" hoy ","horas","tiempo limitado","antes de que","se acab","se agot","finalic","última oportunidad","oportunidad única","relámpago","express","no esperes","no volver","no parpadees"},AG489)))&gt;0,"Sí","No")</f>
        <v>No</v>
      </c>
      <c r="AL489" s="102" t="str">
        <f t="shared" si="187"/>
        <v>Descuento sin tiempo límite</v>
      </c>
      <c r="AM489" s="102" t="str">
        <f>IF(SUMPRODUCT(--ISNUMBER(SEARCH({"0","1","2","3","4","5","6","7","8","9","favorit","maquillaje","piel","cabello","productos","belleza","regalo"},E489)))&gt;0,"Sí","No")</f>
        <v>No</v>
      </c>
      <c r="AN489" s="102" t="str">
        <f>IF(SUMPRODUCT(--ISNUMBER(SEARCH({"lo que tenemos","estas ofertas","algo especial","ofertas únicas","que preparamos","no te quedes","echa un vistazo"},F489)))&gt;0,"Sí","No")</f>
        <v>No</v>
      </c>
      <c r="AO489" s="102">
        <f t="shared" si="188"/>
        <v>52</v>
      </c>
      <c r="AP489" s="102">
        <f t="shared" si="189"/>
        <v>7</v>
      </c>
      <c r="AQ489" s="102">
        <f>SUMPRODUCT(LEN(E489)-LEN(SUBSTITUTE(E489,{"!","¡","?","¿",":",",",".","%","·","-",";"},"")))</f>
        <v>2</v>
      </c>
      <c r="AR489" s="102" t="str">
        <f t="shared" si="190"/>
        <v>Sí</v>
      </c>
      <c r="AS489" s="102" t="str">
        <f t="shared" si="191"/>
        <v>No</v>
      </c>
      <c r="AT489" s="102" t="str">
        <f>IF(SUMPRODUCT(--ISNUMBER(FIND({"0","1","2","3","4","5","6","7","8","9"},E489)))&gt;0,"Con cifra concreta",IF(OR(ISNUMBER(FIND("?",E489)),ISNUMBER(FIND("¿",E489))),"Pregunta abierta",IF(SUMPRODUCT(--ISNUMBER(SEARCH({" hoy ","horas","tiempo limitado","antes de que","se acab","se agot","finalic","última oportunidad","oportunidad única","relámpago","express","no esperes","no volver","no parpadees"," ya ","últimas horas","últimas unidades"," ahora "},AF489)))&gt;0,"Solo urgencia, sin cifra",IF(SUMPRODUCT(--ISNUMBER(SEARCH({"recompensa","sorpresa","regalo","lealtad","detalle","gracias","pensamos en ti","para ti"},E489)))&gt;0,"Recompensa o sorpresa","Otro: beneficio o novedad"))))</f>
        <v>Recompensa o sorpresa</v>
      </c>
    </row>
    <row r="490" spans="1:46" x14ac:dyDescent="0.2">
      <c r="A490" s="104" t="s">
        <v>1361</v>
      </c>
      <c r="B490" s="104" t="s">
        <v>275</v>
      </c>
      <c r="C490" s="104" t="s">
        <v>915</v>
      </c>
      <c r="D490" s="104" t="s">
        <v>769</v>
      </c>
      <c r="E490" s="104" t="s">
        <v>481</v>
      </c>
      <c r="F490" s="104" t="s">
        <v>482</v>
      </c>
      <c r="G490" s="105">
        <v>150824</v>
      </c>
      <c r="H490" s="105">
        <v>45279</v>
      </c>
      <c r="I490" s="105">
        <v>13101</v>
      </c>
      <c r="J490" s="106">
        <v>2.27</v>
      </c>
      <c r="K490" s="106">
        <v>2.44</v>
      </c>
      <c r="L490" s="107">
        <v>64926.63</v>
      </c>
      <c r="M490" s="108">
        <f t="shared" si="168"/>
        <v>30.021084177584466</v>
      </c>
      <c r="N490" s="108">
        <f t="shared" si="169"/>
        <v>8.686283350129953</v>
      </c>
      <c r="O490" s="108">
        <f t="shared" si="170"/>
        <v>28.933942887431257</v>
      </c>
      <c r="P490" s="108">
        <f t="shared" si="171"/>
        <v>430.47943298148834</v>
      </c>
      <c r="Q490" s="108">
        <f t="shared" si="172"/>
        <v>18.428686186240089</v>
      </c>
      <c r="R490" s="108">
        <f t="shared" si="173"/>
        <v>27.021447627328243</v>
      </c>
      <c r="S490" s="101">
        <f t="shared" si="174"/>
        <v>45954</v>
      </c>
      <c r="T490" s="102" t="str">
        <f t="shared" si="175"/>
        <v>Octubre</v>
      </c>
      <c r="U490" s="102" t="str">
        <f t="shared" si="176"/>
        <v>Viernes</v>
      </c>
      <c r="V490" s="102">
        <f t="shared" si="177"/>
        <v>13</v>
      </c>
      <c r="W490" s="102" t="str">
        <f t="shared" si="178"/>
        <v>Resto del mes</v>
      </c>
      <c r="X490" s="102">
        <f t="shared" si="179"/>
        <v>29</v>
      </c>
      <c r="Y490" s="102" t="str">
        <f t="shared" si="180"/>
        <v>Sí</v>
      </c>
      <c r="Z490" s="102" t="str">
        <f>CHOOSE(MATCH(B490,{"Customer Appreciation","Exclusive Offers","Flash Sale","Holiday Discounts","New Product Launch","Newsletter"},0),"Fidelizar","Vender","Vender","Vender","Lanzar","Educar")</f>
        <v>Vender</v>
      </c>
      <c r="AA490" s="102" t="str">
        <f t="shared" si="181"/>
        <v>100 a 200 mil</v>
      </c>
      <c r="AB490" s="102">
        <f>COUNTIFS($E$5:$E$493,E490,$S$5:$S$493,"&lt;"&amp;S490)+COUNTIFS($E$5:E490,E490,$S$5:S490,S490)</f>
        <v>10</v>
      </c>
      <c r="AC490" s="102">
        <f t="shared" si="182"/>
        <v>11</v>
      </c>
      <c r="AD490" s="102" t="str">
        <f t="shared" si="183"/>
        <v>Último tercio</v>
      </c>
      <c r="AE490" s="103">
        <f t="shared" si="184"/>
        <v>11.592397991344377</v>
      </c>
      <c r="AF490" s="102" t="str">
        <f t="shared" si="185"/>
        <v xml:space="preserve">  oportunidad única  solo por hoy  tus favoritos a un clic </v>
      </c>
      <c r="AG490" s="102" t="str">
        <f t="shared" si="186"/>
        <v xml:space="preserve"> tus productos favoritos con un precio que no volverás a ver   aprovecha  </v>
      </c>
      <c r="AH490" s="102" t="str">
        <f>IF(SUMPRODUCT(--(LEFT(IF(LEFT(LOWER(E490),1)="¡",MID(LOWER(E490),2,300),LOWER(E490)),LEN({"actualizaci","el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Sí</v>
      </c>
      <c r="AI490" s="102" t="str">
        <f>IF(OR(SUMPRODUCT(--ISNUMBER(SEARCH({"descuento","oferta","ahorr","precio"," sale ","flash","deals"},AF490)))&gt;0,SUMPRODUCT(--ISNUMBER(SEARCH({"descuento","oferta","ahorr","precio"," sale ","flash","deals"},AG490)))&gt;0),"Sí","No")</f>
        <v>Sí</v>
      </c>
      <c r="AJ490" s="102" t="str">
        <f>IF(SUMPRODUCT(--ISNUMBER(SEARCH({" hoy ","horas","tiempo limitado","antes de que","se acab","se agot","finalic","última oportunidad","oportunidad única","relámpago","express","no esperes","no volver","no parpadees"},AF490)))&gt;0,"Sí","No")</f>
        <v>Sí</v>
      </c>
      <c r="AK490" s="102" t="str">
        <f>IF(SUMPRODUCT(--ISNUMBER(SEARCH({" hoy ","horas","tiempo limitado","antes de que","se acab","se agot","finalic","última oportunidad","oportunidad única","relámpago","express","no esperes","no volver","no parpadees"},AG490)))&gt;0,"Sí","No")</f>
        <v>Sí</v>
      </c>
      <c r="AL490" s="102" t="str">
        <f t="shared" si="187"/>
        <v>Descuento con tiempo límite en el asunto</v>
      </c>
      <c r="AM490" s="102" t="str">
        <f>IF(SUMPRODUCT(--ISNUMBER(SEARCH({"0","1","2","3","4","5","6","7","8","9","favorit","maquillaje","piel","cabello","productos","belleza","regalo"},E490)))&gt;0,"Sí","No")</f>
        <v>Sí</v>
      </c>
      <c r="AN490" s="102" t="str">
        <f>IF(SUMPRODUCT(--ISNUMBER(SEARCH({"lo que tenemos","estas ofertas","algo especial","ofertas únicas","que preparamos","no te quedes","echa un vistazo"},F490)))&gt;0,"Sí","No")</f>
        <v>No</v>
      </c>
      <c r="AO490" s="102">
        <f t="shared" si="188"/>
        <v>57</v>
      </c>
      <c r="AP490" s="102">
        <f t="shared" si="189"/>
        <v>10</v>
      </c>
      <c r="AQ490" s="102">
        <f>SUMPRODUCT(LEN(E490)-LEN(SUBSTITUTE(E490,{"!","¡","?","¿",":",",",".","%","·","-",";"},"")))</f>
        <v>3</v>
      </c>
      <c r="AR490" s="102" t="str">
        <f t="shared" si="190"/>
        <v>No</v>
      </c>
      <c r="AS490" s="102" t="str">
        <f t="shared" si="191"/>
        <v>No</v>
      </c>
      <c r="AT490" s="102" t="str">
        <f>IF(SUMPRODUCT(--ISNUMBER(FIND({"0","1","2","3","4","5","6","7","8","9"},E490)))&gt;0,"Con cifra concreta",IF(OR(ISNUMBER(FIND("?",E490)),ISNUMBER(FIND("¿",E490))),"Pregunta abierta",IF(SUMPRODUCT(--ISNUMBER(SEARCH({" hoy ","horas","tiempo limitado","antes de que","se acab","se agot","finalic","última oportunidad","oportunidad única","relámpago","express","no esperes","no volver","no parpadees"," ya ","últimas horas","últimas unidades"," ahora "},AF490)))&gt;0,"Solo urgencia, sin cifra",IF(SUMPRODUCT(--ISNUMBER(SEARCH({"recompensa","sorpresa","regalo","lealtad","detalle","gracias","pensamos en ti","para ti"},E490)))&gt;0,"Recompensa o sorpresa","Otro: beneficio o novedad"))))</f>
        <v>Solo urgencia, sin cifra</v>
      </c>
    </row>
    <row r="491" spans="1:46" x14ac:dyDescent="0.2">
      <c r="A491" s="96" t="s">
        <v>1362</v>
      </c>
      <c r="B491" s="96" t="s">
        <v>278</v>
      </c>
      <c r="C491" s="96" t="s">
        <v>917</v>
      </c>
      <c r="D491" s="96" t="s">
        <v>774</v>
      </c>
      <c r="E491" s="96" t="s">
        <v>367</v>
      </c>
      <c r="F491" s="96" t="s">
        <v>458</v>
      </c>
      <c r="G491" s="97">
        <v>479229</v>
      </c>
      <c r="H491" s="97">
        <v>235552</v>
      </c>
      <c r="I491" s="97">
        <v>76722</v>
      </c>
      <c r="J491" s="98">
        <v>3.02</v>
      </c>
      <c r="K491" s="98">
        <v>1.72</v>
      </c>
      <c r="L491" s="99">
        <v>78920.78</v>
      </c>
      <c r="M491" s="100">
        <f t="shared" si="168"/>
        <v>49.152284189813223</v>
      </c>
      <c r="N491" s="100">
        <f t="shared" si="169"/>
        <v>16.009465203483096</v>
      </c>
      <c r="O491" s="100">
        <f t="shared" si="170"/>
        <v>32.571152017388947</v>
      </c>
      <c r="P491" s="100">
        <f t="shared" si="171"/>
        <v>164.68281343574785</v>
      </c>
      <c r="Q491" s="100">
        <f t="shared" si="172"/>
        <v>36.132518317209367</v>
      </c>
      <c r="R491" s="100">
        <f t="shared" si="173"/>
        <v>29.458247936272421</v>
      </c>
      <c r="S491" s="101">
        <f t="shared" si="174"/>
        <v>45916</v>
      </c>
      <c r="T491" s="102" t="str">
        <f t="shared" si="175"/>
        <v>Septiembre</v>
      </c>
      <c r="U491" s="102" t="str">
        <f t="shared" si="176"/>
        <v>Martes</v>
      </c>
      <c r="V491" s="102">
        <f t="shared" si="177"/>
        <v>11</v>
      </c>
      <c r="W491" s="102" t="str">
        <f t="shared" si="178"/>
        <v>Quincena</v>
      </c>
      <c r="X491" s="102">
        <f t="shared" si="179"/>
        <v>27</v>
      </c>
      <c r="Y491" s="102" t="str">
        <f t="shared" si="180"/>
        <v>Sí</v>
      </c>
      <c r="Z491" s="102" t="str">
        <f>CHOOSE(MATCH(B491,{"Customer Appreciation","Exclusive Offers","Flash Sale","Holiday Discounts","New Product Launch","Newsletter"},0),"Fidelizar","Vender","Vender","Vender","Lanzar","Educar")</f>
        <v>Lanzar</v>
      </c>
      <c r="AA491" s="102" t="str">
        <f t="shared" si="181"/>
        <v>Más de 400 mil</v>
      </c>
      <c r="AB491" s="102">
        <f>COUNTIFS($E$5:$E$493,E491,$S$5:$S$493,"&lt;"&amp;S491)+COUNTIFS($E$5:E491,E491,$S$5:S491,S491)</f>
        <v>9</v>
      </c>
      <c r="AC491" s="102">
        <f t="shared" si="182"/>
        <v>25</v>
      </c>
      <c r="AD491" s="102" t="str">
        <f t="shared" si="183"/>
        <v>Medio</v>
      </c>
      <c r="AE491" s="103">
        <f t="shared" si="184"/>
        <v>13.019765872603855</v>
      </c>
      <c r="AF491" s="102" t="str">
        <f t="shared" si="185"/>
        <v xml:space="preserve">  el futuro de tu piel ha llegado  nuevo producto revolucionario </v>
      </c>
      <c r="AG491" s="102" t="str">
        <f t="shared" si="186"/>
        <v xml:space="preserve"> una fórmula revolucionaria para resultados visibles   compruébalo  </v>
      </c>
      <c r="AH491" s="102" t="str">
        <f>IF(SUMPRODUCT(--(LEFT(IF(LEFT(LOWER(E491),1)="¡",MID(LOWER(E491),2,300),LOWER(E491)),LEN({"actualizaci","el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491" s="102" t="str">
        <f>IF(OR(SUMPRODUCT(--ISNUMBER(SEARCH({"descuento","oferta","ahorr","precio"," sale ","flash","deals"},AF491)))&gt;0,SUMPRODUCT(--ISNUMBER(SEARCH({"descuento","oferta","ahorr","precio"," sale ","flash","deals"},AG491)))&gt;0),"Sí","No")</f>
        <v>No</v>
      </c>
      <c r="AJ491" s="102" t="str">
        <f>IF(SUMPRODUCT(--ISNUMBER(SEARCH({" hoy ","horas","tiempo limitado","antes de que","se acab","se agot","finalic","última oportunidad","oportunidad única","relámpago","express","no esperes","no volver","no parpadees"},AF491)))&gt;0,"Sí","No")</f>
        <v>No</v>
      </c>
      <c r="AK491" s="102" t="str">
        <f>IF(SUMPRODUCT(--ISNUMBER(SEARCH({" hoy ","horas","tiempo limitado","antes de que","se acab","se agot","finalic","última oportunidad","oportunidad única","relámpago","express","no esperes","no volver","no parpadees"},AG491)))&gt;0,"Sí","No")</f>
        <v>No</v>
      </c>
      <c r="AL491" s="102" t="str">
        <f t="shared" si="187"/>
        <v>Sin descuento</v>
      </c>
      <c r="AM491" s="102" t="str">
        <f>IF(SUMPRODUCT(--ISNUMBER(SEARCH({"0","1","2","3","4","5","6","7","8","9","favorit","maquillaje","piel","cabello","productos","belleza","regalo"},E491)))&gt;0,"Sí","No")</f>
        <v>Sí</v>
      </c>
      <c r="AN491" s="102" t="str">
        <f>IF(SUMPRODUCT(--ISNUMBER(SEARCH({"lo que tenemos","estas ofertas","algo especial","ofertas únicas","que preparamos","no te quedes","echa un vistazo"},F491)))&gt;0,"Sí","No")</f>
        <v>No</v>
      </c>
      <c r="AO491" s="102">
        <f t="shared" si="188"/>
        <v>63</v>
      </c>
      <c r="AP491" s="102">
        <f t="shared" si="189"/>
        <v>10</v>
      </c>
      <c r="AQ491" s="102">
        <f>SUMPRODUCT(LEN(E491)-LEN(SUBSTITUTE(E491,{"!","¡","?","¿",":",",",".","%","·","-",";"},"")))</f>
        <v>2</v>
      </c>
      <c r="AR491" s="102" t="str">
        <f t="shared" si="190"/>
        <v>No</v>
      </c>
      <c r="AS491" s="102" t="str">
        <f t="shared" si="191"/>
        <v>No</v>
      </c>
      <c r="AT491" s="102" t="str">
        <f>IF(SUMPRODUCT(--ISNUMBER(FIND({"0","1","2","3","4","5","6","7","8","9"},E491)))&gt;0,"Con cifra concreta",IF(OR(ISNUMBER(FIND("?",E491)),ISNUMBER(FIND("¿",E491))),"Pregunta abierta",IF(SUMPRODUCT(--ISNUMBER(SEARCH({" hoy ","horas","tiempo limitado","antes de que","se acab","se agot","finalic","última oportunidad","oportunidad única","relámpago","express","no esperes","no volver","no parpadees"," ya ","últimas horas","últimas unidades"," ahora "},AF491)))&gt;0,"Solo urgencia, sin cifra",IF(SUMPRODUCT(--ISNUMBER(SEARCH({"recompensa","sorpresa","regalo","lealtad","detalle","gracias","pensamos en ti","para ti"},E491)))&gt;0,"Recompensa o sorpresa","Otro: beneficio o novedad"))))</f>
        <v>Otro: beneficio o novedad</v>
      </c>
    </row>
    <row r="492" spans="1:46" x14ac:dyDescent="0.2">
      <c r="A492" s="104" t="s">
        <v>1363</v>
      </c>
      <c r="B492" s="104" t="s">
        <v>274</v>
      </c>
      <c r="C492" s="104" t="s">
        <v>923</v>
      </c>
      <c r="D492" s="104" t="s">
        <v>729</v>
      </c>
      <c r="E492" s="104" t="s">
        <v>372</v>
      </c>
      <c r="F492" s="104" t="s">
        <v>480</v>
      </c>
      <c r="G492" s="105">
        <v>76669</v>
      </c>
      <c r="H492" s="105">
        <v>13633</v>
      </c>
      <c r="I492" s="105">
        <v>9667</v>
      </c>
      <c r="J492" s="106">
        <v>1.45</v>
      </c>
      <c r="K492" s="106">
        <v>0.45</v>
      </c>
      <c r="L492" s="107">
        <v>24870.55</v>
      </c>
      <c r="M492" s="108">
        <f t="shared" si="168"/>
        <v>17.781632732916826</v>
      </c>
      <c r="N492" s="108">
        <f t="shared" si="169"/>
        <v>12.608746690318121</v>
      </c>
      <c r="O492" s="108">
        <f t="shared" si="170"/>
        <v>70.908824176630233</v>
      </c>
      <c r="P492" s="108">
        <f t="shared" si="171"/>
        <v>324.38860556417848</v>
      </c>
      <c r="Q492" s="108">
        <f t="shared" si="172"/>
        <v>20.724631699294946</v>
      </c>
      <c r="R492" s="108">
        <f t="shared" si="173"/>
        <v>31.113650744455075</v>
      </c>
      <c r="S492" s="101">
        <f t="shared" si="174"/>
        <v>45873</v>
      </c>
      <c r="T492" s="102" t="str">
        <f t="shared" si="175"/>
        <v>Agosto</v>
      </c>
      <c r="U492" s="102" t="str">
        <f t="shared" si="176"/>
        <v>Lunes</v>
      </c>
      <c r="V492" s="102">
        <f t="shared" si="177"/>
        <v>10</v>
      </c>
      <c r="W492" s="102" t="str">
        <f t="shared" si="178"/>
        <v>Días después del pago</v>
      </c>
      <c r="X492" s="102">
        <f t="shared" si="179"/>
        <v>24</v>
      </c>
      <c r="Y492" s="102" t="str">
        <f t="shared" si="180"/>
        <v>Sí</v>
      </c>
      <c r="Z492" s="102" t="str">
        <f>CHOOSE(MATCH(B492,{"Customer Appreciation","Exclusive Offers","Flash Sale","Holiday Discounts","New Product Launch","Newsletter"},0),"Fidelizar","Vender","Vender","Vender","Lanzar","Educar")</f>
        <v>Fidelizar</v>
      </c>
      <c r="AA492" s="102" t="str">
        <f t="shared" si="181"/>
        <v>Menos de 100 mil</v>
      </c>
      <c r="AB492" s="102">
        <f>COUNTIFS($E$5:$E$493,E492,$S$5:$S$493,"&lt;"&amp;S492)+COUNTIFS($E$5:E492,E492,$S$5:S492,S492)</f>
        <v>3</v>
      </c>
      <c r="AC492" s="102">
        <f t="shared" si="182"/>
        <v>14</v>
      </c>
      <c r="AD492" s="102" t="str">
        <f t="shared" si="183"/>
        <v>Primer tercio</v>
      </c>
      <c r="AE492" s="103">
        <f t="shared" si="184"/>
        <v>-2.94299896637812</v>
      </c>
      <c r="AF492" s="102" t="str">
        <f t="shared" si="185"/>
        <v xml:space="preserve">  un pequeño detalle para agradecerte tu lealtad  l'oréal </v>
      </c>
      <c r="AG492" s="102" t="str">
        <f t="shared" si="186"/>
        <v xml:space="preserve"> echa un vistazo a lo que tenemos para ti   te va a encantar  </v>
      </c>
      <c r="AH492" s="102" t="str">
        <f>IF(SUMPRODUCT(--(LEFT(IF(LEFT(LOWER(E492),1)="¡",MID(LOWER(E492),2,300),LOWER(E492)),LEN({"actualizaci","el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Sí</v>
      </c>
      <c r="AI492" s="102" t="str">
        <f>IF(OR(SUMPRODUCT(--ISNUMBER(SEARCH({"descuento","oferta","ahorr","precio"," sale ","flash","deals"},AF492)))&gt;0,SUMPRODUCT(--ISNUMBER(SEARCH({"descuento","oferta","ahorr","precio"," sale ","flash","deals"},AG492)))&gt;0),"Sí","No")</f>
        <v>No</v>
      </c>
      <c r="AJ492" s="102" t="str">
        <f>IF(SUMPRODUCT(--ISNUMBER(SEARCH({" hoy ","horas","tiempo limitado","antes de que","se acab","se agot","finalic","última oportunidad","oportunidad única","relámpago","express","no esperes","no volver","no parpadees"},AF492)))&gt;0,"Sí","No")</f>
        <v>No</v>
      </c>
      <c r="AK492" s="102" t="str">
        <f>IF(SUMPRODUCT(--ISNUMBER(SEARCH({" hoy ","horas","tiempo limitado","antes de que","se acab","se agot","finalic","última oportunidad","oportunidad única","relámpago","express","no esperes","no volver","no parpadees"},AG492)))&gt;0,"Sí","No")</f>
        <v>No</v>
      </c>
      <c r="AL492" s="102" t="str">
        <f t="shared" si="187"/>
        <v>Sin descuento</v>
      </c>
      <c r="AM492" s="102" t="str">
        <f>IF(SUMPRODUCT(--ISNUMBER(SEARCH({"0","1","2","3","4","5","6","7","8","9","favorit","maquillaje","piel","cabello","productos","belleza","regalo"},E492)))&gt;0,"Sí","No")</f>
        <v>No</v>
      </c>
      <c r="AN492" s="102" t="str">
        <f>IF(SUMPRODUCT(--ISNUMBER(SEARCH({"lo que tenemos","estas ofertas","algo especial","ofertas únicas","que preparamos","no te quedes","echa un vistazo"},F492)))&gt;0,"Sí","No")</f>
        <v>Sí</v>
      </c>
      <c r="AO492" s="102">
        <f t="shared" si="188"/>
        <v>56</v>
      </c>
      <c r="AP492" s="102">
        <f t="shared" si="189"/>
        <v>8</v>
      </c>
      <c r="AQ492" s="102">
        <f>SUMPRODUCT(LEN(E492)-LEN(SUBSTITUTE(E492,{"!","¡","?","¿",":",",",".","%","·","-",";"},"")))</f>
        <v>2</v>
      </c>
      <c r="AR492" s="102" t="str">
        <f t="shared" si="190"/>
        <v>Sí</v>
      </c>
      <c r="AS492" s="102" t="str">
        <f t="shared" si="191"/>
        <v>No</v>
      </c>
      <c r="AT492" s="102" t="str">
        <f>IF(SUMPRODUCT(--ISNUMBER(FIND({"0","1","2","3","4","5","6","7","8","9"},E492)))&gt;0,"Con cifra concreta",IF(OR(ISNUMBER(FIND("?",E492)),ISNUMBER(FIND("¿",E492))),"Pregunta abierta",IF(SUMPRODUCT(--ISNUMBER(SEARCH({" hoy ","horas","tiempo limitado","antes de que","se acab","se agot","finalic","última oportunidad","oportunidad única","relámpago","express","no esperes","no volver","no parpadees"," ya ","últimas horas","últimas unidades"," ahora "},AF492)))&gt;0,"Solo urgencia, sin cifra",IF(SUMPRODUCT(--ISNUMBER(SEARCH({"recompensa","sorpresa","regalo","lealtad","detalle","gracias","pensamos en ti","para ti"},E492)))&gt;0,"Recompensa o sorpresa","Otro: beneficio o novedad"))))</f>
        <v>Recompensa o sorpresa</v>
      </c>
    </row>
    <row r="493" spans="1:46" x14ac:dyDescent="0.2">
      <c r="A493" s="96" t="s">
        <v>1364</v>
      </c>
      <c r="B493" s="96" t="s">
        <v>279</v>
      </c>
      <c r="C493" s="96" t="s">
        <v>830</v>
      </c>
      <c r="D493" s="96" t="s">
        <v>950</v>
      </c>
      <c r="E493" s="96" t="s">
        <v>463</v>
      </c>
      <c r="F493" s="96" t="s">
        <v>464</v>
      </c>
      <c r="G493" s="97">
        <v>146973</v>
      </c>
      <c r="H493" s="97">
        <v>69888</v>
      </c>
      <c r="I493" s="97">
        <v>20257</v>
      </c>
      <c r="J493" s="98">
        <v>2.59</v>
      </c>
      <c r="K493" s="98">
        <v>3.52</v>
      </c>
      <c r="L493" s="99">
        <v>57132.21</v>
      </c>
      <c r="M493" s="100">
        <f t="shared" si="168"/>
        <v>47.55159110857096</v>
      </c>
      <c r="N493" s="100">
        <f t="shared" si="169"/>
        <v>13.782803644206759</v>
      </c>
      <c r="O493" s="100">
        <f t="shared" si="170"/>
        <v>28.984947344322343</v>
      </c>
      <c r="P493" s="100">
        <f t="shared" si="171"/>
        <v>388.72588842848688</v>
      </c>
      <c r="Q493" s="100">
        <f t="shared" si="172"/>
        <v>33.412775116147934</v>
      </c>
      <c r="R493" s="100">
        <f t="shared" si="173"/>
        <v>27.75136451093497</v>
      </c>
      <c r="S493" s="101">
        <f t="shared" si="174"/>
        <v>45901</v>
      </c>
      <c r="T493" s="102" t="str">
        <f t="shared" si="175"/>
        <v>Septiembre</v>
      </c>
      <c r="U493" s="102" t="str">
        <f t="shared" si="176"/>
        <v>Lunes</v>
      </c>
      <c r="V493" s="102">
        <f t="shared" si="177"/>
        <v>14</v>
      </c>
      <c r="W493" s="102" t="str">
        <f t="shared" si="178"/>
        <v>Quincena</v>
      </c>
      <c r="X493" s="102">
        <f t="shared" si="179"/>
        <v>29</v>
      </c>
      <c r="Y493" s="102" t="str">
        <f t="shared" si="180"/>
        <v>Sí</v>
      </c>
      <c r="Z493" s="102" t="str">
        <f>CHOOSE(MATCH(B493,{"Customer Appreciation","Exclusive Offers","Flash Sale","Holiday Discounts","New Product Launch","Newsletter"},0),"Fidelizar","Vender","Vender","Vender","Lanzar","Educar")</f>
        <v>Educar</v>
      </c>
      <c r="AA493" s="102" t="str">
        <f t="shared" si="181"/>
        <v>100 a 200 mil</v>
      </c>
      <c r="AB493" s="102">
        <f>COUNTIFS($E$5:$E$493,E493,$S$5:$S$493,"&lt;"&amp;S493)+COUNTIFS($E$5:E493,E493,$S$5:S493,S493)</f>
        <v>10</v>
      </c>
      <c r="AC493" s="102">
        <f t="shared" si="182"/>
        <v>25</v>
      </c>
      <c r="AD493" s="102" t="str">
        <f t="shared" si="183"/>
        <v>Medio</v>
      </c>
      <c r="AE493" s="103">
        <f t="shared" si="184"/>
        <v>14.138815992423027</v>
      </c>
      <c r="AF493" s="102" t="str">
        <f t="shared" si="185"/>
        <v xml:space="preserve"> tu dosis de belleza   no te lo pierdas  tips y trucos </v>
      </c>
      <c r="AG493" s="102" t="str">
        <f t="shared" si="186"/>
        <v xml:space="preserve"> consejos expertos  tendencias y más en tu bandeja de entrada   descúbrelo  </v>
      </c>
      <c r="AH493" s="102" t="str">
        <f>IF(SUMPRODUCT(--(LEFT(IF(LEFT(LOWER(E493),1)="¡",MID(LOWER(E493),2,300),LOWER(E493)),LEN({"actualizaci","el resumen","tu resumen","novedades l","oportunidad","tu oportunidad","ofertas de temporada","gran oferta","últimas horas","última oportunidad","presentamos","es hora de","descuentos imperdibles","descuentos que","un pequeño detalle"}))={"actualizaci","el resumen","tu resumen","novedades l","oportunidad","tu oportunidad","ofertas de temporada","gran oferta","últimas horas","última oportunidad","presentamos","es hora de","descuentos imperdibles","descuentos que","un pequeño detalle"}))&gt;0,"Sí","No")</f>
        <v>No</v>
      </c>
      <c r="AI493" s="102" t="str">
        <f>IF(OR(SUMPRODUCT(--ISNUMBER(SEARCH({"descuento","oferta","ahorr","precio"," sale ","flash","deals"},AF493)))&gt;0,SUMPRODUCT(--ISNUMBER(SEARCH({"descuento","oferta","ahorr","precio"," sale ","flash","deals"},AG493)))&gt;0),"Sí","No")</f>
        <v>No</v>
      </c>
      <c r="AJ493" s="102" t="str">
        <f>IF(SUMPRODUCT(--ISNUMBER(SEARCH({" hoy ","horas","tiempo limitado","antes de que","se acab","se agot","finalic","última oportunidad","oportunidad única","relámpago","express","no esperes","no volver","no parpadees"},AF493)))&gt;0,"Sí","No")</f>
        <v>No</v>
      </c>
      <c r="AK493" s="102" t="str">
        <f>IF(SUMPRODUCT(--ISNUMBER(SEARCH({" hoy ","horas","tiempo limitado","antes de que","se acab","se agot","finalic","última oportunidad","oportunidad única","relámpago","express","no esperes","no volver","no parpadees"},AG493)))&gt;0,"Sí","No")</f>
        <v>No</v>
      </c>
      <c r="AL493" s="102" t="str">
        <f t="shared" si="187"/>
        <v>Sin descuento</v>
      </c>
      <c r="AM493" s="102" t="str">
        <f>IF(SUMPRODUCT(--ISNUMBER(SEARCH({"0","1","2","3","4","5","6","7","8","9","favorit","maquillaje","piel","cabello","productos","belleza","regalo"},E493)))&gt;0,"Sí","No")</f>
        <v>Sí</v>
      </c>
      <c r="AN493" s="102" t="str">
        <f>IF(SUMPRODUCT(--ISNUMBER(SEARCH({"lo que tenemos","estas ofertas","algo especial","ofertas únicas","que preparamos","no te quedes","echa un vistazo"},F493)))&gt;0,"Sí","No")</f>
        <v>No</v>
      </c>
      <c r="AO493" s="102">
        <f t="shared" si="188"/>
        <v>53</v>
      </c>
      <c r="AP493" s="102">
        <f t="shared" si="189"/>
        <v>11</v>
      </c>
      <c r="AQ493" s="102">
        <f>SUMPRODUCT(LEN(E493)-LEN(SUBSTITUTE(E493,{"!","¡","?","¿",":",",",".","%","·","-",";"},"")))</f>
        <v>3</v>
      </c>
      <c r="AR493" s="102" t="str">
        <f t="shared" si="190"/>
        <v>No</v>
      </c>
      <c r="AS493" s="102" t="str">
        <f t="shared" si="191"/>
        <v>No</v>
      </c>
      <c r="AT493" s="102" t="str">
        <f>IF(SUMPRODUCT(--ISNUMBER(FIND({"0","1","2","3","4","5","6","7","8","9"},E493)))&gt;0,"Con cifra concreta",IF(OR(ISNUMBER(FIND("?",E493)),ISNUMBER(FIND("¿",E493))),"Pregunta abierta",IF(SUMPRODUCT(--ISNUMBER(SEARCH({" hoy ","horas","tiempo limitado","antes de que","se acab","se agot","finalic","última oportunidad","oportunidad única","relámpago","express","no esperes","no volver","no parpadees"," ya ","últimas horas","últimas unidades"," ahora "},AF493)))&gt;0,"Solo urgencia, sin cifra",IF(SUMPRODUCT(--ISNUMBER(SEARCH({"recompensa","sorpresa","regalo","lealtad","detalle","gracias","pensamos en ti","para ti"},E493)))&gt;0,"Recompensa o sorpresa","Otro: beneficio o novedad"))))</f>
        <v>Otro: beneficio o novedad</v>
      </c>
    </row>
  </sheetData>
  <autoFilter ref="A4:AT493" xr:uid="{00000000-0009-0000-0000-00000E000000}"/>
  <mergeCells count="2">
    <mergeCell ref="A1:P1"/>
    <mergeCell ref="A2:P2"/>
  </mergeCells>
  <printOptions horizontalCentered="1"/>
  <pageMargins left="0.75" right="0.75" top="1" bottom="1" header="0.511811023622047" footer="0.511811023622047"/>
  <pageSetup fitToHeight="0" orientation="landscape"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J91"/>
  <sheetViews>
    <sheetView showGridLines="0" zoomScaleNormal="100" workbookViewId="0">
      <pane ySplit="4" topLeftCell="A70" activePane="bottomLeft" state="frozen"/>
      <selection activeCell="A2" sqref="A2:F2"/>
      <selection pane="bottomLeft" activeCell="A2" sqref="A2:F2"/>
    </sheetView>
  </sheetViews>
  <sheetFormatPr baseColWidth="10" defaultColWidth="8.6640625" defaultRowHeight="15" x14ac:dyDescent="0.2"/>
  <cols>
    <col min="1" max="1" width="30" customWidth="1"/>
    <col min="2" max="2" width="14" customWidth="1"/>
    <col min="3" max="3" width="41" customWidth="1"/>
    <col min="4" max="4" width="24" customWidth="1"/>
    <col min="5" max="5" width="17" customWidth="1"/>
    <col min="6" max="7" width="18" customWidth="1"/>
    <col min="8" max="8" width="15" customWidth="1"/>
    <col min="9" max="9" width="25" customWidth="1"/>
  </cols>
  <sheetData>
    <row r="1" spans="1:10" ht="33.75" customHeight="1" x14ac:dyDescent="0.2">
      <c r="A1" s="14" t="s">
        <v>1365</v>
      </c>
      <c r="B1" s="14"/>
      <c r="C1" s="14"/>
      <c r="D1" s="14"/>
      <c r="E1" s="14"/>
      <c r="F1" s="14"/>
      <c r="G1" s="14"/>
      <c r="H1" s="14"/>
      <c r="I1" s="14"/>
      <c r="J1" s="14"/>
    </row>
    <row r="2" spans="1:10" ht="25.5" customHeight="1" x14ac:dyDescent="0.2">
      <c r="A2" s="13" t="s">
        <v>1366</v>
      </c>
      <c r="B2" s="13"/>
      <c r="C2" s="13"/>
      <c r="D2" s="13"/>
      <c r="E2" s="13"/>
      <c r="F2" s="13"/>
      <c r="G2" s="13"/>
      <c r="H2" s="13"/>
      <c r="I2" s="13"/>
      <c r="J2" s="13"/>
    </row>
    <row r="4" spans="1:10" ht="30" customHeight="1" x14ac:dyDescent="0.2">
      <c r="A4" s="21" t="s">
        <v>1367</v>
      </c>
      <c r="B4" s="21" t="s">
        <v>648</v>
      </c>
      <c r="C4" s="21" t="s">
        <v>1368</v>
      </c>
      <c r="D4" s="21" t="s">
        <v>649</v>
      </c>
      <c r="E4" s="21" t="s">
        <v>650</v>
      </c>
      <c r="F4" s="21" t="s">
        <v>654</v>
      </c>
      <c r="G4" s="21" t="s">
        <v>655</v>
      </c>
      <c r="H4" s="21" t="s">
        <v>656</v>
      </c>
      <c r="I4" s="21" t="s">
        <v>659</v>
      </c>
    </row>
    <row r="5" spans="1:10" x14ac:dyDescent="0.2">
      <c r="A5" s="23">
        <v>577</v>
      </c>
      <c r="B5" s="23" t="s">
        <v>1369</v>
      </c>
      <c r="C5" s="22" t="s">
        <v>51</v>
      </c>
      <c r="D5" s="23" t="s">
        <v>279</v>
      </c>
      <c r="E5" s="23" t="s">
        <v>976</v>
      </c>
      <c r="F5" s="46"/>
      <c r="G5" s="46"/>
      <c r="H5" s="46"/>
      <c r="I5" s="109"/>
    </row>
    <row r="6" spans="1:10" x14ac:dyDescent="0.2">
      <c r="A6" s="25">
        <v>492</v>
      </c>
      <c r="B6" s="25" t="s">
        <v>1370</v>
      </c>
      <c r="C6" s="24" t="s">
        <v>51</v>
      </c>
      <c r="D6" s="25" t="s">
        <v>277</v>
      </c>
      <c r="E6" s="25" t="s">
        <v>869</v>
      </c>
      <c r="F6" s="49"/>
      <c r="G6" s="49"/>
      <c r="H6" s="49">
        <v>7142</v>
      </c>
      <c r="I6" s="110">
        <v>3606.16</v>
      </c>
    </row>
    <row r="7" spans="1:10" x14ac:dyDescent="0.2">
      <c r="A7" s="23">
        <v>159</v>
      </c>
      <c r="B7" s="23" t="s">
        <v>1371</v>
      </c>
      <c r="C7" s="22" t="s">
        <v>51</v>
      </c>
      <c r="D7" s="23" t="s">
        <v>275</v>
      </c>
      <c r="E7" s="23" t="s">
        <v>773</v>
      </c>
      <c r="F7" s="46"/>
      <c r="G7" s="46"/>
      <c r="H7" s="46">
        <v>29853</v>
      </c>
      <c r="I7" s="109">
        <v>92485.69</v>
      </c>
    </row>
    <row r="8" spans="1:10" x14ac:dyDescent="0.2">
      <c r="A8" s="25">
        <v>328</v>
      </c>
      <c r="B8" s="25" t="s">
        <v>1372</v>
      </c>
      <c r="C8" s="24" t="s">
        <v>47</v>
      </c>
      <c r="D8" s="25" t="s">
        <v>275</v>
      </c>
      <c r="E8" s="25" t="s">
        <v>1373</v>
      </c>
      <c r="F8" s="49">
        <v>282483</v>
      </c>
      <c r="G8" s="49">
        <v>119409</v>
      </c>
      <c r="H8" s="49">
        <v>48464</v>
      </c>
      <c r="I8" s="110">
        <v>54045.440000000002</v>
      </c>
    </row>
    <row r="9" spans="1:10" x14ac:dyDescent="0.2">
      <c r="A9" s="23">
        <v>314</v>
      </c>
      <c r="B9" s="23" t="s">
        <v>1374</v>
      </c>
      <c r="C9" s="22" t="s">
        <v>47</v>
      </c>
      <c r="D9" s="23" t="s">
        <v>275</v>
      </c>
      <c r="E9" s="23" t="s">
        <v>1375</v>
      </c>
      <c r="F9" s="46">
        <v>453971</v>
      </c>
      <c r="G9" s="46">
        <v>98057</v>
      </c>
      <c r="H9" s="46">
        <v>69389</v>
      </c>
      <c r="I9" s="109">
        <v>66298.960000000006</v>
      </c>
    </row>
    <row r="10" spans="1:10" x14ac:dyDescent="0.2">
      <c r="A10" s="25">
        <v>308</v>
      </c>
      <c r="B10" s="25" t="s">
        <v>1376</v>
      </c>
      <c r="C10" s="24" t="s">
        <v>47</v>
      </c>
      <c r="D10" s="25" t="s">
        <v>274</v>
      </c>
      <c r="E10" s="25" t="s">
        <v>1377</v>
      </c>
      <c r="F10" s="49">
        <v>298945</v>
      </c>
      <c r="G10" s="49">
        <v>45625</v>
      </c>
      <c r="H10" s="49">
        <v>38711</v>
      </c>
      <c r="I10" s="110">
        <v>44584.68</v>
      </c>
    </row>
    <row r="11" spans="1:10" x14ac:dyDescent="0.2">
      <c r="A11" s="23">
        <v>161</v>
      </c>
      <c r="B11" s="23" t="s">
        <v>1378</v>
      </c>
      <c r="C11" s="22" t="s">
        <v>47</v>
      </c>
      <c r="D11" s="23" t="s">
        <v>276</v>
      </c>
      <c r="E11" s="23" t="s">
        <v>1379</v>
      </c>
      <c r="F11" s="46">
        <v>212228</v>
      </c>
      <c r="G11" s="46">
        <v>101211</v>
      </c>
      <c r="H11" s="46">
        <v>25630</v>
      </c>
      <c r="I11" s="109">
        <v>52436.59</v>
      </c>
    </row>
    <row r="12" spans="1:10" x14ac:dyDescent="0.2">
      <c r="A12" s="25">
        <v>135</v>
      </c>
      <c r="B12" s="25" t="s">
        <v>1380</v>
      </c>
      <c r="C12" s="24" t="s">
        <v>47</v>
      </c>
      <c r="D12" s="25" t="s">
        <v>274</v>
      </c>
      <c r="E12" s="25" t="s">
        <v>1381</v>
      </c>
      <c r="F12" s="49">
        <v>473622</v>
      </c>
      <c r="G12" s="49">
        <v>155532</v>
      </c>
      <c r="H12" s="49">
        <v>10557</v>
      </c>
      <c r="I12" s="110">
        <v>31500.07</v>
      </c>
    </row>
    <row r="13" spans="1:10" x14ac:dyDescent="0.2">
      <c r="A13" s="23">
        <v>111</v>
      </c>
      <c r="B13" s="23" t="s">
        <v>1382</v>
      </c>
      <c r="C13" s="22" t="s">
        <v>47</v>
      </c>
      <c r="D13" s="23" t="s">
        <v>275</v>
      </c>
      <c r="E13" s="23" t="s">
        <v>1383</v>
      </c>
      <c r="F13" s="46">
        <v>378857</v>
      </c>
      <c r="G13" s="46">
        <v>63648</v>
      </c>
      <c r="H13" s="46">
        <v>68972</v>
      </c>
      <c r="I13" s="109">
        <v>30583.7</v>
      </c>
    </row>
    <row r="14" spans="1:10" x14ac:dyDescent="0.2">
      <c r="A14" s="25">
        <v>103</v>
      </c>
      <c r="B14" s="25" t="s">
        <v>1384</v>
      </c>
      <c r="C14" s="24" t="s">
        <v>47</v>
      </c>
      <c r="D14" s="25" t="s">
        <v>275</v>
      </c>
      <c r="E14" s="25" t="s">
        <v>1385</v>
      </c>
      <c r="F14" s="49">
        <v>145862</v>
      </c>
      <c r="G14" s="49">
        <v>33333</v>
      </c>
      <c r="H14" s="49">
        <v>14046</v>
      </c>
      <c r="I14" s="110">
        <v>94732.05</v>
      </c>
    </row>
    <row r="15" spans="1:10" x14ac:dyDescent="0.2">
      <c r="A15" s="23">
        <v>253</v>
      </c>
      <c r="B15" s="23" t="s">
        <v>1386</v>
      </c>
      <c r="C15" s="22" t="s">
        <v>49</v>
      </c>
      <c r="D15" s="23" t="s">
        <v>274</v>
      </c>
      <c r="E15" s="23" t="s">
        <v>928</v>
      </c>
      <c r="F15" s="46">
        <v>82</v>
      </c>
      <c r="G15" s="46">
        <v>327</v>
      </c>
      <c r="H15" s="46">
        <v>3000</v>
      </c>
      <c r="I15" s="109">
        <v>87657.57</v>
      </c>
    </row>
    <row r="16" spans="1:10" x14ac:dyDescent="0.2">
      <c r="A16" s="25">
        <v>252</v>
      </c>
      <c r="B16" s="25" t="s">
        <v>1387</v>
      </c>
      <c r="C16" s="24" t="s">
        <v>49</v>
      </c>
      <c r="D16" s="25" t="s">
        <v>276</v>
      </c>
      <c r="E16" s="25" t="s">
        <v>869</v>
      </c>
      <c r="F16" s="49">
        <v>169383</v>
      </c>
      <c r="G16" s="49">
        <v>459650</v>
      </c>
      <c r="H16" s="49">
        <v>89437</v>
      </c>
      <c r="I16" s="110">
        <v>9272.39</v>
      </c>
    </row>
    <row r="17" spans="1:9" x14ac:dyDescent="0.2">
      <c r="A17" s="23">
        <v>7</v>
      </c>
      <c r="B17" s="23" t="s">
        <v>1388</v>
      </c>
      <c r="C17" s="22" t="s">
        <v>49</v>
      </c>
      <c r="D17" s="23" t="s">
        <v>274</v>
      </c>
      <c r="E17" s="23" t="s">
        <v>955</v>
      </c>
      <c r="F17" s="46">
        <v>16090</v>
      </c>
      <c r="G17" s="46">
        <v>31453</v>
      </c>
      <c r="H17" s="46">
        <v>40149</v>
      </c>
      <c r="I17" s="109">
        <v>98169.73</v>
      </c>
    </row>
    <row r="18" spans="1:9" x14ac:dyDescent="0.2">
      <c r="A18" s="25">
        <v>31</v>
      </c>
      <c r="B18" s="25" t="s">
        <v>1389</v>
      </c>
      <c r="C18" s="24" t="s">
        <v>49</v>
      </c>
      <c r="D18" s="25" t="s">
        <v>277</v>
      </c>
      <c r="E18" s="25" t="s">
        <v>1390</v>
      </c>
      <c r="F18" s="49">
        <v>267040</v>
      </c>
      <c r="G18" s="49">
        <v>649234</v>
      </c>
      <c r="H18" s="49">
        <v>30349</v>
      </c>
      <c r="I18" s="110">
        <v>29192.05</v>
      </c>
    </row>
    <row r="19" spans="1:9" x14ac:dyDescent="0.2">
      <c r="A19" s="23">
        <v>52</v>
      </c>
      <c r="B19" s="23" t="s">
        <v>1391</v>
      </c>
      <c r="C19" s="22" t="s">
        <v>49</v>
      </c>
      <c r="D19" s="23" t="s">
        <v>276</v>
      </c>
      <c r="E19" s="23" t="s">
        <v>1392</v>
      </c>
      <c r="F19" s="46">
        <v>193751</v>
      </c>
      <c r="G19" s="46">
        <v>509892</v>
      </c>
      <c r="H19" s="46">
        <v>34241</v>
      </c>
      <c r="I19" s="109">
        <v>13154.76</v>
      </c>
    </row>
    <row r="20" spans="1:9" x14ac:dyDescent="0.2">
      <c r="A20" s="25">
        <v>444</v>
      </c>
      <c r="B20" s="25" t="s">
        <v>1393</v>
      </c>
      <c r="C20" s="24" t="s">
        <v>45</v>
      </c>
      <c r="D20" s="25" t="s">
        <v>279</v>
      </c>
      <c r="E20" s="25" t="s">
        <v>773</v>
      </c>
      <c r="F20" s="49">
        <v>206729</v>
      </c>
      <c r="G20" s="49">
        <v>26257</v>
      </c>
      <c r="H20" s="49">
        <v>37497</v>
      </c>
      <c r="I20" s="110">
        <v>44009.56</v>
      </c>
    </row>
    <row r="21" spans="1:9" x14ac:dyDescent="0.2">
      <c r="A21" s="23">
        <v>430</v>
      </c>
      <c r="B21" s="23" t="s">
        <v>1394</v>
      </c>
      <c r="C21" s="22" t="s">
        <v>45</v>
      </c>
      <c r="D21" s="23" t="s">
        <v>277</v>
      </c>
      <c r="E21" s="23" t="s">
        <v>980</v>
      </c>
      <c r="F21" s="46">
        <v>245827</v>
      </c>
      <c r="G21" s="46">
        <v>18090</v>
      </c>
      <c r="H21" s="46">
        <v>46337</v>
      </c>
      <c r="I21" s="109">
        <v>72602.17</v>
      </c>
    </row>
    <row r="22" spans="1:9" x14ac:dyDescent="0.2">
      <c r="A22" s="25">
        <v>426</v>
      </c>
      <c r="B22" s="25" t="s">
        <v>1395</v>
      </c>
      <c r="C22" s="24" t="s">
        <v>45</v>
      </c>
      <c r="D22" s="25" t="s">
        <v>275</v>
      </c>
      <c r="E22" s="25" t="s">
        <v>830</v>
      </c>
      <c r="F22" s="49">
        <v>55134</v>
      </c>
      <c r="G22" s="49">
        <v>4631</v>
      </c>
      <c r="H22" s="49">
        <v>9648</v>
      </c>
      <c r="I22" s="110">
        <v>37938.639999999999</v>
      </c>
    </row>
    <row r="23" spans="1:9" x14ac:dyDescent="0.2">
      <c r="A23" s="23">
        <v>417</v>
      </c>
      <c r="B23" s="23" t="s">
        <v>1396</v>
      </c>
      <c r="C23" s="22" t="s">
        <v>45</v>
      </c>
      <c r="D23" s="23" t="s">
        <v>274</v>
      </c>
      <c r="E23" s="23" t="s">
        <v>869</v>
      </c>
      <c r="F23" s="46">
        <v>288309</v>
      </c>
      <c r="G23" s="46">
        <v>49168</v>
      </c>
      <c r="H23" s="46">
        <v>49520</v>
      </c>
      <c r="I23" s="109">
        <v>14652.22</v>
      </c>
    </row>
    <row r="24" spans="1:9" x14ac:dyDescent="0.2">
      <c r="A24" s="25">
        <v>408</v>
      </c>
      <c r="B24" s="25" t="s">
        <v>1397</v>
      </c>
      <c r="C24" s="24" t="s">
        <v>45</v>
      </c>
      <c r="D24" s="25" t="s">
        <v>274</v>
      </c>
      <c r="E24" s="25" t="s">
        <v>917</v>
      </c>
      <c r="F24" s="49">
        <v>472245</v>
      </c>
      <c r="G24" s="49">
        <v>23700</v>
      </c>
      <c r="H24" s="49">
        <v>82736</v>
      </c>
      <c r="I24" s="110">
        <v>14034.89</v>
      </c>
    </row>
    <row r="25" spans="1:9" x14ac:dyDescent="0.2">
      <c r="A25" s="23">
        <v>403</v>
      </c>
      <c r="B25" s="23" t="s">
        <v>1398</v>
      </c>
      <c r="C25" s="22" t="s">
        <v>45</v>
      </c>
      <c r="D25" s="23" t="s">
        <v>278</v>
      </c>
      <c r="E25" s="23" t="s">
        <v>928</v>
      </c>
      <c r="F25" s="46">
        <v>375669</v>
      </c>
      <c r="G25" s="46">
        <v>36086</v>
      </c>
      <c r="H25" s="46">
        <v>46583</v>
      </c>
      <c r="I25" s="109">
        <v>39465.29</v>
      </c>
    </row>
    <row r="26" spans="1:9" x14ac:dyDescent="0.2">
      <c r="A26" s="25">
        <v>105</v>
      </c>
      <c r="B26" s="25" t="s">
        <v>1399</v>
      </c>
      <c r="C26" s="24" t="s">
        <v>45</v>
      </c>
      <c r="D26" s="25" t="s">
        <v>277</v>
      </c>
      <c r="E26" s="25" t="s">
        <v>807</v>
      </c>
      <c r="F26" s="49">
        <v>424907</v>
      </c>
      <c r="G26" s="49">
        <v>29402</v>
      </c>
      <c r="H26" s="49">
        <v>39420</v>
      </c>
      <c r="I26" s="110">
        <v>51040.98</v>
      </c>
    </row>
    <row r="27" spans="1:9" x14ac:dyDescent="0.2">
      <c r="A27" s="23">
        <v>383</v>
      </c>
      <c r="B27" s="23" t="s">
        <v>1400</v>
      </c>
      <c r="C27" s="22" t="s">
        <v>45</v>
      </c>
      <c r="D27" s="23" t="s">
        <v>278</v>
      </c>
      <c r="E27" s="23" t="s">
        <v>742</v>
      </c>
      <c r="F27" s="46">
        <v>100019</v>
      </c>
      <c r="G27" s="46">
        <v>8401</v>
      </c>
      <c r="H27" s="46">
        <v>11270</v>
      </c>
      <c r="I27" s="109">
        <v>6849.08</v>
      </c>
    </row>
    <row r="28" spans="1:9" x14ac:dyDescent="0.2">
      <c r="A28" s="25">
        <v>371</v>
      </c>
      <c r="B28" s="25" t="s">
        <v>1401</v>
      </c>
      <c r="C28" s="24" t="s">
        <v>45</v>
      </c>
      <c r="D28" s="25" t="s">
        <v>277</v>
      </c>
      <c r="E28" s="25" t="s">
        <v>815</v>
      </c>
      <c r="F28" s="49">
        <v>398229</v>
      </c>
      <c r="G28" s="49">
        <v>62372</v>
      </c>
      <c r="H28" s="49">
        <v>75924</v>
      </c>
      <c r="I28" s="110">
        <v>6805.33</v>
      </c>
    </row>
    <row r="29" spans="1:9" x14ac:dyDescent="0.2">
      <c r="A29" s="23">
        <v>368</v>
      </c>
      <c r="B29" s="23" t="s">
        <v>1402</v>
      </c>
      <c r="C29" s="22" t="s">
        <v>45</v>
      </c>
      <c r="D29" s="23" t="s">
        <v>274</v>
      </c>
      <c r="E29" s="23" t="s">
        <v>742</v>
      </c>
      <c r="F29" s="46">
        <v>87500</v>
      </c>
      <c r="G29" s="46">
        <v>7455</v>
      </c>
      <c r="H29" s="46">
        <v>15575</v>
      </c>
      <c r="I29" s="109">
        <v>49796.06</v>
      </c>
    </row>
    <row r="30" spans="1:9" x14ac:dyDescent="0.2">
      <c r="A30" s="25">
        <v>364</v>
      </c>
      <c r="B30" s="25" t="s">
        <v>1403</v>
      </c>
      <c r="C30" s="24" t="s">
        <v>45</v>
      </c>
      <c r="D30" s="25" t="s">
        <v>277</v>
      </c>
      <c r="E30" s="25" t="s">
        <v>923</v>
      </c>
      <c r="F30" s="49">
        <v>62280</v>
      </c>
      <c r="G30" s="49">
        <v>9239</v>
      </c>
      <c r="H30" s="49">
        <v>10665</v>
      </c>
      <c r="I30" s="110">
        <v>24684.92</v>
      </c>
    </row>
    <row r="31" spans="1:9" x14ac:dyDescent="0.2">
      <c r="A31" s="23">
        <v>357</v>
      </c>
      <c r="B31" s="23" t="s">
        <v>1404</v>
      </c>
      <c r="C31" s="22" t="s">
        <v>45</v>
      </c>
      <c r="D31" s="23" t="s">
        <v>274</v>
      </c>
      <c r="E31" s="23" t="s">
        <v>869</v>
      </c>
      <c r="F31" s="46">
        <v>147920</v>
      </c>
      <c r="G31" s="46">
        <v>17616</v>
      </c>
      <c r="H31" s="46">
        <v>26487</v>
      </c>
      <c r="I31" s="109">
        <v>8874.1</v>
      </c>
    </row>
    <row r="32" spans="1:9" x14ac:dyDescent="0.2">
      <c r="A32" s="25">
        <v>350</v>
      </c>
      <c r="B32" s="25" t="s">
        <v>1405</v>
      </c>
      <c r="C32" s="24" t="s">
        <v>45</v>
      </c>
      <c r="D32" s="25" t="s">
        <v>275</v>
      </c>
      <c r="E32" s="25" t="s">
        <v>793</v>
      </c>
      <c r="F32" s="49">
        <v>323868</v>
      </c>
      <c r="G32" s="49">
        <v>17812</v>
      </c>
      <c r="H32" s="49">
        <v>37213</v>
      </c>
      <c r="I32" s="110">
        <v>68021.539999999994</v>
      </c>
    </row>
    <row r="33" spans="1:9" x14ac:dyDescent="0.2">
      <c r="A33" s="23">
        <v>345</v>
      </c>
      <c r="B33" s="23" t="s">
        <v>1406</v>
      </c>
      <c r="C33" s="22" t="s">
        <v>45</v>
      </c>
      <c r="D33" s="23" t="s">
        <v>277</v>
      </c>
      <c r="E33" s="23" t="s">
        <v>889</v>
      </c>
      <c r="F33" s="46">
        <v>157711</v>
      </c>
      <c r="G33" s="46">
        <v>18323</v>
      </c>
      <c r="H33" s="46">
        <v>157711</v>
      </c>
      <c r="I33" s="109">
        <v>5747.01</v>
      </c>
    </row>
    <row r="34" spans="1:9" x14ac:dyDescent="0.2">
      <c r="A34" s="25">
        <v>453</v>
      </c>
      <c r="B34" s="25" t="s">
        <v>1407</v>
      </c>
      <c r="C34" s="24" t="s">
        <v>45</v>
      </c>
      <c r="D34" s="25" t="s">
        <v>278</v>
      </c>
      <c r="E34" s="25" t="s">
        <v>917</v>
      </c>
      <c r="F34" s="49">
        <v>63684</v>
      </c>
      <c r="G34" s="49">
        <v>8794</v>
      </c>
      <c r="H34" s="49">
        <v>11806</v>
      </c>
      <c r="I34" s="110">
        <v>92608.93</v>
      </c>
    </row>
    <row r="35" spans="1:9" x14ac:dyDescent="0.2">
      <c r="A35" s="23">
        <v>392</v>
      </c>
      <c r="B35" s="23" t="s">
        <v>1408</v>
      </c>
      <c r="C35" s="22" t="s">
        <v>45</v>
      </c>
      <c r="D35" s="23" t="s">
        <v>276</v>
      </c>
      <c r="E35" s="23" t="s">
        <v>915</v>
      </c>
      <c r="F35" s="46">
        <v>346234</v>
      </c>
      <c r="G35" s="46">
        <v>52431</v>
      </c>
      <c r="H35" s="46">
        <v>58327</v>
      </c>
      <c r="I35" s="109">
        <v>52745.37</v>
      </c>
    </row>
    <row r="36" spans="1:9" x14ac:dyDescent="0.2">
      <c r="A36" s="25">
        <v>455</v>
      </c>
      <c r="B36" s="25" t="s">
        <v>1409</v>
      </c>
      <c r="C36" s="24" t="s">
        <v>45</v>
      </c>
      <c r="D36" s="25" t="s">
        <v>276</v>
      </c>
      <c r="E36" s="25" t="s">
        <v>793</v>
      </c>
      <c r="F36" s="49">
        <v>450063</v>
      </c>
      <c r="G36" s="49">
        <v>47392</v>
      </c>
      <c r="H36" s="49">
        <v>55630</v>
      </c>
      <c r="I36" s="110">
        <v>96620.15</v>
      </c>
    </row>
    <row r="37" spans="1:9" x14ac:dyDescent="0.2">
      <c r="A37" s="23">
        <v>459</v>
      </c>
      <c r="B37" s="23" t="s">
        <v>1410</v>
      </c>
      <c r="C37" s="22" t="s">
        <v>45</v>
      </c>
      <c r="D37" s="23" t="s">
        <v>279</v>
      </c>
      <c r="E37" s="23" t="s">
        <v>773</v>
      </c>
      <c r="F37" s="46">
        <v>431823</v>
      </c>
      <c r="G37" s="46">
        <v>24820</v>
      </c>
      <c r="H37" s="46">
        <v>36357</v>
      </c>
      <c r="I37" s="109">
        <v>74256.55</v>
      </c>
    </row>
    <row r="38" spans="1:9" x14ac:dyDescent="0.2">
      <c r="A38" s="25">
        <v>571</v>
      </c>
      <c r="B38" s="25" t="s">
        <v>1411</v>
      </c>
      <c r="C38" s="24" t="s">
        <v>45</v>
      </c>
      <c r="D38" s="25" t="s">
        <v>274</v>
      </c>
      <c r="E38" s="25" t="s">
        <v>891</v>
      </c>
      <c r="F38" s="49">
        <v>234014</v>
      </c>
      <c r="G38" s="49">
        <v>12393</v>
      </c>
      <c r="H38" s="49">
        <v>38202</v>
      </c>
      <c r="I38" s="110">
        <v>83269.350000000006</v>
      </c>
    </row>
    <row r="39" spans="1:9" x14ac:dyDescent="0.2">
      <c r="A39" s="23">
        <v>569</v>
      </c>
      <c r="B39" s="23" t="s">
        <v>1412</v>
      </c>
      <c r="C39" s="22" t="s">
        <v>45</v>
      </c>
      <c r="D39" s="23" t="s">
        <v>278</v>
      </c>
      <c r="E39" s="23" t="s">
        <v>944</v>
      </c>
      <c r="F39" s="46">
        <v>438825</v>
      </c>
      <c r="G39" s="46">
        <v>23438</v>
      </c>
      <c r="H39" s="46">
        <v>78330</v>
      </c>
      <c r="I39" s="109">
        <v>36070.22</v>
      </c>
    </row>
    <row r="40" spans="1:9" x14ac:dyDescent="0.2">
      <c r="A40" s="25">
        <v>561</v>
      </c>
      <c r="B40" s="25" t="s">
        <v>1413</v>
      </c>
      <c r="C40" s="24" t="s">
        <v>45</v>
      </c>
      <c r="D40" s="25" t="s">
        <v>275</v>
      </c>
      <c r="E40" s="25" t="s">
        <v>830</v>
      </c>
      <c r="F40" s="49">
        <v>389177</v>
      </c>
      <c r="G40" s="49">
        <v>26391</v>
      </c>
      <c r="H40" s="49">
        <v>72347</v>
      </c>
      <c r="I40" s="110">
        <v>75645.81</v>
      </c>
    </row>
    <row r="41" spans="1:9" x14ac:dyDescent="0.2">
      <c r="A41" s="23">
        <v>553</v>
      </c>
      <c r="B41" s="23" t="s">
        <v>1414</v>
      </c>
      <c r="C41" s="22" t="s">
        <v>45</v>
      </c>
      <c r="D41" s="23" t="s">
        <v>275</v>
      </c>
      <c r="E41" s="23" t="s">
        <v>928</v>
      </c>
      <c r="F41" s="46">
        <v>491225</v>
      </c>
      <c r="G41" s="46">
        <v>55169</v>
      </c>
      <c r="H41" s="46">
        <v>85406</v>
      </c>
      <c r="I41" s="109">
        <v>67829.16</v>
      </c>
    </row>
    <row r="42" spans="1:9" x14ac:dyDescent="0.2">
      <c r="A42" s="25">
        <v>544</v>
      </c>
      <c r="B42" s="25" t="s">
        <v>1415</v>
      </c>
      <c r="C42" s="24" t="s">
        <v>45</v>
      </c>
      <c r="D42" s="25" t="s">
        <v>275</v>
      </c>
      <c r="E42" s="25" t="s">
        <v>923</v>
      </c>
      <c r="F42" s="49">
        <v>422155</v>
      </c>
      <c r="G42" s="49">
        <v>55050</v>
      </c>
      <c r="H42" s="49">
        <v>69408</v>
      </c>
      <c r="I42" s="110">
        <v>86026.67</v>
      </c>
    </row>
    <row r="43" spans="1:9" x14ac:dyDescent="0.2">
      <c r="A43" s="23">
        <v>532</v>
      </c>
      <c r="B43" s="23" t="s">
        <v>1416</v>
      </c>
      <c r="C43" s="22" t="s">
        <v>45</v>
      </c>
      <c r="D43" s="23" t="s">
        <v>276</v>
      </c>
      <c r="E43" s="23" t="s">
        <v>976</v>
      </c>
      <c r="F43" s="46">
        <v>163966</v>
      </c>
      <c r="G43" s="46">
        <v>11836</v>
      </c>
      <c r="H43" s="46">
        <v>19904</v>
      </c>
      <c r="I43" s="109">
        <v>47412.37</v>
      </c>
    </row>
    <row r="44" spans="1:9" x14ac:dyDescent="0.2">
      <c r="A44" s="25">
        <v>524</v>
      </c>
      <c r="B44" s="25" t="s">
        <v>1417</v>
      </c>
      <c r="C44" s="24" t="s">
        <v>45</v>
      </c>
      <c r="D44" s="25" t="s">
        <v>278</v>
      </c>
      <c r="E44" s="25" t="s">
        <v>944</v>
      </c>
      <c r="F44" s="49">
        <v>401687</v>
      </c>
      <c r="G44" s="49">
        <v>64137</v>
      </c>
      <c r="H44" s="49">
        <v>72584</v>
      </c>
      <c r="I44" s="110">
        <v>76226.460000000006</v>
      </c>
    </row>
    <row r="45" spans="1:9" x14ac:dyDescent="0.2">
      <c r="A45" s="23">
        <v>513</v>
      </c>
      <c r="B45" s="23" t="s">
        <v>1418</v>
      </c>
      <c r="C45" s="22" t="s">
        <v>45</v>
      </c>
      <c r="D45" s="23" t="s">
        <v>278</v>
      </c>
      <c r="E45" s="23" t="s">
        <v>917</v>
      </c>
      <c r="F45" s="46">
        <v>103813</v>
      </c>
      <c r="G45" s="46">
        <v>14083</v>
      </c>
      <c r="H45" s="46">
        <v>14619</v>
      </c>
      <c r="I45" s="109">
        <v>92237.55</v>
      </c>
    </row>
    <row r="46" spans="1:9" x14ac:dyDescent="0.2">
      <c r="A46" s="25">
        <v>509</v>
      </c>
      <c r="B46" s="25" t="s">
        <v>1419</v>
      </c>
      <c r="C46" s="24" t="s">
        <v>45</v>
      </c>
      <c r="D46" s="25" t="s">
        <v>277</v>
      </c>
      <c r="E46" s="25" t="s">
        <v>944</v>
      </c>
      <c r="F46" s="49">
        <v>311133</v>
      </c>
      <c r="G46" s="49">
        <v>16616</v>
      </c>
      <c r="H46" s="49">
        <v>37248</v>
      </c>
      <c r="I46" s="110">
        <v>43127.19</v>
      </c>
    </row>
    <row r="47" spans="1:9" x14ac:dyDescent="0.2">
      <c r="A47" s="23">
        <v>498</v>
      </c>
      <c r="B47" s="23" t="s">
        <v>1420</v>
      </c>
      <c r="C47" s="22" t="s">
        <v>45</v>
      </c>
      <c r="D47" s="23" t="s">
        <v>279</v>
      </c>
      <c r="E47" s="23" t="s">
        <v>917</v>
      </c>
      <c r="F47" s="46">
        <v>198717</v>
      </c>
      <c r="G47" s="46">
        <v>27192</v>
      </c>
      <c r="H47" s="46">
        <v>36785</v>
      </c>
      <c r="I47" s="109">
        <v>2614.41</v>
      </c>
    </row>
    <row r="48" spans="1:9" x14ac:dyDescent="0.2">
      <c r="A48" s="25">
        <v>27</v>
      </c>
      <c r="B48" s="25" t="s">
        <v>1421</v>
      </c>
      <c r="C48" s="24" t="s">
        <v>45</v>
      </c>
      <c r="D48" s="25" t="s">
        <v>279</v>
      </c>
      <c r="E48" s="25" t="s">
        <v>1422</v>
      </c>
      <c r="F48" s="49">
        <v>421909</v>
      </c>
      <c r="G48" s="49">
        <v>31388</v>
      </c>
      <c r="H48" s="49">
        <v>35579</v>
      </c>
      <c r="I48" s="110">
        <v>14970.21</v>
      </c>
    </row>
    <row r="49" spans="1:9" x14ac:dyDescent="0.2">
      <c r="A49" s="23">
        <v>488</v>
      </c>
      <c r="B49" s="23" t="s">
        <v>1423</v>
      </c>
      <c r="C49" s="22" t="s">
        <v>45</v>
      </c>
      <c r="D49" s="23" t="s">
        <v>275</v>
      </c>
      <c r="E49" s="23" t="s">
        <v>742</v>
      </c>
      <c r="F49" s="46">
        <v>255769</v>
      </c>
      <c r="G49" s="46">
        <v>22869</v>
      </c>
      <c r="H49" s="46">
        <v>25294</v>
      </c>
      <c r="I49" s="109">
        <v>32295.57</v>
      </c>
    </row>
    <row r="50" spans="1:9" x14ac:dyDescent="0.2">
      <c r="A50" s="25">
        <v>484</v>
      </c>
      <c r="B50" s="25" t="s">
        <v>1424</v>
      </c>
      <c r="C50" s="24" t="s">
        <v>45</v>
      </c>
      <c r="D50" s="25" t="s">
        <v>278</v>
      </c>
      <c r="E50" s="25" t="s">
        <v>923</v>
      </c>
      <c r="F50" s="49">
        <v>117657</v>
      </c>
      <c r="G50" s="49">
        <v>9307</v>
      </c>
      <c r="H50" s="49">
        <v>23307</v>
      </c>
      <c r="I50" s="110">
        <v>17732.71</v>
      </c>
    </row>
    <row r="51" spans="1:9" x14ac:dyDescent="0.2">
      <c r="A51" s="23">
        <v>469</v>
      </c>
      <c r="B51" s="23" t="s">
        <v>1425</v>
      </c>
      <c r="C51" s="22" t="s">
        <v>45</v>
      </c>
      <c r="D51" s="23" t="s">
        <v>276</v>
      </c>
      <c r="E51" s="23" t="s">
        <v>923</v>
      </c>
      <c r="F51" s="46">
        <v>497051</v>
      </c>
      <c r="G51" s="46">
        <v>33059</v>
      </c>
      <c r="H51" s="46">
        <v>87399</v>
      </c>
      <c r="I51" s="109">
        <v>85449.95</v>
      </c>
    </row>
    <row r="52" spans="1:9" x14ac:dyDescent="0.2">
      <c r="A52" s="25">
        <v>464</v>
      </c>
      <c r="B52" s="25" t="s">
        <v>1426</v>
      </c>
      <c r="C52" s="24" t="s">
        <v>45</v>
      </c>
      <c r="D52" s="25" t="s">
        <v>278</v>
      </c>
      <c r="E52" s="25" t="s">
        <v>944</v>
      </c>
      <c r="F52" s="49">
        <v>415466</v>
      </c>
      <c r="G52" s="49">
        <v>51566</v>
      </c>
      <c r="H52" s="49">
        <v>54728</v>
      </c>
      <c r="I52" s="110">
        <v>61904.29</v>
      </c>
    </row>
    <row r="53" spans="1:9" x14ac:dyDescent="0.2">
      <c r="A53" s="23">
        <v>457</v>
      </c>
      <c r="B53" s="23" t="s">
        <v>1427</v>
      </c>
      <c r="C53" s="22" t="s">
        <v>45</v>
      </c>
      <c r="D53" s="23" t="s">
        <v>276</v>
      </c>
      <c r="E53" s="23" t="s">
        <v>976</v>
      </c>
      <c r="F53" s="46">
        <v>376871</v>
      </c>
      <c r="G53" s="46">
        <v>21975</v>
      </c>
      <c r="H53" s="46">
        <v>55598</v>
      </c>
      <c r="I53" s="109">
        <v>14585.21</v>
      </c>
    </row>
    <row r="54" spans="1:9" x14ac:dyDescent="0.2">
      <c r="A54" s="25">
        <v>341</v>
      </c>
      <c r="B54" s="25" t="s">
        <v>1428</v>
      </c>
      <c r="C54" s="24" t="s">
        <v>45</v>
      </c>
      <c r="D54" s="25" t="s">
        <v>277</v>
      </c>
      <c r="E54" s="25" t="s">
        <v>815</v>
      </c>
      <c r="F54" s="49">
        <v>318544</v>
      </c>
      <c r="G54" s="49">
        <v>17730</v>
      </c>
      <c r="H54" s="49">
        <v>60505</v>
      </c>
      <c r="I54" s="110">
        <v>59413.71</v>
      </c>
    </row>
    <row r="55" spans="1:9" x14ac:dyDescent="0.2">
      <c r="A55" s="23">
        <v>319</v>
      </c>
      <c r="B55" s="23" t="s">
        <v>1429</v>
      </c>
      <c r="C55" s="22" t="s">
        <v>45</v>
      </c>
      <c r="D55" s="23" t="s">
        <v>275</v>
      </c>
      <c r="E55" s="23" t="s">
        <v>923</v>
      </c>
      <c r="F55" s="46">
        <v>221203</v>
      </c>
      <c r="G55" s="46">
        <v>28681</v>
      </c>
      <c r="H55" s="46">
        <v>33550</v>
      </c>
      <c r="I55" s="109">
        <v>39249.120000000003</v>
      </c>
    </row>
    <row r="56" spans="1:9" x14ac:dyDescent="0.2">
      <c r="A56" s="25">
        <v>101</v>
      </c>
      <c r="B56" s="25" t="s">
        <v>1430</v>
      </c>
      <c r="C56" s="24" t="s">
        <v>45</v>
      </c>
      <c r="D56" s="25" t="s">
        <v>275</v>
      </c>
      <c r="E56" s="25" t="s">
        <v>706</v>
      </c>
      <c r="F56" s="49">
        <v>105030</v>
      </c>
      <c r="G56" s="49">
        <v>18055</v>
      </c>
      <c r="H56" s="49">
        <v>20912</v>
      </c>
      <c r="I56" s="110">
        <v>27922.82</v>
      </c>
    </row>
    <row r="57" spans="1:9" x14ac:dyDescent="0.2">
      <c r="A57" s="23">
        <v>194</v>
      </c>
      <c r="B57" s="23" t="s">
        <v>1431</v>
      </c>
      <c r="C57" s="22" t="s">
        <v>45</v>
      </c>
      <c r="D57" s="23" t="s">
        <v>278</v>
      </c>
      <c r="E57" s="23" t="s">
        <v>944</v>
      </c>
      <c r="F57" s="46">
        <v>487996</v>
      </c>
      <c r="G57" s="46">
        <v>87034</v>
      </c>
      <c r="H57" s="46">
        <v>97551</v>
      </c>
      <c r="I57" s="109">
        <v>8061.92</v>
      </c>
    </row>
    <row r="58" spans="1:9" x14ac:dyDescent="0.2">
      <c r="A58" s="25">
        <v>172</v>
      </c>
      <c r="B58" s="25" t="s">
        <v>1432</v>
      </c>
      <c r="C58" s="24" t="s">
        <v>45</v>
      </c>
      <c r="D58" s="25" t="s">
        <v>274</v>
      </c>
      <c r="E58" s="25" t="s">
        <v>976</v>
      </c>
      <c r="F58" s="49">
        <v>194002</v>
      </c>
      <c r="G58" s="49">
        <v>9818</v>
      </c>
      <c r="H58" s="49">
        <v>36531</v>
      </c>
      <c r="I58" s="110">
        <v>76756.039999999994</v>
      </c>
    </row>
    <row r="59" spans="1:9" x14ac:dyDescent="0.2">
      <c r="A59" s="23">
        <v>56</v>
      </c>
      <c r="B59" s="23" t="s">
        <v>1433</v>
      </c>
      <c r="C59" s="22" t="s">
        <v>45</v>
      </c>
      <c r="D59" s="23" t="s">
        <v>274</v>
      </c>
      <c r="E59" s="23" t="s">
        <v>1434</v>
      </c>
      <c r="F59" s="46">
        <v>100558</v>
      </c>
      <c r="G59" s="46">
        <v>6225</v>
      </c>
      <c r="H59" s="46">
        <v>9251</v>
      </c>
      <c r="I59" s="109">
        <v>62510.65</v>
      </c>
    </row>
    <row r="60" spans="1:9" x14ac:dyDescent="0.2">
      <c r="A60" s="25">
        <v>78</v>
      </c>
      <c r="B60" s="25" t="s">
        <v>1435</v>
      </c>
      <c r="C60" s="24" t="s">
        <v>45</v>
      </c>
      <c r="D60" s="25" t="s">
        <v>277</v>
      </c>
      <c r="E60" s="25" t="s">
        <v>1436</v>
      </c>
      <c r="F60" s="49">
        <v>282088</v>
      </c>
      <c r="G60" s="49">
        <v>23836</v>
      </c>
      <c r="H60" s="49">
        <v>37207</v>
      </c>
      <c r="I60" s="110">
        <v>37054.97</v>
      </c>
    </row>
    <row r="61" spans="1:9" x14ac:dyDescent="0.2">
      <c r="A61" s="23">
        <v>136</v>
      </c>
      <c r="B61" s="23" t="s">
        <v>1437</v>
      </c>
      <c r="C61" s="22" t="s">
        <v>45</v>
      </c>
      <c r="D61" s="23" t="s">
        <v>276</v>
      </c>
      <c r="E61" s="23" t="s">
        <v>891</v>
      </c>
      <c r="F61" s="46">
        <v>227185</v>
      </c>
      <c r="G61" s="46">
        <v>32873</v>
      </c>
      <c r="H61" s="46">
        <v>36070</v>
      </c>
      <c r="I61" s="109">
        <v>19947.75</v>
      </c>
    </row>
    <row r="62" spans="1:9" x14ac:dyDescent="0.2">
      <c r="A62" s="25">
        <v>88</v>
      </c>
      <c r="B62" s="25" t="s">
        <v>1438</v>
      </c>
      <c r="C62" s="24" t="s">
        <v>45</v>
      </c>
      <c r="D62" s="25" t="s">
        <v>276</v>
      </c>
      <c r="E62" s="25" t="s">
        <v>955</v>
      </c>
      <c r="F62" s="49">
        <v>400138</v>
      </c>
      <c r="G62" s="49">
        <v>22408</v>
      </c>
      <c r="H62" s="49">
        <v>77947</v>
      </c>
      <c r="I62" s="110">
        <v>83360.44</v>
      </c>
    </row>
    <row r="63" spans="1:9" x14ac:dyDescent="0.2">
      <c r="A63" s="23">
        <v>201</v>
      </c>
      <c r="B63" s="23" t="s">
        <v>1439</v>
      </c>
      <c r="C63" s="22" t="s">
        <v>45</v>
      </c>
      <c r="D63" s="23" t="s">
        <v>277</v>
      </c>
      <c r="E63" s="23" t="s">
        <v>830</v>
      </c>
      <c r="F63" s="46">
        <v>161895</v>
      </c>
      <c r="G63" s="46">
        <v>23171</v>
      </c>
      <c r="H63" s="46">
        <v>24771</v>
      </c>
      <c r="I63" s="109">
        <v>45888.06</v>
      </c>
    </row>
    <row r="64" spans="1:9" x14ac:dyDescent="0.2">
      <c r="A64" s="25">
        <v>133</v>
      </c>
      <c r="B64" s="25" t="s">
        <v>1440</v>
      </c>
      <c r="C64" s="24" t="s">
        <v>45</v>
      </c>
      <c r="D64" s="25" t="s">
        <v>274</v>
      </c>
      <c r="E64" s="25" t="s">
        <v>928</v>
      </c>
      <c r="F64" s="49">
        <v>418356</v>
      </c>
      <c r="G64" s="49">
        <v>52899</v>
      </c>
      <c r="H64" s="49">
        <v>78566</v>
      </c>
      <c r="I64" s="110">
        <v>5716.76</v>
      </c>
    </row>
    <row r="65" spans="1:9" x14ac:dyDescent="0.2">
      <c r="A65" s="23">
        <v>121</v>
      </c>
      <c r="B65" s="23" t="s">
        <v>1441</v>
      </c>
      <c r="C65" s="22" t="s">
        <v>45</v>
      </c>
      <c r="D65" s="23" t="s">
        <v>277</v>
      </c>
      <c r="E65" s="23" t="s">
        <v>913</v>
      </c>
      <c r="F65" s="46">
        <v>283700</v>
      </c>
      <c r="G65" s="46">
        <v>21229</v>
      </c>
      <c r="H65" s="46">
        <v>25732</v>
      </c>
      <c r="I65" s="109">
        <v>67923.95</v>
      </c>
    </row>
    <row r="66" spans="1:9" x14ac:dyDescent="0.2">
      <c r="A66" s="25">
        <v>119</v>
      </c>
      <c r="B66" s="25" t="s">
        <v>1442</v>
      </c>
      <c r="C66" s="24" t="s">
        <v>45</v>
      </c>
      <c r="D66" s="25" t="s">
        <v>276</v>
      </c>
      <c r="E66" s="25" t="s">
        <v>836</v>
      </c>
      <c r="F66" s="49">
        <v>47297</v>
      </c>
      <c r="G66" s="49">
        <v>2587</v>
      </c>
      <c r="H66" s="49">
        <v>3131</v>
      </c>
      <c r="I66" s="110">
        <v>49559.58</v>
      </c>
    </row>
    <row r="67" spans="1:9" x14ac:dyDescent="0.2">
      <c r="A67" s="23">
        <v>118</v>
      </c>
      <c r="B67" s="23" t="s">
        <v>1443</v>
      </c>
      <c r="C67" s="22" t="s">
        <v>45</v>
      </c>
      <c r="D67" s="23" t="s">
        <v>276</v>
      </c>
      <c r="E67" s="23" t="s">
        <v>799</v>
      </c>
      <c r="F67" s="46">
        <v>341097</v>
      </c>
      <c r="G67" s="46">
        <v>28540</v>
      </c>
      <c r="H67" s="46">
        <v>67046</v>
      </c>
      <c r="I67" s="109">
        <v>69465.820000000007</v>
      </c>
    </row>
    <row r="68" spans="1:9" x14ac:dyDescent="0.2">
      <c r="A68" s="25">
        <v>117</v>
      </c>
      <c r="B68" s="25" t="s">
        <v>1444</v>
      </c>
      <c r="C68" s="24" t="s">
        <v>45</v>
      </c>
      <c r="D68" s="25" t="s">
        <v>276</v>
      </c>
      <c r="E68" s="25" t="s">
        <v>1445</v>
      </c>
      <c r="F68" s="49">
        <v>341310</v>
      </c>
      <c r="G68" s="49">
        <v>51065</v>
      </c>
      <c r="H68" s="49">
        <v>59654</v>
      </c>
      <c r="I68" s="110">
        <v>63528.81</v>
      </c>
    </row>
    <row r="69" spans="1:9" x14ac:dyDescent="0.2">
      <c r="A69" s="23">
        <v>93</v>
      </c>
      <c r="B69" s="23" t="s">
        <v>1446</v>
      </c>
      <c r="C69" s="22" t="s">
        <v>45</v>
      </c>
      <c r="D69" s="23" t="s">
        <v>275</v>
      </c>
      <c r="E69" s="23" t="s">
        <v>690</v>
      </c>
      <c r="F69" s="46">
        <v>99754</v>
      </c>
      <c r="G69" s="46">
        <v>4988</v>
      </c>
      <c r="H69" s="46">
        <v>10565</v>
      </c>
      <c r="I69" s="109">
        <v>94816.57</v>
      </c>
    </row>
    <row r="70" spans="1:9" x14ac:dyDescent="0.2">
      <c r="A70" s="25">
        <v>110</v>
      </c>
      <c r="B70" s="25" t="s">
        <v>1447</v>
      </c>
      <c r="C70" s="24" t="s">
        <v>45</v>
      </c>
      <c r="D70" s="25" t="s">
        <v>275</v>
      </c>
      <c r="E70" s="25" t="s">
        <v>893</v>
      </c>
      <c r="F70" s="49">
        <v>204658</v>
      </c>
      <c r="G70" s="49">
        <v>30229</v>
      </c>
      <c r="H70" s="49">
        <v>39112</v>
      </c>
      <c r="I70" s="110">
        <v>8474.24</v>
      </c>
    </row>
    <row r="71" spans="1:9" x14ac:dyDescent="0.2">
      <c r="A71" s="23">
        <v>132</v>
      </c>
      <c r="B71" s="23" t="s">
        <v>1448</v>
      </c>
      <c r="C71" s="22" t="s">
        <v>45</v>
      </c>
      <c r="D71" s="23" t="s">
        <v>275</v>
      </c>
      <c r="E71" s="23" t="s">
        <v>869</v>
      </c>
      <c r="F71" s="46">
        <v>180956</v>
      </c>
      <c r="G71" s="46">
        <v>30138</v>
      </c>
      <c r="H71" s="46">
        <v>30781</v>
      </c>
      <c r="I71" s="109">
        <v>35555.51</v>
      </c>
    </row>
    <row r="72" spans="1:9" x14ac:dyDescent="0.2">
      <c r="A72" s="25">
        <v>205</v>
      </c>
      <c r="B72" s="25" t="s">
        <v>1449</v>
      </c>
      <c r="C72" s="24" t="s">
        <v>45</v>
      </c>
      <c r="D72" s="25" t="s">
        <v>276</v>
      </c>
      <c r="E72" s="25" t="s">
        <v>980</v>
      </c>
      <c r="F72" s="49">
        <v>447046</v>
      </c>
      <c r="G72" s="49">
        <v>43981</v>
      </c>
      <c r="H72" s="49">
        <v>78918</v>
      </c>
      <c r="I72" s="110">
        <v>63934.33</v>
      </c>
    </row>
    <row r="73" spans="1:9" x14ac:dyDescent="0.2">
      <c r="A73" s="23">
        <v>206</v>
      </c>
      <c r="B73" s="23" t="s">
        <v>1450</v>
      </c>
      <c r="C73" s="22" t="s">
        <v>45</v>
      </c>
      <c r="D73" s="23" t="s">
        <v>274</v>
      </c>
      <c r="E73" s="23" t="s">
        <v>815</v>
      </c>
      <c r="F73" s="46">
        <v>457005</v>
      </c>
      <c r="G73" s="46">
        <v>44473</v>
      </c>
      <c r="H73" s="46">
        <v>77553</v>
      </c>
      <c r="I73" s="109">
        <v>56761.17</v>
      </c>
    </row>
    <row r="74" spans="1:9" x14ac:dyDescent="0.2">
      <c r="A74" s="25">
        <v>209</v>
      </c>
      <c r="B74" s="25" t="s">
        <v>1451</v>
      </c>
      <c r="C74" s="24" t="s">
        <v>45</v>
      </c>
      <c r="D74" s="25" t="s">
        <v>277</v>
      </c>
      <c r="E74" s="25" t="s">
        <v>944</v>
      </c>
      <c r="F74" s="49">
        <v>476387</v>
      </c>
      <c r="G74" s="49">
        <v>48206</v>
      </c>
      <c r="H74" s="49">
        <v>65013</v>
      </c>
      <c r="I74" s="110">
        <v>29551.38</v>
      </c>
    </row>
    <row r="75" spans="1:9" x14ac:dyDescent="0.2">
      <c r="A75" s="23">
        <v>313</v>
      </c>
      <c r="B75" s="23" t="s">
        <v>1452</v>
      </c>
      <c r="C75" s="22" t="s">
        <v>45</v>
      </c>
      <c r="D75" s="23" t="s">
        <v>279</v>
      </c>
      <c r="E75" s="23" t="s">
        <v>928</v>
      </c>
      <c r="F75" s="46">
        <v>372604</v>
      </c>
      <c r="G75" s="46">
        <v>60408</v>
      </c>
      <c r="H75" s="46">
        <v>70281</v>
      </c>
      <c r="I75" s="109">
        <v>95050.47</v>
      </c>
    </row>
    <row r="76" spans="1:9" x14ac:dyDescent="0.2">
      <c r="A76" s="25">
        <v>46</v>
      </c>
      <c r="B76" s="25" t="s">
        <v>1453</v>
      </c>
      <c r="C76" s="24" t="s">
        <v>45</v>
      </c>
      <c r="D76" s="25" t="s">
        <v>279</v>
      </c>
      <c r="E76" s="25" t="s">
        <v>980</v>
      </c>
      <c r="F76" s="49">
        <v>74697</v>
      </c>
      <c r="G76" s="49">
        <v>7722</v>
      </c>
      <c r="H76" s="49">
        <v>13529</v>
      </c>
      <c r="I76" s="110">
        <v>26051.77</v>
      </c>
    </row>
    <row r="77" spans="1:9" x14ac:dyDescent="0.2">
      <c r="A77" s="23">
        <v>296</v>
      </c>
      <c r="B77" s="23" t="s">
        <v>1454</v>
      </c>
      <c r="C77" s="22" t="s">
        <v>45</v>
      </c>
      <c r="D77" s="23" t="s">
        <v>274</v>
      </c>
      <c r="E77" s="23" t="s">
        <v>815</v>
      </c>
      <c r="F77" s="46">
        <v>484727</v>
      </c>
      <c r="G77" s="46">
        <v>44949</v>
      </c>
      <c r="H77" s="46">
        <v>56184</v>
      </c>
      <c r="I77" s="109">
        <v>65122.559999999998</v>
      </c>
    </row>
    <row r="78" spans="1:9" x14ac:dyDescent="0.2">
      <c r="A78" s="25">
        <v>277</v>
      </c>
      <c r="B78" s="25" t="s">
        <v>1455</v>
      </c>
      <c r="C78" s="24" t="s">
        <v>45</v>
      </c>
      <c r="D78" s="25" t="s">
        <v>277</v>
      </c>
      <c r="E78" s="25" t="s">
        <v>976</v>
      </c>
      <c r="F78" s="49">
        <v>30091</v>
      </c>
      <c r="G78" s="49">
        <v>2260</v>
      </c>
      <c r="H78" s="49">
        <v>3304</v>
      </c>
      <c r="I78" s="110">
        <v>47566.02</v>
      </c>
    </row>
    <row r="79" spans="1:9" x14ac:dyDescent="0.2">
      <c r="A79" s="23">
        <v>575</v>
      </c>
      <c r="B79" s="23" t="s">
        <v>1456</v>
      </c>
      <c r="C79" s="22" t="s">
        <v>45</v>
      </c>
      <c r="D79" s="23" t="s">
        <v>279</v>
      </c>
      <c r="E79" s="23" t="s">
        <v>793</v>
      </c>
      <c r="F79" s="46">
        <v>133628</v>
      </c>
      <c r="G79" s="46">
        <v>14844</v>
      </c>
      <c r="H79" s="46">
        <v>20638</v>
      </c>
      <c r="I79" s="109">
        <v>96100.31</v>
      </c>
    </row>
    <row r="80" spans="1:9" x14ac:dyDescent="0.2">
      <c r="A80" s="25">
        <v>268</v>
      </c>
      <c r="B80" s="25" t="s">
        <v>1457</v>
      </c>
      <c r="C80" s="24" t="s">
        <v>45</v>
      </c>
      <c r="D80" s="25" t="s">
        <v>277</v>
      </c>
      <c r="E80" s="25" t="s">
        <v>928</v>
      </c>
      <c r="F80" s="49">
        <v>116034</v>
      </c>
      <c r="G80" s="49">
        <v>8417</v>
      </c>
      <c r="H80" s="49">
        <v>20120</v>
      </c>
      <c r="I80" s="110">
        <v>75379.62</v>
      </c>
    </row>
    <row r="81" spans="1:9" x14ac:dyDescent="0.2">
      <c r="A81" s="23">
        <v>263</v>
      </c>
      <c r="B81" s="23" t="s">
        <v>1458</v>
      </c>
      <c r="C81" s="22" t="s">
        <v>45</v>
      </c>
      <c r="D81" s="23" t="s">
        <v>277</v>
      </c>
      <c r="E81" s="23" t="s">
        <v>742</v>
      </c>
      <c r="F81" s="46">
        <v>212008</v>
      </c>
      <c r="G81" s="46">
        <v>23447</v>
      </c>
      <c r="H81" s="46">
        <v>40822</v>
      </c>
      <c r="I81" s="109">
        <v>30688.37</v>
      </c>
    </row>
    <row r="82" spans="1:9" x14ac:dyDescent="0.2">
      <c r="A82" s="25">
        <v>257</v>
      </c>
      <c r="B82" s="25" t="s">
        <v>1459</v>
      </c>
      <c r="C82" s="24" t="s">
        <v>45</v>
      </c>
      <c r="D82" s="25" t="s">
        <v>279</v>
      </c>
      <c r="E82" s="25" t="s">
        <v>915</v>
      </c>
      <c r="F82" s="49">
        <v>365992</v>
      </c>
      <c r="G82" s="49">
        <v>56728</v>
      </c>
      <c r="H82" s="49">
        <v>59582</v>
      </c>
      <c r="I82" s="110">
        <v>68938.27</v>
      </c>
    </row>
    <row r="83" spans="1:9" x14ac:dyDescent="0.2">
      <c r="A83" s="23">
        <v>254</v>
      </c>
      <c r="B83" s="23" t="s">
        <v>1460</v>
      </c>
      <c r="C83" s="22" t="s">
        <v>45</v>
      </c>
      <c r="D83" s="23" t="s">
        <v>277</v>
      </c>
      <c r="E83" s="23" t="s">
        <v>944</v>
      </c>
      <c r="F83" s="46">
        <v>318316</v>
      </c>
      <c r="G83" s="46">
        <v>17855</v>
      </c>
      <c r="H83" s="46">
        <v>36666</v>
      </c>
      <c r="I83" s="109">
        <v>81256.77</v>
      </c>
    </row>
    <row r="84" spans="1:9" x14ac:dyDescent="0.2">
      <c r="A84" s="25">
        <v>47</v>
      </c>
      <c r="B84" s="25" t="s">
        <v>1461</v>
      </c>
      <c r="C84" s="24" t="s">
        <v>45</v>
      </c>
      <c r="D84" s="25" t="s">
        <v>276</v>
      </c>
      <c r="E84" s="25" t="s">
        <v>1462</v>
      </c>
      <c r="F84" s="49">
        <v>173672</v>
      </c>
      <c r="G84" s="49">
        <v>12660</v>
      </c>
      <c r="H84" s="49">
        <v>24031</v>
      </c>
      <c r="I84" s="110">
        <v>47372.62</v>
      </c>
    </row>
    <row r="85" spans="1:9" x14ac:dyDescent="0.2">
      <c r="A85" s="23">
        <v>247</v>
      </c>
      <c r="B85" s="23" t="s">
        <v>1463</v>
      </c>
      <c r="C85" s="22" t="s">
        <v>45</v>
      </c>
      <c r="D85" s="23" t="s">
        <v>276</v>
      </c>
      <c r="E85" s="23" t="s">
        <v>976</v>
      </c>
      <c r="F85" s="46">
        <v>35590</v>
      </c>
      <c r="G85" s="46">
        <v>3509</v>
      </c>
      <c r="H85" s="46">
        <v>5050</v>
      </c>
      <c r="I85" s="109">
        <v>26796.04</v>
      </c>
    </row>
    <row r="86" spans="1:9" x14ac:dyDescent="0.2">
      <c r="A86" s="25">
        <v>245</v>
      </c>
      <c r="B86" s="25" t="s">
        <v>1464</v>
      </c>
      <c r="C86" s="24" t="s">
        <v>45</v>
      </c>
      <c r="D86" s="25" t="s">
        <v>274</v>
      </c>
      <c r="E86" s="25" t="s">
        <v>793</v>
      </c>
      <c r="F86" s="49">
        <v>61468</v>
      </c>
      <c r="G86" s="49">
        <v>5746</v>
      </c>
      <c r="H86" s="49">
        <v>9152</v>
      </c>
      <c r="I86" s="110">
        <v>35128.97</v>
      </c>
    </row>
    <row r="87" spans="1:9" x14ac:dyDescent="0.2">
      <c r="A87" s="23">
        <v>244</v>
      </c>
      <c r="B87" s="23" t="s">
        <v>1465</v>
      </c>
      <c r="C87" s="22" t="s">
        <v>45</v>
      </c>
      <c r="D87" s="23" t="s">
        <v>277</v>
      </c>
      <c r="E87" s="23" t="s">
        <v>923</v>
      </c>
      <c r="F87" s="46">
        <v>145076</v>
      </c>
      <c r="G87" s="46">
        <v>7674</v>
      </c>
      <c r="H87" s="46">
        <v>17946</v>
      </c>
      <c r="I87" s="109">
        <v>92371.72</v>
      </c>
    </row>
    <row r="88" spans="1:9" x14ac:dyDescent="0.2">
      <c r="A88" s="25">
        <v>223</v>
      </c>
      <c r="B88" s="25" t="s">
        <v>1466</v>
      </c>
      <c r="C88" s="24" t="s">
        <v>45</v>
      </c>
      <c r="D88" s="25" t="s">
        <v>274</v>
      </c>
      <c r="E88" s="25" t="s">
        <v>928</v>
      </c>
      <c r="F88" s="49">
        <v>248875</v>
      </c>
      <c r="G88" s="49">
        <v>23243</v>
      </c>
      <c r="H88" s="49">
        <v>47696</v>
      </c>
      <c r="I88" s="110">
        <v>92322.96</v>
      </c>
    </row>
    <row r="89" spans="1:9" x14ac:dyDescent="0.2">
      <c r="A89" s="23">
        <v>210</v>
      </c>
      <c r="B89" s="23" t="s">
        <v>1467</v>
      </c>
      <c r="C89" s="22" t="s">
        <v>45</v>
      </c>
      <c r="D89" s="23" t="s">
        <v>279</v>
      </c>
      <c r="E89" s="23" t="s">
        <v>889</v>
      </c>
      <c r="F89" s="46">
        <v>175337</v>
      </c>
      <c r="G89" s="46">
        <v>11694</v>
      </c>
      <c r="H89" s="46">
        <v>26233</v>
      </c>
      <c r="I89" s="109">
        <v>894.35</v>
      </c>
    </row>
    <row r="90" spans="1:9" x14ac:dyDescent="0.2">
      <c r="A90" s="25">
        <v>30</v>
      </c>
      <c r="B90" s="25" t="s">
        <v>1468</v>
      </c>
      <c r="C90" s="24" t="s">
        <v>45</v>
      </c>
      <c r="D90" s="25" t="s">
        <v>275</v>
      </c>
      <c r="E90" s="25" t="s">
        <v>1469</v>
      </c>
      <c r="F90" s="49">
        <v>52437</v>
      </c>
      <c r="G90" s="49">
        <v>26538</v>
      </c>
      <c r="H90" s="49">
        <v>49589</v>
      </c>
      <c r="I90" s="110">
        <v>50991.35</v>
      </c>
    </row>
    <row r="91" spans="1:9" x14ac:dyDescent="0.2">
      <c r="A91" s="23">
        <v>274</v>
      </c>
      <c r="B91" s="23" t="s">
        <v>1470</v>
      </c>
      <c r="C91" s="22" t="s">
        <v>45</v>
      </c>
      <c r="D91" s="23" t="s">
        <v>275</v>
      </c>
      <c r="E91" s="23" t="s">
        <v>923</v>
      </c>
      <c r="F91" s="46">
        <v>320980</v>
      </c>
      <c r="G91" s="46">
        <v>22818</v>
      </c>
      <c r="H91" s="46">
        <v>34956</v>
      </c>
      <c r="I91" s="109">
        <v>61644.160000000003</v>
      </c>
    </row>
  </sheetData>
  <mergeCells count="2">
    <mergeCell ref="A1:J1"/>
    <mergeCell ref="A2:J2"/>
  </mergeCells>
  <printOptions horizontalCentered="1"/>
  <pageMargins left="0.75" right="0.75" top="1" bottom="1" header="0.511811023622047" footer="0.511811023622047"/>
  <pageSetup fitToHeight="0" orientation="landscape"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L490"/>
  <sheetViews>
    <sheetView zoomScaleNormal="100" workbookViewId="0"/>
  </sheetViews>
  <sheetFormatPr baseColWidth="10" defaultColWidth="8.6640625" defaultRowHeight="15" x14ac:dyDescent="0.2"/>
  <sheetData>
    <row r="1" spans="1:12" x14ac:dyDescent="0.2">
      <c r="A1" t="s">
        <v>366</v>
      </c>
      <c r="B1" t="s">
        <v>1471</v>
      </c>
      <c r="D1" t="s">
        <v>1472</v>
      </c>
      <c r="E1" t="s">
        <v>1473</v>
      </c>
      <c r="G1" t="s">
        <v>188</v>
      </c>
      <c r="H1" t="s">
        <v>190</v>
      </c>
      <c r="I1" t="s">
        <v>191</v>
      </c>
      <c r="K1" t="s">
        <v>517</v>
      </c>
      <c r="L1" t="s">
        <v>120</v>
      </c>
    </row>
    <row r="2" spans="1:12" x14ac:dyDescent="0.2">
      <c r="A2" t="s">
        <v>450</v>
      </c>
      <c r="B2">
        <v>41.6</v>
      </c>
      <c r="D2" t="s">
        <v>1474</v>
      </c>
      <c r="E2">
        <v>47.4</v>
      </c>
      <c r="G2" t="s">
        <v>193</v>
      </c>
      <c r="H2">
        <v>29.5</v>
      </c>
      <c r="I2">
        <v>10</v>
      </c>
      <c r="K2">
        <v>20073</v>
      </c>
      <c r="L2">
        <v>37643.980000000003</v>
      </c>
    </row>
    <row r="3" spans="1:12" x14ac:dyDescent="0.2">
      <c r="A3" t="s">
        <v>1475</v>
      </c>
      <c r="B3">
        <v>40.700000000000003</v>
      </c>
      <c r="D3" t="s">
        <v>273</v>
      </c>
      <c r="E3">
        <v>1.4</v>
      </c>
      <c r="G3" t="s">
        <v>194</v>
      </c>
      <c r="H3">
        <v>28.7</v>
      </c>
      <c r="I3">
        <v>9.6</v>
      </c>
      <c r="K3">
        <v>2229</v>
      </c>
      <c r="L3">
        <v>57634.13</v>
      </c>
    </row>
    <row r="4" spans="1:12" x14ac:dyDescent="0.2">
      <c r="A4" t="s">
        <v>453</v>
      </c>
      <c r="B4">
        <v>39.200000000000003</v>
      </c>
      <c r="D4" t="s">
        <v>1476</v>
      </c>
      <c r="E4">
        <v>1</v>
      </c>
      <c r="G4" t="s">
        <v>195</v>
      </c>
      <c r="H4">
        <v>29.4</v>
      </c>
      <c r="I4">
        <v>9.6999999999999993</v>
      </c>
      <c r="K4">
        <v>3224</v>
      </c>
      <c r="L4">
        <v>47581.07</v>
      </c>
    </row>
    <row r="5" spans="1:12" x14ac:dyDescent="0.2">
      <c r="A5" t="s">
        <v>455</v>
      </c>
      <c r="B5">
        <v>38.700000000000003</v>
      </c>
      <c r="D5" t="s">
        <v>663</v>
      </c>
      <c r="E5">
        <v>0.5</v>
      </c>
      <c r="K5">
        <v>17739</v>
      </c>
      <c r="L5">
        <v>55342.07</v>
      </c>
    </row>
    <row r="6" spans="1:12" x14ac:dyDescent="0.2">
      <c r="A6" t="s">
        <v>369</v>
      </c>
      <c r="B6">
        <v>36.799999999999997</v>
      </c>
      <c r="D6" t="s">
        <v>188</v>
      </c>
      <c r="E6">
        <v>0.1</v>
      </c>
      <c r="K6">
        <v>13237</v>
      </c>
      <c r="L6">
        <v>51666.46</v>
      </c>
    </row>
    <row r="7" spans="1:12" x14ac:dyDescent="0.2">
      <c r="A7" t="s">
        <v>1477</v>
      </c>
      <c r="B7">
        <v>36.1</v>
      </c>
      <c r="K7">
        <v>42023</v>
      </c>
      <c r="L7">
        <v>57418.39</v>
      </c>
    </row>
    <row r="8" spans="1:12" x14ac:dyDescent="0.2">
      <c r="A8" t="s">
        <v>1478</v>
      </c>
      <c r="B8">
        <v>35.6</v>
      </c>
      <c r="K8">
        <v>46845</v>
      </c>
      <c r="L8">
        <v>78459.67</v>
      </c>
    </row>
    <row r="9" spans="1:12" x14ac:dyDescent="0.2">
      <c r="A9" t="s">
        <v>461</v>
      </c>
      <c r="B9">
        <v>35.4</v>
      </c>
      <c r="K9">
        <v>7287</v>
      </c>
      <c r="L9">
        <v>81300.960000000006</v>
      </c>
    </row>
    <row r="10" spans="1:12" x14ac:dyDescent="0.2">
      <c r="A10" t="s">
        <v>463</v>
      </c>
      <c r="B10">
        <v>33.4</v>
      </c>
      <c r="K10">
        <v>29335</v>
      </c>
      <c r="L10">
        <v>55378.06</v>
      </c>
    </row>
    <row r="11" spans="1:12" x14ac:dyDescent="0.2">
      <c r="A11" t="s">
        <v>465</v>
      </c>
      <c r="B11">
        <v>33</v>
      </c>
      <c r="K11">
        <v>37424</v>
      </c>
      <c r="L11">
        <v>92095.51</v>
      </c>
    </row>
    <row r="12" spans="1:12" x14ac:dyDescent="0.2">
      <c r="A12" t="s">
        <v>372</v>
      </c>
      <c r="B12">
        <v>20.7</v>
      </c>
      <c r="K12">
        <v>4132</v>
      </c>
      <c r="L12">
        <v>6070.02</v>
      </c>
    </row>
    <row r="13" spans="1:12" x14ac:dyDescent="0.2">
      <c r="A13" t="s">
        <v>481</v>
      </c>
      <c r="B13">
        <v>18.399999999999999</v>
      </c>
      <c r="K13">
        <v>14925</v>
      </c>
      <c r="L13">
        <v>7682.24</v>
      </c>
    </row>
    <row r="14" spans="1:12" x14ac:dyDescent="0.2">
      <c r="A14" t="s">
        <v>483</v>
      </c>
      <c r="B14">
        <v>17.399999999999999</v>
      </c>
      <c r="K14">
        <v>1934</v>
      </c>
      <c r="L14">
        <v>77099.27</v>
      </c>
    </row>
    <row r="15" spans="1:12" x14ac:dyDescent="0.2">
      <c r="A15" t="s">
        <v>1479</v>
      </c>
      <c r="B15">
        <v>15.9</v>
      </c>
      <c r="K15">
        <v>61376</v>
      </c>
      <c r="L15">
        <v>61885.22</v>
      </c>
    </row>
    <row r="16" spans="1:12" x14ac:dyDescent="0.2">
      <c r="A16" t="s">
        <v>486</v>
      </c>
      <c r="B16">
        <v>10.7</v>
      </c>
      <c r="K16">
        <v>1463</v>
      </c>
      <c r="L16">
        <v>41057.08</v>
      </c>
    </row>
    <row r="17" spans="11:12" x14ac:dyDescent="0.2">
      <c r="K17">
        <v>10452</v>
      </c>
      <c r="L17">
        <v>78024.83</v>
      </c>
    </row>
    <row r="18" spans="11:12" x14ac:dyDescent="0.2">
      <c r="K18">
        <v>1750</v>
      </c>
      <c r="L18">
        <v>92852.77</v>
      </c>
    </row>
    <row r="19" spans="11:12" x14ac:dyDescent="0.2">
      <c r="K19">
        <v>32630</v>
      </c>
      <c r="L19">
        <v>54788.94</v>
      </c>
    </row>
    <row r="20" spans="11:12" x14ac:dyDescent="0.2">
      <c r="K20">
        <v>254</v>
      </c>
      <c r="L20">
        <v>21469.34</v>
      </c>
    </row>
    <row r="21" spans="11:12" x14ac:dyDescent="0.2">
      <c r="K21">
        <v>5284</v>
      </c>
      <c r="L21">
        <v>7323.9</v>
      </c>
    </row>
    <row r="22" spans="11:12" x14ac:dyDescent="0.2">
      <c r="K22">
        <v>16599</v>
      </c>
      <c r="L22">
        <v>73501.820000000007</v>
      </c>
    </row>
    <row r="23" spans="11:12" x14ac:dyDescent="0.2">
      <c r="K23">
        <v>24598</v>
      </c>
      <c r="L23">
        <v>71686.22</v>
      </c>
    </row>
    <row r="24" spans="11:12" x14ac:dyDescent="0.2">
      <c r="K24">
        <v>1501</v>
      </c>
      <c r="L24">
        <v>99555.03</v>
      </c>
    </row>
    <row r="25" spans="11:12" x14ac:dyDescent="0.2">
      <c r="K25">
        <v>12903</v>
      </c>
      <c r="L25">
        <v>33369.83</v>
      </c>
    </row>
    <row r="26" spans="11:12" x14ac:dyDescent="0.2">
      <c r="K26">
        <v>290</v>
      </c>
      <c r="L26">
        <v>27543.42</v>
      </c>
    </row>
    <row r="27" spans="11:12" x14ac:dyDescent="0.2">
      <c r="K27">
        <v>13010</v>
      </c>
      <c r="L27">
        <v>4496.2299999999996</v>
      </c>
    </row>
    <row r="28" spans="11:12" x14ac:dyDescent="0.2">
      <c r="K28">
        <v>52796</v>
      </c>
      <c r="L28">
        <v>15388.5</v>
      </c>
    </row>
    <row r="29" spans="11:12" x14ac:dyDescent="0.2">
      <c r="K29">
        <v>49514</v>
      </c>
      <c r="L29">
        <v>14635.06</v>
      </c>
    </row>
    <row r="30" spans="11:12" x14ac:dyDescent="0.2">
      <c r="K30">
        <v>4734</v>
      </c>
      <c r="L30">
        <v>62749.3</v>
      </c>
    </row>
    <row r="31" spans="11:12" x14ac:dyDescent="0.2">
      <c r="K31">
        <v>35754</v>
      </c>
      <c r="L31">
        <v>63259.55</v>
      </c>
    </row>
    <row r="32" spans="11:12" x14ac:dyDescent="0.2">
      <c r="K32">
        <v>58022</v>
      </c>
      <c r="L32">
        <v>78858.039999999994</v>
      </c>
    </row>
    <row r="33" spans="11:12" x14ac:dyDescent="0.2">
      <c r="K33">
        <v>45450</v>
      </c>
      <c r="L33">
        <v>48477.74</v>
      </c>
    </row>
    <row r="34" spans="11:12" x14ac:dyDescent="0.2">
      <c r="K34">
        <v>53518</v>
      </c>
      <c r="L34">
        <v>62544.44</v>
      </c>
    </row>
    <row r="35" spans="11:12" x14ac:dyDescent="0.2">
      <c r="K35">
        <v>15039</v>
      </c>
      <c r="L35">
        <v>39163.67</v>
      </c>
    </row>
    <row r="36" spans="11:12" x14ac:dyDescent="0.2">
      <c r="K36">
        <v>64344</v>
      </c>
      <c r="L36">
        <v>90073.75</v>
      </c>
    </row>
    <row r="37" spans="11:12" x14ac:dyDescent="0.2">
      <c r="K37">
        <v>56911</v>
      </c>
      <c r="L37">
        <v>98786.880000000005</v>
      </c>
    </row>
    <row r="38" spans="11:12" x14ac:dyDescent="0.2">
      <c r="K38">
        <v>18501</v>
      </c>
      <c r="L38">
        <v>2130.54</v>
      </c>
    </row>
    <row r="39" spans="11:12" x14ac:dyDescent="0.2">
      <c r="K39">
        <v>55022</v>
      </c>
      <c r="L39">
        <v>53016.85</v>
      </c>
    </row>
    <row r="40" spans="11:12" x14ac:dyDescent="0.2">
      <c r="K40">
        <v>60677</v>
      </c>
      <c r="L40">
        <v>98358.06</v>
      </c>
    </row>
    <row r="41" spans="11:12" x14ac:dyDescent="0.2">
      <c r="K41">
        <v>60616</v>
      </c>
      <c r="L41">
        <v>28815.07</v>
      </c>
    </row>
    <row r="42" spans="11:12" x14ac:dyDescent="0.2">
      <c r="K42">
        <v>9719</v>
      </c>
      <c r="L42">
        <v>21634.89</v>
      </c>
    </row>
    <row r="43" spans="11:12" x14ac:dyDescent="0.2">
      <c r="K43">
        <v>87178</v>
      </c>
      <c r="L43">
        <v>42784.63</v>
      </c>
    </row>
    <row r="44" spans="11:12" x14ac:dyDescent="0.2">
      <c r="K44">
        <v>66579</v>
      </c>
      <c r="L44">
        <v>67416.97</v>
      </c>
    </row>
    <row r="45" spans="11:12" x14ac:dyDescent="0.2">
      <c r="K45">
        <v>40810</v>
      </c>
      <c r="L45">
        <v>48736.85</v>
      </c>
    </row>
    <row r="46" spans="11:12" x14ac:dyDescent="0.2">
      <c r="K46">
        <v>15112</v>
      </c>
      <c r="L46">
        <v>92249.48</v>
      </c>
    </row>
    <row r="47" spans="11:12" x14ac:dyDescent="0.2">
      <c r="K47">
        <v>64273</v>
      </c>
      <c r="L47">
        <v>35207.519999999997</v>
      </c>
    </row>
    <row r="48" spans="11:12" x14ac:dyDescent="0.2">
      <c r="K48">
        <v>25666</v>
      </c>
      <c r="L48">
        <v>99053.81</v>
      </c>
    </row>
    <row r="49" spans="11:12" x14ac:dyDescent="0.2">
      <c r="K49">
        <v>44440</v>
      </c>
      <c r="L49">
        <v>5810.77</v>
      </c>
    </row>
    <row r="50" spans="11:12" x14ac:dyDescent="0.2">
      <c r="K50">
        <v>63953</v>
      </c>
      <c r="L50">
        <v>22287.89</v>
      </c>
    </row>
    <row r="51" spans="11:12" x14ac:dyDescent="0.2">
      <c r="K51">
        <v>16654</v>
      </c>
      <c r="L51">
        <v>24399.38</v>
      </c>
    </row>
    <row r="52" spans="11:12" x14ac:dyDescent="0.2">
      <c r="K52">
        <v>10031</v>
      </c>
      <c r="L52">
        <v>81503.960000000006</v>
      </c>
    </row>
    <row r="53" spans="11:12" x14ac:dyDescent="0.2">
      <c r="K53">
        <v>49999</v>
      </c>
      <c r="L53">
        <v>92152.24</v>
      </c>
    </row>
    <row r="54" spans="11:12" x14ac:dyDescent="0.2">
      <c r="K54">
        <v>64696</v>
      </c>
      <c r="L54">
        <v>90695.45</v>
      </c>
    </row>
    <row r="55" spans="11:12" x14ac:dyDescent="0.2">
      <c r="K55">
        <v>26905</v>
      </c>
      <c r="L55">
        <v>81585.279999999999</v>
      </c>
    </row>
    <row r="56" spans="11:12" x14ac:dyDescent="0.2">
      <c r="K56">
        <v>11162</v>
      </c>
      <c r="L56">
        <v>79501.97</v>
      </c>
    </row>
    <row r="57" spans="11:12" x14ac:dyDescent="0.2">
      <c r="K57">
        <v>54877</v>
      </c>
      <c r="L57">
        <v>69908.160000000003</v>
      </c>
    </row>
    <row r="58" spans="11:12" x14ac:dyDescent="0.2">
      <c r="K58">
        <v>11406</v>
      </c>
      <c r="L58">
        <v>64960.61</v>
      </c>
    </row>
    <row r="59" spans="11:12" x14ac:dyDescent="0.2">
      <c r="K59">
        <v>22283</v>
      </c>
      <c r="L59">
        <v>69489.91</v>
      </c>
    </row>
    <row r="60" spans="11:12" x14ac:dyDescent="0.2">
      <c r="K60">
        <v>6070</v>
      </c>
      <c r="L60">
        <v>32743.99</v>
      </c>
    </row>
    <row r="61" spans="11:12" x14ac:dyDescent="0.2">
      <c r="K61">
        <v>13470</v>
      </c>
      <c r="L61">
        <v>50670.86</v>
      </c>
    </row>
    <row r="62" spans="11:12" x14ac:dyDescent="0.2">
      <c r="K62">
        <v>3634</v>
      </c>
      <c r="L62">
        <v>22616.959999999999</v>
      </c>
    </row>
    <row r="63" spans="11:12" x14ac:dyDescent="0.2">
      <c r="K63">
        <v>32412</v>
      </c>
      <c r="L63">
        <v>82515.179999999993</v>
      </c>
    </row>
    <row r="64" spans="11:12" x14ac:dyDescent="0.2">
      <c r="K64">
        <v>16503</v>
      </c>
      <c r="L64">
        <v>71951.22</v>
      </c>
    </row>
    <row r="65" spans="11:12" x14ac:dyDescent="0.2">
      <c r="K65">
        <v>77123</v>
      </c>
      <c r="L65">
        <v>7126.15</v>
      </c>
    </row>
    <row r="66" spans="11:12" x14ac:dyDescent="0.2">
      <c r="K66">
        <v>3963</v>
      </c>
      <c r="L66">
        <v>86469.28</v>
      </c>
    </row>
    <row r="67" spans="11:12" x14ac:dyDescent="0.2">
      <c r="K67">
        <v>17522</v>
      </c>
      <c r="L67">
        <v>52063.17</v>
      </c>
    </row>
    <row r="68" spans="11:12" x14ac:dyDescent="0.2">
      <c r="K68">
        <v>7392</v>
      </c>
      <c r="L68">
        <v>59969.83</v>
      </c>
    </row>
    <row r="69" spans="11:12" x14ac:dyDescent="0.2">
      <c r="K69">
        <v>41724</v>
      </c>
      <c r="L69">
        <v>52610.3</v>
      </c>
    </row>
    <row r="70" spans="11:12" x14ac:dyDescent="0.2">
      <c r="K70">
        <v>29147</v>
      </c>
      <c r="L70">
        <v>73624.429999999993</v>
      </c>
    </row>
    <row r="71" spans="11:12" x14ac:dyDescent="0.2">
      <c r="K71">
        <v>58607</v>
      </c>
      <c r="L71">
        <v>37944.71</v>
      </c>
    </row>
    <row r="72" spans="11:12" x14ac:dyDescent="0.2">
      <c r="K72">
        <v>11872</v>
      </c>
      <c r="L72">
        <v>3216.69</v>
      </c>
    </row>
    <row r="73" spans="11:12" x14ac:dyDescent="0.2">
      <c r="K73">
        <v>16723</v>
      </c>
      <c r="L73">
        <v>11259.63</v>
      </c>
    </row>
    <row r="74" spans="11:12" x14ac:dyDescent="0.2">
      <c r="K74">
        <v>17307</v>
      </c>
      <c r="L74">
        <v>32712.47</v>
      </c>
    </row>
    <row r="75" spans="11:12" x14ac:dyDescent="0.2">
      <c r="K75">
        <v>57199</v>
      </c>
      <c r="L75">
        <v>62074.52</v>
      </c>
    </row>
    <row r="76" spans="11:12" x14ac:dyDescent="0.2">
      <c r="K76">
        <v>24299</v>
      </c>
      <c r="L76">
        <v>56237.78</v>
      </c>
    </row>
    <row r="77" spans="11:12" x14ac:dyDescent="0.2">
      <c r="K77">
        <v>2070</v>
      </c>
      <c r="L77">
        <v>72855.850000000006</v>
      </c>
    </row>
    <row r="78" spans="11:12" x14ac:dyDescent="0.2">
      <c r="K78">
        <v>6093</v>
      </c>
      <c r="L78">
        <v>82876.23</v>
      </c>
    </row>
    <row r="79" spans="11:12" x14ac:dyDescent="0.2">
      <c r="K79">
        <v>48106</v>
      </c>
      <c r="L79">
        <v>7899.25</v>
      </c>
    </row>
    <row r="80" spans="11:12" x14ac:dyDescent="0.2">
      <c r="K80">
        <v>8616</v>
      </c>
      <c r="L80">
        <v>58776.63</v>
      </c>
    </row>
    <row r="81" spans="11:12" x14ac:dyDescent="0.2">
      <c r="K81">
        <v>7371</v>
      </c>
      <c r="L81">
        <v>812.31</v>
      </c>
    </row>
    <row r="82" spans="11:12" x14ac:dyDescent="0.2">
      <c r="K82">
        <v>23933</v>
      </c>
      <c r="L82">
        <v>42310.11</v>
      </c>
    </row>
    <row r="83" spans="11:12" x14ac:dyDescent="0.2">
      <c r="K83">
        <v>23858</v>
      </c>
      <c r="L83">
        <v>86483.74</v>
      </c>
    </row>
    <row r="84" spans="11:12" x14ac:dyDescent="0.2">
      <c r="K84">
        <v>2899</v>
      </c>
      <c r="L84">
        <v>5826.86</v>
      </c>
    </row>
    <row r="85" spans="11:12" x14ac:dyDescent="0.2">
      <c r="K85">
        <v>15469</v>
      </c>
      <c r="L85">
        <v>86393.13</v>
      </c>
    </row>
    <row r="86" spans="11:12" x14ac:dyDescent="0.2">
      <c r="K86">
        <v>25492</v>
      </c>
      <c r="L86">
        <v>53475.74</v>
      </c>
    </row>
    <row r="87" spans="11:12" x14ac:dyDescent="0.2">
      <c r="K87">
        <v>9365</v>
      </c>
      <c r="L87">
        <v>55544.98</v>
      </c>
    </row>
    <row r="88" spans="11:12" x14ac:dyDescent="0.2">
      <c r="K88">
        <v>2985</v>
      </c>
      <c r="L88">
        <v>84901.43</v>
      </c>
    </row>
    <row r="89" spans="11:12" x14ac:dyDescent="0.2">
      <c r="K89">
        <v>46849</v>
      </c>
      <c r="L89">
        <v>77549.61</v>
      </c>
    </row>
    <row r="90" spans="11:12" x14ac:dyDescent="0.2">
      <c r="K90">
        <v>61005</v>
      </c>
      <c r="L90">
        <v>4852.82</v>
      </c>
    </row>
    <row r="91" spans="11:12" x14ac:dyDescent="0.2">
      <c r="K91">
        <v>182</v>
      </c>
      <c r="L91">
        <v>42334.99</v>
      </c>
    </row>
    <row r="92" spans="11:12" x14ac:dyDescent="0.2">
      <c r="K92">
        <v>12959</v>
      </c>
      <c r="L92">
        <v>23759.31</v>
      </c>
    </row>
    <row r="93" spans="11:12" x14ac:dyDescent="0.2">
      <c r="K93">
        <v>10397</v>
      </c>
      <c r="L93">
        <v>12277.03</v>
      </c>
    </row>
    <row r="94" spans="11:12" x14ac:dyDescent="0.2">
      <c r="K94">
        <v>15277</v>
      </c>
      <c r="L94">
        <v>85625.12</v>
      </c>
    </row>
    <row r="95" spans="11:12" x14ac:dyDescent="0.2">
      <c r="K95">
        <v>7830</v>
      </c>
      <c r="L95">
        <v>34383.61</v>
      </c>
    </row>
    <row r="96" spans="11:12" x14ac:dyDescent="0.2">
      <c r="K96">
        <v>34129</v>
      </c>
      <c r="L96">
        <v>57427.42</v>
      </c>
    </row>
    <row r="97" spans="11:12" x14ac:dyDescent="0.2">
      <c r="K97">
        <v>4862</v>
      </c>
      <c r="L97">
        <v>86916</v>
      </c>
    </row>
    <row r="98" spans="11:12" x14ac:dyDescent="0.2">
      <c r="K98">
        <v>49609</v>
      </c>
      <c r="L98">
        <v>93065.66</v>
      </c>
    </row>
    <row r="99" spans="11:12" x14ac:dyDescent="0.2">
      <c r="K99">
        <v>27439</v>
      </c>
      <c r="L99">
        <v>61578.7</v>
      </c>
    </row>
    <row r="100" spans="11:12" x14ac:dyDescent="0.2">
      <c r="K100">
        <v>48425</v>
      </c>
      <c r="L100">
        <v>41690.870000000003</v>
      </c>
    </row>
    <row r="101" spans="11:12" x14ac:dyDescent="0.2">
      <c r="K101">
        <v>59253</v>
      </c>
      <c r="L101">
        <v>68769.259999999995</v>
      </c>
    </row>
    <row r="102" spans="11:12" x14ac:dyDescent="0.2">
      <c r="K102">
        <v>34741</v>
      </c>
      <c r="L102">
        <v>27092.09</v>
      </c>
    </row>
    <row r="103" spans="11:12" x14ac:dyDescent="0.2">
      <c r="K103">
        <v>65111</v>
      </c>
      <c r="L103">
        <v>63810.16</v>
      </c>
    </row>
    <row r="104" spans="11:12" x14ac:dyDescent="0.2">
      <c r="K104">
        <v>19225</v>
      </c>
      <c r="L104">
        <v>50557.2</v>
      </c>
    </row>
    <row r="105" spans="11:12" x14ac:dyDescent="0.2">
      <c r="K105">
        <v>27399</v>
      </c>
      <c r="L105">
        <v>77598.539999999994</v>
      </c>
    </row>
    <row r="106" spans="11:12" x14ac:dyDescent="0.2">
      <c r="K106">
        <v>4052</v>
      </c>
      <c r="L106">
        <v>59087.4</v>
      </c>
    </row>
    <row r="107" spans="11:12" x14ac:dyDescent="0.2">
      <c r="K107">
        <v>7731</v>
      </c>
      <c r="L107">
        <v>61284.54</v>
      </c>
    </row>
    <row r="108" spans="11:12" x14ac:dyDescent="0.2">
      <c r="K108">
        <v>3315</v>
      </c>
      <c r="L108">
        <v>53308.41</v>
      </c>
    </row>
    <row r="109" spans="11:12" x14ac:dyDescent="0.2">
      <c r="K109">
        <v>5382</v>
      </c>
      <c r="L109">
        <v>24423.67</v>
      </c>
    </row>
    <row r="110" spans="11:12" x14ac:dyDescent="0.2">
      <c r="K110">
        <v>64955</v>
      </c>
      <c r="L110">
        <v>61318.8</v>
      </c>
    </row>
    <row r="111" spans="11:12" x14ac:dyDescent="0.2">
      <c r="K111">
        <v>4865</v>
      </c>
      <c r="L111">
        <v>60008.800000000003</v>
      </c>
    </row>
    <row r="112" spans="11:12" x14ac:dyDescent="0.2">
      <c r="K112">
        <v>13702</v>
      </c>
      <c r="L112">
        <v>7688.97</v>
      </c>
    </row>
    <row r="113" spans="11:12" x14ac:dyDescent="0.2">
      <c r="K113">
        <v>7898</v>
      </c>
      <c r="L113">
        <v>61656.53</v>
      </c>
    </row>
    <row r="114" spans="11:12" x14ac:dyDescent="0.2">
      <c r="K114">
        <v>13324</v>
      </c>
      <c r="L114">
        <v>15892.41</v>
      </c>
    </row>
    <row r="115" spans="11:12" x14ac:dyDescent="0.2">
      <c r="K115">
        <v>9427</v>
      </c>
      <c r="L115">
        <v>15749.46</v>
      </c>
    </row>
    <row r="116" spans="11:12" x14ac:dyDescent="0.2">
      <c r="K116">
        <v>13374</v>
      </c>
      <c r="L116">
        <v>84736.93</v>
      </c>
    </row>
    <row r="117" spans="11:12" x14ac:dyDescent="0.2">
      <c r="K117">
        <v>14555</v>
      </c>
      <c r="L117">
        <v>45551.16</v>
      </c>
    </row>
    <row r="118" spans="11:12" x14ac:dyDescent="0.2">
      <c r="K118">
        <v>96</v>
      </c>
      <c r="L118">
        <v>52105.06</v>
      </c>
    </row>
    <row r="119" spans="11:12" x14ac:dyDescent="0.2">
      <c r="K119">
        <v>10190</v>
      </c>
      <c r="L119">
        <v>70418.63</v>
      </c>
    </row>
    <row r="120" spans="11:12" x14ac:dyDescent="0.2">
      <c r="K120">
        <v>21699</v>
      </c>
      <c r="L120">
        <v>15396.96</v>
      </c>
    </row>
    <row r="121" spans="11:12" x14ac:dyDescent="0.2">
      <c r="K121">
        <v>63986</v>
      </c>
      <c r="L121">
        <v>72829.710000000006</v>
      </c>
    </row>
    <row r="122" spans="11:12" x14ac:dyDescent="0.2">
      <c r="K122">
        <v>12155</v>
      </c>
      <c r="L122">
        <v>7834.09</v>
      </c>
    </row>
    <row r="123" spans="11:12" x14ac:dyDescent="0.2">
      <c r="K123">
        <v>42841</v>
      </c>
      <c r="L123">
        <v>69051.64</v>
      </c>
    </row>
    <row r="124" spans="11:12" x14ac:dyDescent="0.2">
      <c r="K124">
        <v>7200</v>
      </c>
      <c r="L124">
        <v>55867.51</v>
      </c>
    </row>
    <row r="125" spans="11:12" x14ac:dyDescent="0.2">
      <c r="K125">
        <v>35133</v>
      </c>
      <c r="L125">
        <v>33658.9</v>
      </c>
    </row>
    <row r="126" spans="11:12" x14ac:dyDescent="0.2">
      <c r="K126">
        <v>16281</v>
      </c>
      <c r="L126">
        <v>9198.9599999999991</v>
      </c>
    </row>
    <row r="127" spans="11:12" x14ac:dyDescent="0.2">
      <c r="K127">
        <v>7080</v>
      </c>
      <c r="L127">
        <v>11207.21</v>
      </c>
    </row>
    <row r="128" spans="11:12" x14ac:dyDescent="0.2">
      <c r="K128">
        <v>4283</v>
      </c>
      <c r="L128">
        <v>62907.38</v>
      </c>
    </row>
    <row r="129" spans="11:12" x14ac:dyDescent="0.2">
      <c r="K129">
        <v>23024</v>
      </c>
      <c r="L129">
        <v>74058.009999999995</v>
      </c>
    </row>
    <row r="130" spans="11:12" x14ac:dyDescent="0.2">
      <c r="K130">
        <v>22266</v>
      </c>
      <c r="L130">
        <v>55675.97</v>
      </c>
    </row>
    <row r="131" spans="11:12" x14ac:dyDescent="0.2">
      <c r="K131">
        <v>900</v>
      </c>
      <c r="L131">
        <v>22815.1</v>
      </c>
    </row>
    <row r="132" spans="11:12" x14ac:dyDescent="0.2">
      <c r="K132">
        <v>20668</v>
      </c>
      <c r="L132">
        <v>91986.21</v>
      </c>
    </row>
    <row r="133" spans="11:12" x14ac:dyDescent="0.2">
      <c r="K133">
        <v>81744</v>
      </c>
      <c r="L133">
        <v>26450.13</v>
      </c>
    </row>
    <row r="134" spans="11:12" x14ac:dyDescent="0.2">
      <c r="K134">
        <v>65466</v>
      </c>
      <c r="L134">
        <v>87138.48</v>
      </c>
    </row>
    <row r="135" spans="11:12" x14ac:dyDescent="0.2">
      <c r="K135">
        <v>17926</v>
      </c>
      <c r="L135">
        <v>68207.08</v>
      </c>
    </row>
    <row r="136" spans="11:12" x14ac:dyDescent="0.2">
      <c r="K136">
        <v>2263</v>
      </c>
      <c r="L136">
        <v>19846.38</v>
      </c>
    </row>
    <row r="137" spans="11:12" x14ac:dyDescent="0.2">
      <c r="K137">
        <v>15951</v>
      </c>
      <c r="L137">
        <v>25942</v>
      </c>
    </row>
    <row r="138" spans="11:12" x14ac:dyDescent="0.2">
      <c r="K138">
        <v>15423</v>
      </c>
      <c r="L138">
        <v>21454.77</v>
      </c>
    </row>
    <row r="139" spans="11:12" x14ac:dyDescent="0.2">
      <c r="K139">
        <v>2335</v>
      </c>
      <c r="L139">
        <v>48623.3</v>
      </c>
    </row>
    <row r="140" spans="11:12" x14ac:dyDescent="0.2">
      <c r="K140">
        <v>8605</v>
      </c>
      <c r="L140">
        <v>75709.84</v>
      </c>
    </row>
    <row r="141" spans="11:12" x14ac:dyDescent="0.2">
      <c r="K141">
        <v>28205</v>
      </c>
      <c r="L141">
        <v>97442.17</v>
      </c>
    </row>
    <row r="142" spans="11:12" x14ac:dyDescent="0.2">
      <c r="K142">
        <v>2187</v>
      </c>
      <c r="L142">
        <v>63468.22</v>
      </c>
    </row>
    <row r="143" spans="11:12" x14ac:dyDescent="0.2">
      <c r="K143">
        <v>28394</v>
      </c>
      <c r="L143">
        <v>61533.91</v>
      </c>
    </row>
    <row r="144" spans="11:12" x14ac:dyDescent="0.2">
      <c r="K144">
        <v>11158</v>
      </c>
      <c r="L144">
        <v>54696.09</v>
      </c>
    </row>
    <row r="145" spans="11:12" x14ac:dyDescent="0.2">
      <c r="K145">
        <v>11351</v>
      </c>
      <c r="L145">
        <v>71163.19</v>
      </c>
    </row>
    <row r="146" spans="11:12" x14ac:dyDescent="0.2">
      <c r="K146">
        <v>44837</v>
      </c>
      <c r="L146">
        <v>48380.14</v>
      </c>
    </row>
    <row r="147" spans="11:12" x14ac:dyDescent="0.2">
      <c r="K147">
        <v>36386</v>
      </c>
      <c r="L147">
        <v>72537.73</v>
      </c>
    </row>
    <row r="148" spans="11:12" x14ac:dyDescent="0.2">
      <c r="K148">
        <v>46654</v>
      </c>
      <c r="L148">
        <v>64530.47</v>
      </c>
    </row>
    <row r="149" spans="11:12" x14ac:dyDescent="0.2">
      <c r="K149">
        <v>25116</v>
      </c>
      <c r="L149">
        <v>46648.27</v>
      </c>
    </row>
    <row r="150" spans="11:12" x14ac:dyDescent="0.2">
      <c r="K150">
        <v>13271</v>
      </c>
      <c r="L150">
        <v>59527.83</v>
      </c>
    </row>
    <row r="151" spans="11:12" x14ac:dyDescent="0.2">
      <c r="K151">
        <v>1769</v>
      </c>
      <c r="L151">
        <v>54153.13</v>
      </c>
    </row>
    <row r="152" spans="11:12" x14ac:dyDescent="0.2">
      <c r="K152">
        <v>14934</v>
      </c>
      <c r="L152">
        <v>22076</v>
      </c>
    </row>
    <row r="153" spans="11:12" x14ac:dyDescent="0.2">
      <c r="K153">
        <v>3888</v>
      </c>
      <c r="L153">
        <v>81046.17</v>
      </c>
    </row>
    <row r="154" spans="11:12" x14ac:dyDescent="0.2">
      <c r="K154">
        <v>7643</v>
      </c>
      <c r="L154">
        <v>81888.679999999993</v>
      </c>
    </row>
    <row r="155" spans="11:12" x14ac:dyDescent="0.2">
      <c r="K155">
        <v>5127</v>
      </c>
      <c r="L155">
        <v>75397.91</v>
      </c>
    </row>
    <row r="156" spans="11:12" x14ac:dyDescent="0.2">
      <c r="K156">
        <v>42859</v>
      </c>
      <c r="L156">
        <v>15130.32</v>
      </c>
    </row>
    <row r="157" spans="11:12" x14ac:dyDescent="0.2">
      <c r="K157">
        <v>57467</v>
      </c>
      <c r="L157">
        <v>2721.69</v>
      </c>
    </row>
    <row r="158" spans="11:12" x14ac:dyDescent="0.2">
      <c r="K158">
        <v>3194</v>
      </c>
      <c r="L158">
        <v>77045.81</v>
      </c>
    </row>
    <row r="159" spans="11:12" x14ac:dyDescent="0.2">
      <c r="K159">
        <v>4714</v>
      </c>
      <c r="L159">
        <v>98477.29</v>
      </c>
    </row>
    <row r="160" spans="11:12" x14ac:dyDescent="0.2">
      <c r="K160">
        <v>2538</v>
      </c>
      <c r="L160">
        <v>57913.49</v>
      </c>
    </row>
    <row r="161" spans="11:12" x14ac:dyDescent="0.2">
      <c r="K161">
        <v>5401</v>
      </c>
      <c r="L161">
        <v>27492.37</v>
      </c>
    </row>
    <row r="162" spans="11:12" x14ac:dyDescent="0.2">
      <c r="K162">
        <v>10562</v>
      </c>
      <c r="L162">
        <v>88778.77</v>
      </c>
    </row>
    <row r="163" spans="11:12" x14ac:dyDescent="0.2">
      <c r="K163">
        <v>9625</v>
      </c>
      <c r="L163">
        <v>85936.82</v>
      </c>
    </row>
    <row r="164" spans="11:12" x14ac:dyDescent="0.2">
      <c r="K164">
        <v>266</v>
      </c>
      <c r="L164">
        <v>21964.59</v>
      </c>
    </row>
    <row r="165" spans="11:12" x14ac:dyDescent="0.2">
      <c r="K165">
        <v>2719</v>
      </c>
      <c r="L165">
        <v>68337.429999999993</v>
      </c>
    </row>
    <row r="166" spans="11:12" x14ac:dyDescent="0.2">
      <c r="K166">
        <v>2348</v>
      </c>
      <c r="L166">
        <v>19456.55</v>
      </c>
    </row>
    <row r="167" spans="11:12" x14ac:dyDescent="0.2">
      <c r="K167">
        <v>5987</v>
      </c>
      <c r="L167">
        <v>65086</v>
      </c>
    </row>
    <row r="168" spans="11:12" x14ac:dyDescent="0.2">
      <c r="K168">
        <v>16730</v>
      </c>
      <c r="L168">
        <v>5547.69</v>
      </c>
    </row>
    <row r="169" spans="11:12" x14ac:dyDescent="0.2">
      <c r="K169">
        <v>22765</v>
      </c>
      <c r="L169">
        <v>12815.99</v>
      </c>
    </row>
    <row r="170" spans="11:12" x14ac:dyDescent="0.2">
      <c r="K170">
        <v>824</v>
      </c>
      <c r="L170">
        <v>36918.31</v>
      </c>
    </row>
    <row r="171" spans="11:12" x14ac:dyDescent="0.2">
      <c r="K171">
        <v>3910</v>
      </c>
      <c r="L171">
        <v>41624.82</v>
      </c>
    </row>
    <row r="172" spans="11:12" x14ac:dyDescent="0.2">
      <c r="K172">
        <v>43110</v>
      </c>
      <c r="L172">
        <v>60537.17</v>
      </c>
    </row>
    <row r="173" spans="11:12" x14ac:dyDescent="0.2">
      <c r="K173">
        <v>14341</v>
      </c>
      <c r="L173">
        <v>26677.37</v>
      </c>
    </row>
    <row r="174" spans="11:12" x14ac:dyDescent="0.2">
      <c r="K174">
        <v>44665</v>
      </c>
      <c r="L174">
        <v>80467.539999999994</v>
      </c>
    </row>
    <row r="175" spans="11:12" x14ac:dyDescent="0.2">
      <c r="K175">
        <v>10762</v>
      </c>
      <c r="L175">
        <v>71424.98</v>
      </c>
    </row>
    <row r="176" spans="11:12" x14ac:dyDescent="0.2">
      <c r="K176">
        <v>13547</v>
      </c>
      <c r="L176">
        <v>16440.78</v>
      </c>
    </row>
    <row r="177" spans="11:12" x14ac:dyDescent="0.2">
      <c r="K177">
        <v>25920</v>
      </c>
      <c r="L177">
        <v>43224.3</v>
      </c>
    </row>
    <row r="178" spans="11:12" x14ac:dyDescent="0.2">
      <c r="K178">
        <v>18524</v>
      </c>
      <c r="L178">
        <v>83250.009999999995</v>
      </c>
    </row>
    <row r="179" spans="11:12" x14ac:dyDescent="0.2">
      <c r="K179">
        <v>14022</v>
      </c>
      <c r="L179">
        <v>15607.02</v>
      </c>
    </row>
    <row r="180" spans="11:12" x14ac:dyDescent="0.2">
      <c r="K180">
        <v>46282</v>
      </c>
      <c r="L180">
        <v>23470.68</v>
      </c>
    </row>
    <row r="181" spans="11:12" x14ac:dyDescent="0.2">
      <c r="K181">
        <v>12485</v>
      </c>
      <c r="L181">
        <v>81145.990000000005</v>
      </c>
    </row>
    <row r="182" spans="11:12" x14ac:dyDescent="0.2">
      <c r="K182">
        <v>6980</v>
      </c>
      <c r="L182">
        <v>26089.360000000001</v>
      </c>
    </row>
    <row r="183" spans="11:12" x14ac:dyDescent="0.2">
      <c r="K183">
        <v>5830</v>
      </c>
      <c r="L183">
        <v>85955.69</v>
      </c>
    </row>
    <row r="184" spans="11:12" x14ac:dyDescent="0.2">
      <c r="K184">
        <v>61771</v>
      </c>
      <c r="L184">
        <v>82384.06</v>
      </c>
    </row>
    <row r="185" spans="11:12" x14ac:dyDescent="0.2">
      <c r="K185">
        <v>47470</v>
      </c>
      <c r="L185">
        <v>531.04999999999995</v>
      </c>
    </row>
    <row r="186" spans="11:12" x14ac:dyDescent="0.2">
      <c r="K186">
        <v>11184</v>
      </c>
      <c r="L186">
        <v>70075.490000000005</v>
      </c>
    </row>
    <row r="187" spans="11:12" x14ac:dyDescent="0.2">
      <c r="K187">
        <v>6334</v>
      </c>
      <c r="L187">
        <v>73074.929999999993</v>
      </c>
    </row>
    <row r="188" spans="11:12" x14ac:dyDescent="0.2">
      <c r="K188">
        <v>40004</v>
      </c>
      <c r="L188">
        <v>23117.81</v>
      </c>
    </row>
    <row r="189" spans="11:12" x14ac:dyDescent="0.2">
      <c r="K189">
        <v>72671</v>
      </c>
      <c r="L189">
        <v>28096.3</v>
      </c>
    </row>
    <row r="190" spans="11:12" x14ac:dyDescent="0.2">
      <c r="K190">
        <v>11520</v>
      </c>
      <c r="L190">
        <v>34469.269999999997</v>
      </c>
    </row>
    <row r="191" spans="11:12" x14ac:dyDescent="0.2">
      <c r="K191">
        <v>3891</v>
      </c>
      <c r="L191">
        <v>57593.78</v>
      </c>
    </row>
    <row r="192" spans="11:12" x14ac:dyDescent="0.2">
      <c r="K192">
        <v>53412</v>
      </c>
      <c r="L192">
        <v>43415.38</v>
      </c>
    </row>
    <row r="193" spans="11:12" x14ac:dyDescent="0.2">
      <c r="K193">
        <v>43900</v>
      </c>
      <c r="L193">
        <v>50008.82</v>
      </c>
    </row>
    <row r="194" spans="11:12" x14ac:dyDescent="0.2">
      <c r="K194">
        <v>61869</v>
      </c>
      <c r="L194">
        <v>9190.6299999999992</v>
      </c>
    </row>
    <row r="195" spans="11:12" x14ac:dyDescent="0.2">
      <c r="K195">
        <v>9760</v>
      </c>
      <c r="L195">
        <v>10627.54</v>
      </c>
    </row>
    <row r="196" spans="11:12" x14ac:dyDescent="0.2">
      <c r="K196">
        <v>28263</v>
      </c>
      <c r="L196">
        <v>29402.79</v>
      </c>
    </row>
    <row r="197" spans="11:12" x14ac:dyDescent="0.2">
      <c r="K197">
        <v>21915</v>
      </c>
      <c r="L197">
        <v>26768.13</v>
      </c>
    </row>
    <row r="198" spans="11:12" x14ac:dyDescent="0.2">
      <c r="K198">
        <v>9041</v>
      </c>
      <c r="L198">
        <v>95924.7</v>
      </c>
    </row>
    <row r="199" spans="11:12" x14ac:dyDescent="0.2">
      <c r="K199">
        <v>53457</v>
      </c>
      <c r="L199">
        <v>40128.46</v>
      </c>
    </row>
    <row r="200" spans="11:12" x14ac:dyDescent="0.2">
      <c r="K200">
        <v>1110</v>
      </c>
      <c r="L200">
        <v>96098.06</v>
      </c>
    </row>
    <row r="201" spans="11:12" x14ac:dyDescent="0.2">
      <c r="K201">
        <v>4289</v>
      </c>
      <c r="L201">
        <v>43449.04</v>
      </c>
    </row>
    <row r="202" spans="11:12" x14ac:dyDescent="0.2">
      <c r="K202">
        <v>5335</v>
      </c>
      <c r="L202">
        <v>50640.31</v>
      </c>
    </row>
    <row r="203" spans="11:12" x14ac:dyDescent="0.2">
      <c r="K203">
        <v>32398</v>
      </c>
      <c r="L203">
        <v>6538.92</v>
      </c>
    </row>
    <row r="204" spans="11:12" x14ac:dyDescent="0.2">
      <c r="K204">
        <v>2073</v>
      </c>
      <c r="L204">
        <v>17255.62</v>
      </c>
    </row>
    <row r="205" spans="11:12" x14ac:dyDescent="0.2">
      <c r="K205">
        <v>18730</v>
      </c>
      <c r="L205">
        <v>21704.29</v>
      </c>
    </row>
    <row r="206" spans="11:12" x14ac:dyDescent="0.2">
      <c r="K206">
        <v>2618</v>
      </c>
      <c r="L206">
        <v>16419.43</v>
      </c>
    </row>
    <row r="207" spans="11:12" x14ac:dyDescent="0.2">
      <c r="K207">
        <v>22402</v>
      </c>
      <c r="L207">
        <v>8275.61</v>
      </c>
    </row>
    <row r="208" spans="11:12" x14ac:dyDescent="0.2">
      <c r="K208">
        <v>7262</v>
      </c>
      <c r="L208">
        <v>89191.22</v>
      </c>
    </row>
    <row r="209" spans="11:12" x14ac:dyDescent="0.2">
      <c r="K209">
        <v>11265</v>
      </c>
      <c r="L209">
        <v>10274.450000000001</v>
      </c>
    </row>
    <row r="210" spans="11:12" x14ac:dyDescent="0.2">
      <c r="K210">
        <v>4278</v>
      </c>
      <c r="L210">
        <v>11585.62</v>
      </c>
    </row>
    <row r="211" spans="11:12" x14ac:dyDescent="0.2">
      <c r="K211">
        <v>22370</v>
      </c>
      <c r="L211">
        <v>97545.9</v>
      </c>
    </row>
    <row r="212" spans="11:12" x14ac:dyDescent="0.2">
      <c r="K212">
        <v>56850</v>
      </c>
      <c r="L212">
        <v>28854.98</v>
      </c>
    </row>
    <row r="213" spans="11:12" x14ac:dyDescent="0.2">
      <c r="K213">
        <v>3902</v>
      </c>
      <c r="L213">
        <v>76480.75</v>
      </c>
    </row>
    <row r="214" spans="11:12" x14ac:dyDescent="0.2">
      <c r="K214">
        <v>52495</v>
      </c>
      <c r="L214">
        <v>96530.31</v>
      </c>
    </row>
    <row r="215" spans="11:12" x14ac:dyDescent="0.2">
      <c r="K215">
        <v>43916</v>
      </c>
      <c r="L215">
        <v>93228.56</v>
      </c>
    </row>
    <row r="216" spans="11:12" x14ac:dyDescent="0.2">
      <c r="K216">
        <v>19681</v>
      </c>
      <c r="L216">
        <v>72129.06</v>
      </c>
    </row>
    <row r="217" spans="11:12" x14ac:dyDescent="0.2">
      <c r="K217">
        <v>11136</v>
      </c>
      <c r="L217">
        <v>42048.74</v>
      </c>
    </row>
    <row r="218" spans="11:12" x14ac:dyDescent="0.2">
      <c r="K218">
        <v>4500</v>
      </c>
      <c r="L218">
        <v>74019.02</v>
      </c>
    </row>
    <row r="219" spans="11:12" x14ac:dyDescent="0.2">
      <c r="K219">
        <v>8568</v>
      </c>
      <c r="L219">
        <v>20126.63</v>
      </c>
    </row>
    <row r="220" spans="11:12" x14ac:dyDescent="0.2">
      <c r="K220">
        <v>34255</v>
      </c>
      <c r="L220">
        <v>67213.22</v>
      </c>
    </row>
    <row r="221" spans="11:12" x14ac:dyDescent="0.2">
      <c r="K221">
        <v>23112</v>
      </c>
      <c r="L221">
        <v>60490.64</v>
      </c>
    </row>
    <row r="222" spans="11:12" x14ac:dyDescent="0.2">
      <c r="K222">
        <v>7598</v>
      </c>
      <c r="L222">
        <v>7160.31</v>
      </c>
    </row>
    <row r="223" spans="11:12" x14ac:dyDescent="0.2">
      <c r="K223">
        <v>23229</v>
      </c>
      <c r="L223">
        <v>40232.19</v>
      </c>
    </row>
    <row r="224" spans="11:12" x14ac:dyDescent="0.2">
      <c r="K224">
        <v>8823</v>
      </c>
      <c r="L224">
        <v>3537.6</v>
      </c>
    </row>
    <row r="225" spans="11:12" x14ac:dyDescent="0.2">
      <c r="K225">
        <v>12810</v>
      </c>
      <c r="L225">
        <v>9269.4</v>
      </c>
    </row>
    <row r="226" spans="11:12" x14ac:dyDescent="0.2">
      <c r="K226">
        <v>50505</v>
      </c>
      <c r="L226">
        <v>55410.23</v>
      </c>
    </row>
    <row r="227" spans="11:12" x14ac:dyDescent="0.2">
      <c r="K227">
        <v>3116</v>
      </c>
      <c r="L227">
        <v>75489.490000000005</v>
      </c>
    </row>
    <row r="228" spans="11:12" x14ac:dyDescent="0.2">
      <c r="K228">
        <v>37575</v>
      </c>
      <c r="L228">
        <v>74179.44</v>
      </c>
    </row>
    <row r="229" spans="11:12" x14ac:dyDescent="0.2">
      <c r="K229">
        <v>30979</v>
      </c>
      <c r="L229">
        <v>11431.97</v>
      </c>
    </row>
    <row r="230" spans="11:12" x14ac:dyDescent="0.2">
      <c r="K230">
        <v>32135</v>
      </c>
      <c r="L230">
        <v>79621.34</v>
      </c>
    </row>
    <row r="231" spans="11:12" x14ac:dyDescent="0.2">
      <c r="K231">
        <v>16757</v>
      </c>
      <c r="L231">
        <v>74208.97</v>
      </c>
    </row>
    <row r="232" spans="11:12" x14ac:dyDescent="0.2">
      <c r="K232">
        <v>41872</v>
      </c>
      <c r="L232">
        <v>54779.6</v>
      </c>
    </row>
    <row r="233" spans="11:12" x14ac:dyDescent="0.2">
      <c r="K233">
        <v>13377</v>
      </c>
      <c r="L233">
        <v>23557.27</v>
      </c>
    </row>
    <row r="234" spans="11:12" x14ac:dyDescent="0.2">
      <c r="K234">
        <v>8584</v>
      </c>
      <c r="L234">
        <v>84064.47</v>
      </c>
    </row>
    <row r="235" spans="11:12" x14ac:dyDescent="0.2">
      <c r="K235">
        <v>612</v>
      </c>
      <c r="L235">
        <v>28855.88</v>
      </c>
    </row>
    <row r="236" spans="11:12" x14ac:dyDescent="0.2">
      <c r="K236">
        <v>93270</v>
      </c>
      <c r="L236">
        <v>1984.81</v>
      </c>
    </row>
    <row r="237" spans="11:12" x14ac:dyDescent="0.2">
      <c r="K237">
        <v>11425</v>
      </c>
      <c r="L237">
        <v>80821.23</v>
      </c>
    </row>
    <row r="238" spans="11:12" x14ac:dyDescent="0.2">
      <c r="K238">
        <v>58356</v>
      </c>
      <c r="L238">
        <v>46126.22</v>
      </c>
    </row>
    <row r="239" spans="11:12" x14ac:dyDescent="0.2">
      <c r="K239">
        <v>32906</v>
      </c>
      <c r="L239">
        <v>29459.27</v>
      </c>
    </row>
    <row r="240" spans="11:12" x14ac:dyDescent="0.2">
      <c r="K240">
        <v>7009</v>
      </c>
      <c r="L240">
        <v>74303.679999999993</v>
      </c>
    </row>
    <row r="241" spans="11:12" x14ac:dyDescent="0.2">
      <c r="K241">
        <v>5026</v>
      </c>
      <c r="L241">
        <v>51392.86</v>
      </c>
    </row>
    <row r="242" spans="11:12" x14ac:dyDescent="0.2">
      <c r="K242">
        <v>18884</v>
      </c>
      <c r="L242">
        <v>35517.21</v>
      </c>
    </row>
    <row r="243" spans="11:12" x14ac:dyDescent="0.2">
      <c r="K243">
        <v>31835</v>
      </c>
      <c r="L243">
        <v>97125.07</v>
      </c>
    </row>
    <row r="244" spans="11:12" x14ac:dyDescent="0.2">
      <c r="K244">
        <v>38210</v>
      </c>
      <c r="L244">
        <v>24126.65</v>
      </c>
    </row>
    <row r="245" spans="11:12" x14ac:dyDescent="0.2">
      <c r="K245">
        <v>38053</v>
      </c>
      <c r="L245">
        <v>32246.09</v>
      </c>
    </row>
    <row r="246" spans="11:12" x14ac:dyDescent="0.2">
      <c r="K246">
        <v>14966</v>
      </c>
      <c r="L246">
        <v>25400.77</v>
      </c>
    </row>
    <row r="247" spans="11:12" x14ac:dyDescent="0.2">
      <c r="K247">
        <v>54124</v>
      </c>
      <c r="L247">
        <v>93809.82</v>
      </c>
    </row>
    <row r="248" spans="11:12" x14ac:dyDescent="0.2">
      <c r="K248">
        <v>18855</v>
      </c>
      <c r="L248">
        <v>59693.48</v>
      </c>
    </row>
    <row r="249" spans="11:12" x14ac:dyDescent="0.2">
      <c r="K249">
        <v>2368</v>
      </c>
      <c r="L249">
        <v>93351.79</v>
      </c>
    </row>
    <row r="250" spans="11:12" x14ac:dyDescent="0.2">
      <c r="K250">
        <v>20155</v>
      </c>
      <c r="L250">
        <v>69462.86</v>
      </c>
    </row>
    <row r="251" spans="11:12" x14ac:dyDescent="0.2">
      <c r="K251">
        <v>1501</v>
      </c>
      <c r="L251">
        <v>87067.26</v>
      </c>
    </row>
    <row r="252" spans="11:12" x14ac:dyDescent="0.2">
      <c r="K252">
        <v>13075</v>
      </c>
      <c r="L252">
        <v>70039.62</v>
      </c>
    </row>
    <row r="253" spans="11:12" x14ac:dyDescent="0.2">
      <c r="K253">
        <v>5166</v>
      </c>
      <c r="L253">
        <v>55380.89</v>
      </c>
    </row>
    <row r="254" spans="11:12" x14ac:dyDescent="0.2">
      <c r="K254">
        <v>264</v>
      </c>
      <c r="L254">
        <v>82070.850000000006</v>
      </c>
    </row>
    <row r="255" spans="11:12" x14ac:dyDescent="0.2">
      <c r="K255">
        <v>21250</v>
      </c>
      <c r="L255">
        <v>63544.72</v>
      </c>
    </row>
    <row r="256" spans="11:12" x14ac:dyDescent="0.2">
      <c r="K256">
        <v>6849</v>
      </c>
      <c r="L256">
        <v>44234.47</v>
      </c>
    </row>
    <row r="257" spans="11:12" x14ac:dyDescent="0.2">
      <c r="K257">
        <v>33284</v>
      </c>
      <c r="L257">
        <v>61753.67</v>
      </c>
    </row>
    <row r="258" spans="11:12" x14ac:dyDescent="0.2">
      <c r="K258">
        <v>16581</v>
      </c>
      <c r="L258">
        <v>70697.41</v>
      </c>
    </row>
    <row r="259" spans="11:12" x14ac:dyDescent="0.2">
      <c r="K259">
        <v>17300</v>
      </c>
      <c r="L259">
        <v>95953.88</v>
      </c>
    </row>
    <row r="260" spans="11:12" x14ac:dyDescent="0.2">
      <c r="K260">
        <v>1857</v>
      </c>
      <c r="L260">
        <v>59886.62</v>
      </c>
    </row>
    <row r="261" spans="11:12" x14ac:dyDescent="0.2">
      <c r="K261">
        <v>45856</v>
      </c>
      <c r="L261">
        <v>63974.58</v>
      </c>
    </row>
    <row r="262" spans="11:12" x14ac:dyDescent="0.2">
      <c r="K262">
        <v>16301</v>
      </c>
      <c r="L262">
        <v>43115.58</v>
      </c>
    </row>
    <row r="263" spans="11:12" x14ac:dyDescent="0.2">
      <c r="K263">
        <v>5413</v>
      </c>
      <c r="L263">
        <v>9557.11</v>
      </c>
    </row>
    <row r="264" spans="11:12" x14ac:dyDescent="0.2">
      <c r="K264">
        <v>17387</v>
      </c>
      <c r="L264">
        <v>74255.990000000005</v>
      </c>
    </row>
    <row r="265" spans="11:12" x14ac:dyDescent="0.2">
      <c r="K265">
        <v>25345</v>
      </c>
      <c r="L265">
        <v>99909.8</v>
      </c>
    </row>
    <row r="266" spans="11:12" x14ac:dyDescent="0.2">
      <c r="K266">
        <v>31988</v>
      </c>
      <c r="L266">
        <v>23454.35</v>
      </c>
    </row>
    <row r="267" spans="11:12" x14ac:dyDescent="0.2">
      <c r="K267">
        <v>6370</v>
      </c>
      <c r="L267">
        <v>4507.16</v>
      </c>
    </row>
    <row r="268" spans="11:12" x14ac:dyDescent="0.2">
      <c r="K268">
        <v>46497</v>
      </c>
      <c r="L268">
        <v>65663.14</v>
      </c>
    </row>
    <row r="269" spans="11:12" x14ac:dyDescent="0.2">
      <c r="K269">
        <v>207</v>
      </c>
      <c r="L269">
        <v>29163.72</v>
      </c>
    </row>
    <row r="270" spans="11:12" x14ac:dyDescent="0.2">
      <c r="K270">
        <v>1353</v>
      </c>
      <c r="L270">
        <v>68551.56</v>
      </c>
    </row>
    <row r="271" spans="11:12" x14ac:dyDescent="0.2">
      <c r="K271">
        <v>10679</v>
      </c>
      <c r="L271">
        <v>91222.77</v>
      </c>
    </row>
    <row r="272" spans="11:12" x14ac:dyDescent="0.2">
      <c r="K272">
        <v>17799</v>
      </c>
      <c r="L272">
        <v>17649.080000000002</v>
      </c>
    </row>
    <row r="273" spans="11:12" x14ac:dyDescent="0.2">
      <c r="K273">
        <v>2371</v>
      </c>
      <c r="L273">
        <v>72530.320000000007</v>
      </c>
    </row>
    <row r="274" spans="11:12" x14ac:dyDescent="0.2">
      <c r="K274">
        <v>83827</v>
      </c>
      <c r="L274">
        <v>48098.39</v>
      </c>
    </row>
    <row r="275" spans="11:12" x14ac:dyDescent="0.2">
      <c r="K275">
        <v>16752</v>
      </c>
      <c r="L275">
        <v>40053.89</v>
      </c>
    </row>
    <row r="276" spans="11:12" x14ac:dyDescent="0.2">
      <c r="K276">
        <v>27500</v>
      </c>
      <c r="L276">
        <v>37084.22</v>
      </c>
    </row>
    <row r="277" spans="11:12" x14ac:dyDescent="0.2">
      <c r="K277">
        <v>847</v>
      </c>
      <c r="L277">
        <v>7581.43</v>
      </c>
    </row>
    <row r="278" spans="11:12" x14ac:dyDescent="0.2">
      <c r="K278">
        <v>57530</v>
      </c>
      <c r="L278">
        <v>33546.83</v>
      </c>
    </row>
    <row r="279" spans="11:12" x14ac:dyDescent="0.2">
      <c r="K279">
        <v>29813</v>
      </c>
      <c r="L279">
        <v>95826.96</v>
      </c>
    </row>
    <row r="280" spans="11:12" x14ac:dyDescent="0.2">
      <c r="K280">
        <v>12128</v>
      </c>
      <c r="L280">
        <v>76718.710000000006</v>
      </c>
    </row>
    <row r="281" spans="11:12" x14ac:dyDescent="0.2">
      <c r="K281">
        <v>8050</v>
      </c>
      <c r="L281">
        <v>3683.55</v>
      </c>
    </row>
    <row r="282" spans="11:12" x14ac:dyDescent="0.2">
      <c r="K282">
        <v>18484</v>
      </c>
      <c r="L282">
        <v>87556.79</v>
      </c>
    </row>
    <row r="283" spans="11:12" x14ac:dyDescent="0.2">
      <c r="K283">
        <v>14041</v>
      </c>
      <c r="L283">
        <v>18570.03</v>
      </c>
    </row>
    <row r="284" spans="11:12" x14ac:dyDescent="0.2">
      <c r="K284">
        <v>45904</v>
      </c>
      <c r="L284">
        <v>18017.63</v>
      </c>
    </row>
    <row r="285" spans="11:12" x14ac:dyDescent="0.2">
      <c r="K285">
        <v>9638</v>
      </c>
      <c r="L285">
        <v>88252.28</v>
      </c>
    </row>
    <row r="286" spans="11:12" x14ac:dyDescent="0.2">
      <c r="K286">
        <v>24076</v>
      </c>
      <c r="L286">
        <v>18297.75</v>
      </c>
    </row>
    <row r="287" spans="11:12" x14ac:dyDescent="0.2">
      <c r="K287">
        <v>42188</v>
      </c>
      <c r="L287">
        <v>63655.48</v>
      </c>
    </row>
    <row r="288" spans="11:12" x14ac:dyDescent="0.2">
      <c r="K288">
        <v>34547</v>
      </c>
      <c r="L288">
        <v>73811.42</v>
      </c>
    </row>
    <row r="289" spans="11:12" x14ac:dyDescent="0.2">
      <c r="K289">
        <v>43854</v>
      </c>
      <c r="L289">
        <v>34346.129999999997</v>
      </c>
    </row>
    <row r="290" spans="11:12" x14ac:dyDescent="0.2">
      <c r="K290">
        <v>5500</v>
      </c>
      <c r="L290">
        <v>59431.19</v>
      </c>
    </row>
    <row r="291" spans="11:12" x14ac:dyDescent="0.2">
      <c r="K291">
        <v>6866</v>
      </c>
      <c r="L291">
        <v>73137.73</v>
      </c>
    </row>
    <row r="292" spans="11:12" x14ac:dyDescent="0.2">
      <c r="K292">
        <v>16649</v>
      </c>
      <c r="L292">
        <v>56791.040000000001</v>
      </c>
    </row>
    <row r="293" spans="11:12" x14ac:dyDescent="0.2">
      <c r="K293">
        <v>27681</v>
      </c>
      <c r="L293">
        <v>36597.64</v>
      </c>
    </row>
    <row r="294" spans="11:12" x14ac:dyDescent="0.2">
      <c r="K294">
        <v>5348</v>
      </c>
      <c r="L294">
        <v>21048.7</v>
      </c>
    </row>
    <row r="295" spans="11:12" x14ac:dyDescent="0.2">
      <c r="K295">
        <v>22588</v>
      </c>
      <c r="L295">
        <v>51188.26</v>
      </c>
    </row>
    <row r="296" spans="11:12" x14ac:dyDescent="0.2">
      <c r="K296">
        <v>2980</v>
      </c>
      <c r="L296">
        <v>13528.35</v>
      </c>
    </row>
    <row r="297" spans="11:12" x14ac:dyDescent="0.2">
      <c r="K297">
        <v>35153</v>
      </c>
      <c r="L297">
        <v>19048.93</v>
      </c>
    </row>
    <row r="298" spans="11:12" x14ac:dyDescent="0.2">
      <c r="K298">
        <v>18972</v>
      </c>
      <c r="L298">
        <v>88722.4</v>
      </c>
    </row>
    <row r="299" spans="11:12" x14ac:dyDescent="0.2">
      <c r="K299">
        <v>2091</v>
      </c>
      <c r="L299">
        <v>92646</v>
      </c>
    </row>
    <row r="300" spans="11:12" x14ac:dyDescent="0.2">
      <c r="K300">
        <v>17242</v>
      </c>
      <c r="L300">
        <v>44169.57</v>
      </c>
    </row>
    <row r="301" spans="11:12" x14ac:dyDescent="0.2">
      <c r="K301">
        <v>14653</v>
      </c>
      <c r="L301">
        <v>97146.41</v>
      </c>
    </row>
    <row r="302" spans="11:12" x14ac:dyDescent="0.2">
      <c r="K302">
        <v>1927</v>
      </c>
      <c r="L302">
        <v>98251.83</v>
      </c>
    </row>
    <row r="303" spans="11:12" x14ac:dyDescent="0.2">
      <c r="K303">
        <v>30956</v>
      </c>
      <c r="L303">
        <v>65911.06</v>
      </c>
    </row>
    <row r="304" spans="11:12" x14ac:dyDescent="0.2">
      <c r="K304">
        <v>73456</v>
      </c>
      <c r="L304">
        <v>59684.27</v>
      </c>
    </row>
    <row r="305" spans="11:12" x14ac:dyDescent="0.2">
      <c r="K305">
        <v>36709</v>
      </c>
      <c r="L305">
        <v>69874.17</v>
      </c>
    </row>
    <row r="306" spans="11:12" x14ac:dyDescent="0.2">
      <c r="K306">
        <v>7995</v>
      </c>
      <c r="L306">
        <v>99041.9</v>
      </c>
    </row>
    <row r="307" spans="11:12" x14ac:dyDescent="0.2">
      <c r="K307">
        <v>72619</v>
      </c>
      <c r="L307">
        <v>36558.29</v>
      </c>
    </row>
    <row r="308" spans="11:12" x14ac:dyDescent="0.2">
      <c r="K308">
        <v>2662</v>
      </c>
      <c r="L308">
        <v>92268.27</v>
      </c>
    </row>
    <row r="309" spans="11:12" x14ac:dyDescent="0.2">
      <c r="K309">
        <v>60882</v>
      </c>
      <c r="L309">
        <v>73920.600000000006</v>
      </c>
    </row>
    <row r="310" spans="11:12" x14ac:dyDescent="0.2">
      <c r="K310">
        <v>14697</v>
      </c>
      <c r="L310">
        <v>22392.68</v>
      </c>
    </row>
    <row r="311" spans="11:12" x14ac:dyDescent="0.2">
      <c r="K311">
        <v>74092</v>
      </c>
      <c r="L311">
        <v>67449.33</v>
      </c>
    </row>
    <row r="312" spans="11:12" x14ac:dyDescent="0.2">
      <c r="K312">
        <v>47892</v>
      </c>
      <c r="L312">
        <v>23968.97</v>
      </c>
    </row>
    <row r="313" spans="11:12" x14ac:dyDescent="0.2">
      <c r="K313">
        <v>39281</v>
      </c>
      <c r="L313">
        <v>40367.519999999997</v>
      </c>
    </row>
    <row r="314" spans="11:12" x14ac:dyDescent="0.2">
      <c r="K314">
        <v>13829</v>
      </c>
      <c r="L314">
        <v>88902.59</v>
      </c>
    </row>
    <row r="315" spans="11:12" x14ac:dyDescent="0.2">
      <c r="K315">
        <v>22266</v>
      </c>
      <c r="L315">
        <v>14236.43</v>
      </c>
    </row>
    <row r="316" spans="11:12" x14ac:dyDescent="0.2">
      <c r="K316">
        <v>2197</v>
      </c>
      <c r="L316">
        <v>66333.78</v>
      </c>
    </row>
    <row r="317" spans="11:12" x14ac:dyDescent="0.2">
      <c r="K317">
        <v>29762</v>
      </c>
      <c r="L317">
        <v>91453.36</v>
      </c>
    </row>
    <row r="318" spans="11:12" x14ac:dyDescent="0.2">
      <c r="K318">
        <v>7510</v>
      </c>
      <c r="L318">
        <v>28698.29</v>
      </c>
    </row>
    <row r="319" spans="11:12" x14ac:dyDescent="0.2">
      <c r="K319">
        <v>10970</v>
      </c>
      <c r="L319">
        <v>33204.49</v>
      </c>
    </row>
    <row r="320" spans="11:12" x14ac:dyDescent="0.2">
      <c r="K320">
        <v>33134</v>
      </c>
      <c r="L320">
        <v>54737.37</v>
      </c>
    </row>
    <row r="321" spans="11:12" x14ac:dyDescent="0.2">
      <c r="K321">
        <v>43360</v>
      </c>
      <c r="L321">
        <v>36160.550000000003</v>
      </c>
    </row>
    <row r="322" spans="11:12" x14ac:dyDescent="0.2">
      <c r="K322">
        <v>43344</v>
      </c>
      <c r="L322">
        <v>46813.72</v>
      </c>
    </row>
    <row r="323" spans="11:12" x14ac:dyDescent="0.2">
      <c r="K323">
        <v>54256</v>
      </c>
      <c r="L323">
        <v>36988.5</v>
      </c>
    </row>
    <row r="324" spans="11:12" x14ac:dyDescent="0.2">
      <c r="K324">
        <v>38444</v>
      </c>
      <c r="L324">
        <v>67143</v>
      </c>
    </row>
    <row r="325" spans="11:12" x14ac:dyDescent="0.2">
      <c r="K325">
        <v>19504</v>
      </c>
      <c r="L325">
        <v>51885.13</v>
      </c>
    </row>
    <row r="326" spans="11:12" x14ac:dyDescent="0.2">
      <c r="K326">
        <v>25141</v>
      </c>
      <c r="L326">
        <v>5211.03</v>
      </c>
    </row>
    <row r="327" spans="11:12" x14ac:dyDescent="0.2">
      <c r="K327">
        <v>48074</v>
      </c>
      <c r="L327">
        <v>3767.88</v>
      </c>
    </row>
    <row r="328" spans="11:12" x14ac:dyDescent="0.2">
      <c r="K328">
        <v>60573</v>
      </c>
      <c r="L328">
        <v>73951.06</v>
      </c>
    </row>
    <row r="329" spans="11:12" x14ac:dyDescent="0.2">
      <c r="K329">
        <v>5840</v>
      </c>
      <c r="L329">
        <v>39319.42</v>
      </c>
    </row>
    <row r="330" spans="11:12" x14ac:dyDescent="0.2">
      <c r="K330">
        <v>2180</v>
      </c>
      <c r="L330">
        <v>65503.1</v>
      </c>
    </row>
    <row r="331" spans="11:12" x14ac:dyDescent="0.2">
      <c r="K331">
        <v>28646</v>
      </c>
      <c r="L331">
        <v>88528.95</v>
      </c>
    </row>
    <row r="332" spans="11:12" x14ac:dyDescent="0.2">
      <c r="K332">
        <v>9401</v>
      </c>
      <c r="L332">
        <v>15173.38</v>
      </c>
    </row>
    <row r="333" spans="11:12" x14ac:dyDescent="0.2">
      <c r="K333">
        <v>16200</v>
      </c>
      <c r="L333">
        <v>56413.84</v>
      </c>
    </row>
    <row r="334" spans="11:12" x14ac:dyDescent="0.2">
      <c r="K334">
        <v>74676</v>
      </c>
      <c r="L334">
        <v>91962.03</v>
      </c>
    </row>
    <row r="335" spans="11:12" x14ac:dyDescent="0.2">
      <c r="K335">
        <v>7306</v>
      </c>
      <c r="L335">
        <v>99844.46</v>
      </c>
    </row>
    <row r="336" spans="11:12" x14ac:dyDescent="0.2">
      <c r="K336">
        <v>10590</v>
      </c>
      <c r="L336">
        <v>27991.119999999999</v>
      </c>
    </row>
    <row r="337" spans="11:12" x14ac:dyDescent="0.2">
      <c r="K337">
        <v>1333</v>
      </c>
      <c r="L337">
        <v>38554.46</v>
      </c>
    </row>
    <row r="338" spans="11:12" x14ac:dyDescent="0.2">
      <c r="K338">
        <v>8087</v>
      </c>
      <c r="L338">
        <v>39571.269999999997</v>
      </c>
    </row>
    <row r="339" spans="11:12" x14ac:dyDescent="0.2">
      <c r="K339">
        <v>7640</v>
      </c>
      <c r="L339">
        <v>88555.89</v>
      </c>
    </row>
    <row r="340" spans="11:12" x14ac:dyDescent="0.2">
      <c r="K340">
        <v>11014</v>
      </c>
      <c r="L340">
        <v>84008.85</v>
      </c>
    </row>
    <row r="341" spans="11:12" x14ac:dyDescent="0.2">
      <c r="K341">
        <v>1552</v>
      </c>
      <c r="L341">
        <v>73141.56</v>
      </c>
    </row>
    <row r="342" spans="11:12" x14ac:dyDescent="0.2">
      <c r="K342">
        <v>61320</v>
      </c>
      <c r="L342">
        <v>85075.29</v>
      </c>
    </row>
    <row r="343" spans="11:12" x14ac:dyDescent="0.2">
      <c r="K343">
        <v>17807</v>
      </c>
      <c r="L343">
        <v>82539.64</v>
      </c>
    </row>
    <row r="344" spans="11:12" x14ac:dyDescent="0.2">
      <c r="K344">
        <v>3287</v>
      </c>
      <c r="L344">
        <v>71144.490000000005</v>
      </c>
    </row>
    <row r="345" spans="11:12" x14ac:dyDescent="0.2">
      <c r="K345">
        <v>8738</v>
      </c>
      <c r="L345">
        <v>39237.56</v>
      </c>
    </row>
    <row r="346" spans="11:12" x14ac:dyDescent="0.2">
      <c r="K346">
        <v>33463</v>
      </c>
      <c r="L346">
        <v>29281.23</v>
      </c>
    </row>
    <row r="347" spans="11:12" x14ac:dyDescent="0.2">
      <c r="K347">
        <v>7261</v>
      </c>
      <c r="L347">
        <v>20975.22</v>
      </c>
    </row>
    <row r="348" spans="11:12" x14ac:dyDescent="0.2">
      <c r="K348">
        <v>38176</v>
      </c>
      <c r="L348">
        <v>27341.33</v>
      </c>
    </row>
    <row r="349" spans="11:12" x14ac:dyDescent="0.2">
      <c r="K349">
        <v>23811</v>
      </c>
      <c r="L349">
        <v>20681.57</v>
      </c>
    </row>
    <row r="350" spans="11:12" x14ac:dyDescent="0.2">
      <c r="K350">
        <v>2123</v>
      </c>
      <c r="L350">
        <v>4423.54</v>
      </c>
    </row>
    <row r="351" spans="11:12" x14ac:dyDescent="0.2">
      <c r="K351">
        <v>34966</v>
      </c>
      <c r="L351">
        <v>82080.789999999994</v>
      </c>
    </row>
    <row r="352" spans="11:12" x14ac:dyDescent="0.2">
      <c r="K352">
        <v>65313</v>
      </c>
      <c r="L352">
        <v>74527.16</v>
      </c>
    </row>
    <row r="353" spans="11:12" x14ac:dyDescent="0.2">
      <c r="K353">
        <v>61517</v>
      </c>
      <c r="L353">
        <v>79183.91</v>
      </c>
    </row>
    <row r="354" spans="11:12" x14ac:dyDescent="0.2">
      <c r="K354">
        <v>11606</v>
      </c>
      <c r="L354">
        <v>24107.03</v>
      </c>
    </row>
    <row r="355" spans="11:12" x14ac:dyDescent="0.2">
      <c r="K355">
        <v>15024</v>
      </c>
      <c r="L355">
        <v>24404.81</v>
      </c>
    </row>
    <row r="356" spans="11:12" x14ac:dyDescent="0.2">
      <c r="K356">
        <v>42</v>
      </c>
      <c r="L356">
        <v>49459.42</v>
      </c>
    </row>
    <row r="357" spans="11:12" x14ac:dyDescent="0.2">
      <c r="K357">
        <v>20658</v>
      </c>
      <c r="L357">
        <v>26821.58</v>
      </c>
    </row>
    <row r="358" spans="11:12" x14ac:dyDescent="0.2">
      <c r="K358">
        <v>15971</v>
      </c>
      <c r="L358">
        <v>22237.97</v>
      </c>
    </row>
    <row r="359" spans="11:12" x14ac:dyDescent="0.2">
      <c r="K359">
        <v>41295</v>
      </c>
      <c r="L359">
        <v>50990.21</v>
      </c>
    </row>
    <row r="360" spans="11:12" x14ac:dyDescent="0.2">
      <c r="K360">
        <v>3472</v>
      </c>
      <c r="L360">
        <v>20044.75</v>
      </c>
    </row>
    <row r="361" spans="11:12" x14ac:dyDescent="0.2">
      <c r="K361">
        <v>9811</v>
      </c>
      <c r="L361">
        <v>59386.84</v>
      </c>
    </row>
    <row r="362" spans="11:12" x14ac:dyDescent="0.2">
      <c r="K362">
        <v>3055</v>
      </c>
      <c r="L362">
        <v>79219.360000000001</v>
      </c>
    </row>
    <row r="363" spans="11:12" x14ac:dyDescent="0.2">
      <c r="K363">
        <v>10279</v>
      </c>
      <c r="L363">
        <v>17378.310000000001</v>
      </c>
    </row>
    <row r="364" spans="11:12" x14ac:dyDescent="0.2">
      <c r="K364">
        <v>12388</v>
      </c>
      <c r="L364">
        <v>52975.3</v>
      </c>
    </row>
    <row r="365" spans="11:12" x14ac:dyDescent="0.2">
      <c r="K365">
        <v>9191</v>
      </c>
      <c r="L365">
        <v>65956.160000000003</v>
      </c>
    </row>
    <row r="366" spans="11:12" x14ac:dyDescent="0.2">
      <c r="K366">
        <v>19564</v>
      </c>
      <c r="L366">
        <v>59105.98</v>
      </c>
    </row>
    <row r="367" spans="11:12" x14ac:dyDescent="0.2">
      <c r="K367">
        <v>6177</v>
      </c>
      <c r="L367">
        <v>96562.93</v>
      </c>
    </row>
    <row r="368" spans="11:12" x14ac:dyDescent="0.2">
      <c r="K368">
        <v>2216</v>
      </c>
      <c r="L368">
        <v>70279.41</v>
      </c>
    </row>
    <row r="369" spans="11:12" x14ac:dyDescent="0.2">
      <c r="K369">
        <v>5820</v>
      </c>
      <c r="L369">
        <v>52708.12</v>
      </c>
    </row>
    <row r="370" spans="11:12" x14ac:dyDescent="0.2">
      <c r="K370">
        <v>67406</v>
      </c>
      <c r="L370">
        <v>96248.35</v>
      </c>
    </row>
    <row r="371" spans="11:12" x14ac:dyDescent="0.2">
      <c r="K371">
        <v>7973</v>
      </c>
      <c r="L371">
        <v>17298.97</v>
      </c>
    </row>
    <row r="372" spans="11:12" x14ac:dyDescent="0.2">
      <c r="K372">
        <v>46675</v>
      </c>
      <c r="L372">
        <v>70643.179999999993</v>
      </c>
    </row>
    <row r="373" spans="11:12" x14ac:dyDescent="0.2">
      <c r="K373">
        <v>10708</v>
      </c>
      <c r="L373">
        <v>12796.48</v>
      </c>
    </row>
    <row r="374" spans="11:12" x14ac:dyDescent="0.2">
      <c r="K374">
        <v>208</v>
      </c>
      <c r="L374">
        <v>24137.200000000001</v>
      </c>
    </row>
    <row r="375" spans="11:12" x14ac:dyDescent="0.2">
      <c r="K375">
        <v>29642</v>
      </c>
      <c r="L375">
        <v>9382.36</v>
      </c>
    </row>
    <row r="376" spans="11:12" x14ac:dyDescent="0.2">
      <c r="K376">
        <v>53920</v>
      </c>
      <c r="L376">
        <v>69759.81</v>
      </c>
    </row>
    <row r="377" spans="11:12" x14ac:dyDescent="0.2">
      <c r="K377">
        <v>26757</v>
      </c>
      <c r="L377">
        <v>85776.71</v>
      </c>
    </row>
    <row r="378" spans="11:12" x14ac:dyDescent="0.2">
      <c r="K378">
        <v>39877</v>
      </c>
      <c r="L378">
        <v>40955.129999999997</v>
      </c>
    </row>
    <row r="379" spans="11:12" x14ac:dyDescent="0.2">
      <c r="K379">
        <v>32532</v>
      </c>
      <c r="L379">
        <v>5795.58</v>
      </c>
    </row>
    <row r="380" spans="11:12" x14ac:dyDescent="0.2">
      <c r="K380">
        <v>2543</v>
      </c>
      <c r="L380">
        <v>79795.63</v>
      </c>
    </row>
    <row r="381" spans="11:12" x14ac:dyDescent="0.2">
      <c r="K381">
        <v>4334</v>
      </c>
      <c r="L381">
        <v>36331.120000000003</v>
      </c>
    </row>
    <row r="382" spans="11:12" x14ac:dyDescent="0.2">
      <c r="K382">
        <v>43634</v>
      </c>
      <c r="L382">
        <v>20255.29</v>
      </c>
    </row>
    <row r="383" spans="11:12" x14ac:dyDescent="0.2">
      <c r="K383">
        <v>44477</v>
      </c>
      <c r="L383">
        <v>27628.31</v>
      </c>
    </row>
    <row r="384" spans="11:12" x14ac:dyDescent="0.2">
      <c r="K384">
        <v>28198</v>
      </c>
      <c r="L384">
        <v>63491.73</v>
      </c>
    </row>
    <row r="385" spans="11:12" x14ac:dyDescent="0.2">
      <c r="K385">
        <v>53760</v>
      </c>
      <c r="L385">
        <v>45473.04</v>
      </c>
    </row>
    <row r="386" spans="11:12" x14ac:dyDescent="0.2">
      <c r="K386">
        <v>24949</v>
      </c>
      <c r="L386">
        <v>63891.24</v>
      </c>
    </row>
    <row r="387" spans="11:12" x14ac:dyDescent="0.2">
      <c r="K387">
        <v>1475</v>
      </c>
      <c r="L387">
        <v>59476.32</v>
      </c>
    </row>
    <row r="388" spans="11:12" x14ac:dyDescent="0.2">
      <c r="K388">
        <v>15648</v>
      </c>
      <c r="L388">
        <v>39220</v>
      </c>
    </row>
    <row r="389" spans="11:12" x14ac:dyDescent="0.2">
      <c r="K389">
        <v>26006</v>
      </c>
      <c r="L389">
        <v>36850.050000000003</v>
      </c>
    </row>
    <row r="390" spans="11:12" x14ac:dyDescent="0.2">
      <c r="K390">
        <v>17013</v>
      </c>
      <c r="L390">
        <v>67102.39</v>
      </c>
    </row>
    <row r="391" spans="11:12" x14ac:dyDescent="0.2">
      <c r="K391">
        <v>2557</v>
      </c>
      <c r="L391">
        <v>39119.61</v>
      </c>
    </row>
    <row r="392" spans="11:12" x14ac:dyDescent="0.2">
      <c r="K392">
        <v>6481</v>
      </c>
      <c r="L392">
        <v>15326.38</v>
      </c>
    </row>
    <row r="393" spans="11:12" x14ac:dyDescent="0.2">
      <c r="K393">
        <v>39994</v>
      </c>
      <c r="L393">
        <v>69092.179999999993</v>
      </c>
    </row>
    <row r="394" spans="11:12" x14ac:dyDescent="0.2">
      <c r="K394">
        <v>14480</v>
      </c>
      <c r="L394">
        <v>79922.66</v>
      </c>
    </row>
    <row r="395" spans="11:12" x14ac:dyDescent="0.2">
      <c r="K395">
        <v>43477</v>
      </c>
      <c r="L395">
        <v>87359.06</v>
      </c>
    </row>
    <row r="396" spans="11:12" x14ac:dyDescent="0.2">
      <c r="K396">
        <v>32082</v>
      </c>
      <c r="L396">
        <v>32101.32</v>
      </c>
    </row>
    <row r="397" spans="11:12" x14ac:dyDescent="0.2">
      <c r="K397">
        <v>32799</v>
      </c>
      <c r="L397">
        <v>31057</v>
      </c>
    </row>
    <row r="398" spans="11:12" x14ac:dyDescent="0.2">
      <c r="K398">
        <v>46174</v>
      </c>
      <c r="L398">
        <v>51603.55</v>
      </c>
    </row>
    <row r="399" spans="11:12" x14ac:dyDescent="0.2">
      <c r="K399">
        <v>12467</v>
      </c>
      <c r="L399">
        <v>67974.38</v>
      </c>
    </row>
    <row r="400" spans="11:12" x14ac:dyDescent="0.2">
      <c r="K400">
        <v>6766</v>
      </c>
      <c r="L400">
        <v>99217.55</v>
      </c>
    </row>
    <row r="401" spans="11:12" x14ac:dyDescent="0.2">
      <c r="K401">
        <v>11400</v>
      </c>
      <c r="L401">
        <v>4300.99</v>
      </c>
    </row>
    <row r="402" spans="11:12" x14ac:dyDescent="0.2">
      <c r="K402">
        <v>37311</v>
      </c>
      <c r="L402">
        <v>23259.64</v>
      </c>
    </row>
    <row r="403" spans="11:12" x14ac:dyDescent="0.2">
      <c r="K403">
        <v>16503</v>
      </c>
      <c r="L403">
        <v>56164.160000000003</v>
      </c>
    </row>
    <row r="404" spans="11:12" x14ac:dyDescent="0.2">
      <c r="K404">
        <v>47317</v>
      </c>
      <c r="L404">
        <v>23223.45</v>
      </c>
    </row>
    <row r="405" spans="11:12" x14ac:dyDescent="0.2">
      <c r="K405">
        <v>34749</v>
      </c>
      <c r="L405">
        <v>85310.74</v>
      </c>
    </row>
    <row r="406" spans="11:12" x14ac:dyDescent="0.2">
      <c r="K406">
        <v>42294</v>
      </c>
      <c r="L406">
        <v>67500.38</v>
      </c>
    </row>
    <row r="407" spans="11:12" x14ac:dyDescent="0.2">
      <c r="K407">
        <v>32493</v>
      </c>
      <c r="L407">
        <v>6737.32</v>
      </c>
    </row>
    <row r="408" spans="11:12" x14ac:dyDescent="0.2">
      <c r="K408">
        <v>16263</v>
      </c>
      <c r="L408">
        <v>96393.09</v>
      </c>
    </row>
    <row r="409" spans="11:12" x14ac:dyDescent="0.2">
      <c r="K409">
        <v>3044</v>
      </c>
      <c r="L409">
        <v>20455.560000000001</v>
      </c>
    </row>
    <row r="410" spans="11:12" x14ac:dyDescent="0.2">
      <c r="K410">
        <v>61343</v>
      </c>
      <c r="L410">
        <v>9682.26</v>
      </c>
    </row>
    <row r="411" spans="11:12" x14ac:dyDescent="0.2">
      <c r="K411">
        <v>24645</v>
      </c>
      <c r="L411">
        <v>9153.18</v>
      </c>
    </row>
    <row r="412" spans="11:12" x14ac:dyDescent="0.2">
      <c r="K412">
        <v>13032</v>
      </c>
      <c r="L412">
        <v>34304.79</v>
      </c>
    </row>
    <row r="413" spans="11:12" x14ac:dyDescent="0.2">
      <c r="K413">
        <v>3890</v>
      </c>
      <c r="L413">
        <v>11748.81</v>
      </c>
    </row>
    <row r="414" spans="11:12" x14ac:dyDescent="0.2">
      <c r="K414">
        <v>9635</v>
      </c>
      <c r="L414">
        <v>23364.400000000001</v>
      </c>
    </row>
    <row r="415" spans="11:12" x14ac:dyDescent="0.2">
      <c r="K415">
        <v>26909</v>
      </c>
      <c r="L415">
        <v>77346.080000000002</v>
      </c>
    </row>
    <row r="416" spans="11:12" x14ac:dyDescent="0.2">
      <c r="K416">
        <v>16382</v>
      </c>
      <c r="L416">
        <v>30770.42</v>
      </c>
    </row>
    <row r="417" spans="11:12" x14ac:dyDescent="0.2">
      <c r="K417">
        <v>54737</v>
      </c>
      <c r="L417">
        <v>92615.49</v>
      </c>
    </row>
    <row r="418" spans="11:12" x14ac:dyDescent="0.2">
      <c r="K418">
        <v>30376</v>
      </c>
      <c r="L418">
        <v>34573.96</v>
      </c>
    </row>
    <row r="419" spans="11:12" x14ac:dyDescent="0.2">
      <c r="K419">
        <v>58022</v>
      </c>
      <c r="L419">
        <v>44574.53</v>
      </c>
    </row>
    <row r="420" spans="11:12" x14ac:dyDescent="0.2">
      <c r="K420">
        <v>6324</v>
      </c>
      <c r="L420">
        <v>68021.11</v>
      </c>
    </row>
    <row r="421" spans="11:12" x14ac:dyDescent="0.2">
      <c r="K421">
        <v>59998</v>
      </c>
      <c r="L421">
        <v>64463.48</v>
      </c>
    </row>
    <row r="422" spans="11:12" x14ac:dyDescent="0.2">
      <c r="K422">
        <v>74700</v>
      </c>
      <c r="L422">
        <v>84357.41</v>
      </c>
    </row>
    <row r="423" spans="11:12" x14ac:dyDescent="0.2">
      <c r="K423">
        <v>14917</v>
      </c>
      <c r="L423">
        <v>8100.14</v>
      </c>
    </row>
    <row r="424" spans="11:12" x14ac:dyDescent="0.2">
      <c r="K424">
        <v>52981</v>
      </c>
      <c r="L424">
        <v>19206.830000000002</v>
      </c>
    </row>
    <row r="425" spans="11:12" x14ac:dyDescent="0.2">
      <c r="K425">
        <v>20925</v>
      </c>
      <c r="L425">
        <v>31920.87</v>
      </c>
    </row>
    <row r="426" spans="11:12" x14ac:dyDescent="0.2">
      <c r="K426">
        <v>43927</v>
      </c>
      <c r="L426">
        <v>51400.77</v>
      </c>
    </row>
    <row r="427" spans="11:12" x14ac:dyDescent="0.2">
      <c r="K427">
        <v>25405</v>
      </c>
      <c r="L427">
        <v>31968.98</v>
      </c>
    </row>
    <row r="428" spans="11:12" x14ac:dyDescent="0.2">
      <c r="K428">
        <v>6452</v>
      </c>
      <c r="L428">
        <v>34655.93</v>
      </c>
    </row>
    <row r="429" spans="11:12" x14ac:dyDescent="0.2">
      <c r="K429">
        <v>23157</v>
      </c>
      <c r="L429">
        <v>9226.3700000000008</v>
      </c>
    </row>
    <row r="430" spans="11:12" x14ac:dyDescent="0.2">
      <c r="K430">
        <v>36768</v>
      </c>
      <c r="L430">
        <v>98115.71</v>
      </c>
    </row>
    <row r="431" spans="11:12" x14ac:dyDescent="0.2">
      <c r="K431">
        <v>6361</v>
      </c>
      <c r="L431">
        <v>4568.13</v>
      </c>
    </row>
    <row r="432" spans="11:12" x14ac:dyDescent="0.2">
      <c r="K432">
        <v>6747</v>
      </c>
      <c r="L432">
        <v>17963.29</v>
      </c>
    </row>
    <row r="433" spans="11:12" x14ac:dyDescent="0.2">
      <c r="K433">
        <v>22687</v>
      </c>
      <c r="L433">
        <v>3221.17</v>
      </c>
    </row>
    <row r="434" spans="11:12" x14ac:dyDescent="0.2">
      <c r="K434">
        <v>34958</v>
      </c>
      <c r="L434">
        <v>48198.62</v>
      </c>
    </row>
    <row r="435" spans="11:12" x14ac:dyDescent="0.2">
      <c r="K435">
        <v>2309</v>
      </c>
      <c r="L435">
        <v>10180.969999999999</v>
      </c>
    </row>
    <row r="436" spans="11:12" x14ac:dyDescent="0.2">
      <c r="K436">
        <v>20063</v>
      </c>
      <c r="L436">
        <v>57100.44</v>
      </c>
    </row>
    <row r="437" spans="11:12" x14ac:dyDescent="0.2">
      <c r="K437">
        <v>12511</v>
      </c>
      <c r="L437">
        <v>38278.410000000003</v>
      </c>
    </row>
    <row r="438" spans="11:12" x14ac:dyDescent="0.2">
      <c r="K438">
        <v>49575</v>
      </c>
      <c r="L438">
        <v>71952.03</v>
      </c>
    </row>
    <row r="439" spans="11:12" x14ac:dyDescent="0.2">
      <c r="K439">
        <v>81084</v>
      </c>
      <c r="L439">
        <v>66030.600000000006</v>
      </c>
    </row>
    <row r="440" spans="11:12" x14ac:dyDescent="0.2">
      <c r="K440">
        <v>3183</v>
      </c>
      <c r="L440">
        <v>1420.55</v>
      </c>
    </row>
    <row r="441" spans="11:12" x14ac:dyDescent="0.2">
      <c r="K441">
        <v>35787</v>
      </c>
      <c r="L441">
        <v>51055.18</v>
      </c>
    </row>
    <row r="442" spans="11:12" x14ac:dyDescent="0.2">
      <c r="K442">
        <v>1355</v>
      </c>
      <c r="L442">
        <v>86482.23</v>
      </c>
    </row>
    <row r="443" spans="11:12" x14ac:dyDescent="0.2">
      <c r="K443">
        <v>37021</v>
      </c>
      <c r="L443">
        <v>31952.36</v>
      </c>
    </row>
    <row r="444" spans="11:12" x14ac:dyDescent="0.2">
      <c r="K444">
        <v>2504</v>
      </c>
      <c r="L444">
        <v>72376.800000000003</v>
      </c>
    </row>
    <row r="445" spans="11:12" x14ac:dyDescent="0.2">
      <c r="K445">
        <v>75908</v>
      </c>
      <c r="L445">
        <v>27117.56</v>
      </c>
    </row>
    <row r="446" spans="11:12" x14ac:dyDescent="0.2">
      <c r="K446">
        <v>50462</v>
      </c>
      <c r="L446">
        <v>48291.19</v>
      </c>
    </row>
    <row r="447" spans="11:12" x14ac:dyDescent="0.2">
      <c r="K447">
        <v>29218</v>
      </c>
      <c r="L447">
        <v>5831.19</v>
      </c>
    </row>
    <row r="448" spans="11:12" x14ac:dyDescent="0.2">
      <c r="K448">
        <v>31317</v>
      </c>
      <c r="L448">
        <v>36278.300000000003</v>
      </c>
    </row>
    <row r="449" spans="11:12" x14ac:dyDescent="0.2">
      <c r="K449">
        <v>9939</v>
      </c>
      <c r="L449">
        <v>79200.53</v>
      </c>
    </row>
    <row r="450" spans="11:12" x14ac:dyDescent="0.2">
      <c r="K450">
        <v>10594</v>
      </c>
      <c r="L450">
        <v>80601.02</v>
      </c>
    </row>
    <row r="451" spans="11:12" x14ac:dyDescent="0.2">
      <c r="K451">
        <v>52210</v>
      </c>
      <c r="L451">
        <v>60696.11</v>
      </c>
    </row>
    <row r="452" spans="11:12" x14ac:dyDescent="0.2">
      <c r="K452">
        <v>19626</v>
      </c>
      <c r="L452">
        <v>79848.78</v>
      </c>
    </row>
    <row r="453" spans="11:12" x14ac:dyDescent="0.2">
      <c r="K453">
        <v>61819</v>
      </c>
      <c r="L453">
        <v>73769.350000000006</v>
      </c>
    </row>
    <row r="454" spans="11:12" x14ac:dyDescent="0.2">
      <c r="K454">
        <v>11623</v>
      </c>
      <c r="L454">
        <v>51310.73</v>
      </c>
    </row>
    <row r="455" spans="11:12" x14ac:dyDescent="0.2">
      <c r="K455">
        <v>12224</v>
      </c>
      <c r="L455">
        <v>541.48</v>
      </c>
    </row>
    <row r="456" spans="11:12" x14ac:dyDescent="0.2">
      <c r="K456">
        <v>1996</v>
      </c>
      <c r="L456">
        <v>22065.69</v>
      </c>
    </row>
    <row r="457" spans="11:12" x14ac:dyDescent="0.2">
      <c r="K457">
        <v>8111</v>
      </c>
      <c r="L457">
        <v>89357.38</v>
      </c>
    </row>
    <row r="458" spans="11:12" x14ac:dyDescent="0.2">
      <c r="K458">
        <v>9633</v>
      </c>
      <c r="L458">
        <v>77158.81</v>
      </c>
    </row>
    <row r="459" spans="11:12" x14ac:dyDescent="0.2">
      <c r="K459">
        <v>20716</v>
      </c>
      <c r="L459">
        <v>89538.72</v>
      </c>
    </row>
    <row r="460" spans="11:12" x14ac:dyDescent="0.2">
      <c r="K460">
        <v>9324</v>
      </c>
      <c r="L460">
        <v>82054.7</v>
      </c>
    </row>
    <row r="461" spans="11:12" x14ac:dyDescent="0.2">
      <c r="K461">
        <v>78400</v>
      </c>
      <c r="L461">
        <v>64328.480000000003</v>
      </c>
    </row>
    <row r="462" spans="11:12" x14ac:dyDescent="0.2">
      <c r="K462">
        <v>6560</v>
      </c>
      <c r="L462">
        <v>75589.350000000006</v>
      </c>
    </row>
    <row r="463" spans="11:12" x14ac:dyDescent="0.2">
      <c r="K463">
        <v>17079</v>
      </c>
      <c r="L463">
        <v>23450.76</v>
      </c>
    </row>
    <row r="464" spans="11:12" x14ac:dyDescent="0.2">
      <c r="K464">
        <v>22248</v>
      </c>
      <c r="L464">
        <v>73130.3</v>
      </c>
    </row>
    <row r="465" spans="11:12" x14ac:dyDescent="0.2">
      <c r="K465">
        <v>227</v>
      </c>
      <c r="L465">
        <v>98444.97</v>
      </c>
    </row>
    <row r="466" spans="11:12" x14ac:dyDescent="0.2">
      <c r="K466">
        <v>19504</v>
      </c>
      <c r="L466">
        <v>50908.95</v>
      </c>
    </row>
    <row r="467" spans="11:12" x14ac:dyDescent="0.2">
      <c r="K467">
        <v>24317</v>
      </c>
      <c r="L467">
        <v>38484.22</v>
      </c>
    </row>
    <row r="468" spans="11:12" x14ac:dyDescent="0.2">
      <c r="K468">
        <v>33668</v>
      </c>
      <c r="L468">
        <v>8809.15</v>
      </c>
    </row>
    <row r="469" spans="11:12" x14ac:dyDescent="0.2">
      <c r="K469">
        <v>31620</v>
      </c>
      <c r="L469">
        <v>20372.91</v>
      </c>
    </row>
    <row r="470" spans="11:12" x14ac:dyDescent="0.2">
      <c r="K470">
        <v>59871</v>
      </c>
      <c r="L470">
        <v>25180.44</v>
      </c>
    </row>
    <row r="471" spans="11:12" x14ac:dyDescent="0.2">
      <c r="K471">
        <v>2654</v>
      </c>
      <c r="L471">
        <v>97061.11</v>
      </c>
    </row>
    <row r="472" spans="11:12" x14ac:dyDescent="0.2">
      <c r="K472">
        <v>11887</v>
      </c>
      <c r="L472">
        <v>5677.63</v>
      </c>
    </row>
    <row r="473" spans="11:12" x14ac:dyDescent="0.2">
      <c r="K473">
        <v>15615</v>
      </c>
      <c r="L473">
        <v>65718.61</v>
      </c>
    </row>
    <row r="474" spans="11:12" x14ac:dyDescent="0.2">
      <c r="K474">
        <v>54609</v>
      </c>
      <c r="L474">
        <v>47977.83</v>
      </c>
    </row>
    <row r="475" spans="11:12" x14ac:dyDescent="0.2">
      <c r="K475">
        <v>13753</v>
      </c>
      <c r="L475">
        <v>19139.060000000001</v>
      </c>
    </row>
    <row r="476" spans="11:12" x14ac:dyDescent="0.2">
      <c r="K476">
        <v>7736</v>
      </c>
      <c r="L476">
        <v>8413.35</v>
      </c>
    </row>
    <row r="477" spans="11:12" x14ac:dyDescent="0.2">
      <c r="K477">
        <v>9506</v>
      </c>
      <c r="L477">
        <v>26166.39</v>
      </c>
    </row>
    <row r="478" spans="11:12" x14ac:dyDescent="0.2">
      <c r="K478">
        <v>20641</v>
      </c>
      <c r="L478">
        <v>59175.23</v>
      </c>
    </row>
    <row r="479" spans="11:12" x14ac:dyDescent="0.2">
      <c r="K479">
        <v>1543</v>
      </c>
      <c r="L479">
        <v>40388.53</v>
      </c>
    </row>
    <row r="480" spans="11:12" x14ac:dyDescent="0.2">
      <c r="K480">
        <v>1562</v>
      </c>
      <c r="L480">
        <v>12925.25</v>
      </c>
    </row>
    <row r="481" spans="11:12" x14ac:dyDescent="0.2">
      <c r="K481">
        <v>6003</v>
      </c>
      <c r="L481">
        <v>62869.91</v>
      </c>
    </row>
    <row r="482" spans="11:12" x14ac:dyDescent="0.2">
      <c r="K482">
        <v>18491</v>
      </c>
      <c r="L482">
        <v>20293.580000000002</v>
      </c>
    </row>
    <row r="483" spans="11:12" x14ac:dyDescent="0.2">
      <c r="K483">
        <v>7651</v>
      </c>
      <c r="L483">
        <v>15011.92</v>
      </c>
    </row>
    <row r="484" spans="11:12" x14ac:dyDescent="0.2">
      <c r="K484">
        <v>21151</v>
      </c>
      <c r="L484">
        <v>46358.91</v>
      </c>
    </row>
    <row r="485" spans="11:12" x14ac:dyDescent="0.2">
      <c r="K485">
        <v>13511</v>
      </c>
      <c r="L485">
        <v>10604.13</v>
      </c>
    </row>
    <row r="486" spans="11:12" x14ac:dyDescent="0.2">
      <c r="K486">
        <v>50444</v>
      </c>
      <c r="L486">
        <v>41143.269999999997</v>
      </c>
    </row>
    <row r="487" spans="11:12" x14ac:dyDescent="0.2">
      <c r="K487">
        <v>13101</v>
      </c>
      <c r="L487">
        <v>64926.63</v>
      </c>
    </row>
    <row r="488" spans="11:12" x14ac:dyDescent="0.2">
      <c r="K488">
        <v>76722</v>
      </c>
      <c r="L488">
        <v>78920.78</v>
      </c>
    </row>
    <row r="489" spans="11:12" x14ac:dyDescent="0.2">
      <c r="K489">
        <v>9667</v>
      </c>
      <c r="L489">
        <v>24870.55</v>
      </c>
    </row>
    <row r="490" spans="11:12" x14ac:dyDescent="0.2">
      <c r="K490">
        <v>20257</v>
      </c>
      <c r="L490">
        <v>57132.21</v>
      </c>
    </row>
  </sheetData>
  <pageMargins left="0.75" right="0.75" top="1" bottom="1"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K208"/>
  <sheetViews>
    <sheetView zoomScaleNormal="100" workbookViewId="0"/>
  </sheetViews>
  <sheetFormatPr baseColWidth="10" defaultColWidth="8.6640625" defaultRowHeight="15" x14ac:dyDescent="0.2"/>
  <cols>
    <col min="2" max="2" width="60" customWidth="1"/>
  </cols>
  <sheetData>
    <row r="1" spans="1:37" x14ac:dyDescent="0.2">
      <c r="A1" t="s">
        <v>1480</v>
      </c>
    </row>
    <row r="3" spans="1:37" x14ac:dyDescent="0.2">
      <c r="A3" s="111" t="s">
        <v>80</v>
      </c>
      <c r="B3" s="111" t="s">
        <v>366</v>
      </c>
      <c r="C3" s="111" t="s">
        <v>189</v>
      </c>
      <c r="D3" s="111" t="s">
        <v>190</v>
      </c>
      <c r="E3" s="111" t="s">
        <v>191</v>
      </c>
      <c r="F3" s="111" t="s">
        <v>393</v>
      </c>
      <c r="G3" s="111" t="s">
        <v>356</v>
      </c>
      <c r="H3" s="111" t="s">
        <v>677</v>
      </c>
      <c r="I3" s="111" t="s">
        <v>1481</v>
      </c>
      <c r="J3" s="111" t="s">
        <v>673</v>
      </c>
      <c r="K3" s="111" t="s">
        <v>672</v>
      </c>
      <c r="L3" s="111" t="s">
        <v>1482</v>
      </c>
      <c r="N3" s="111" t="s">
        <v>1483</v>
      </c>
      <c r="O3" s="111" t="s">
        <v>1484</v>
      </c>
      <c r="P3" s="111" t="s">
        <v>1485</v>
      </c>
      <c r="Q3" s="111" t="s">
        <v>1486</v>
      </c>
      <c r="R3" s="111" t="s">
        <v>1487</v>
      </c>
      <c r="S3" s="111" t="s">
        <v>1488</v>
      </c>
      <c r="T3" s="111" t="s">
        <v>1489</v>
      </c>
      <c r="U3" s="111" t="s">
        <v>1490</v>
      </c>
      <c r="V3" s="111" t="s">
        <v>1491</v>
      </c>
      <c r="W3" s="111" t="s">
        <v>1492</v>
      </c>
      <c r="X3" s="111" t="s">
        <v>1493</v>
      </c>
      <c r="Y3" s="111" t="s">
        <v>1486</v>
      </c>
      <c r="Z3" s="111" t="s">
        <v>1487</v>
      </c>
      <c r="AA3" s="111" t="s">
        <v>1494</v>
      </c>
      <c r="AB3" s="111" t="s">
        <v>1495</v>
      </c>
      <c r="AC3" s="111" t="s">
        <v>1496</v>
      </c>
      <c r="AD3" s="111" t="s">
        <v>1497</v>
      </c>
      <c r="AE3" s="111" t="s">
        <v>1498</v>
      </c>
      <c r="AF3" s="111" t="s">
        <v>1499</v>
      </c>
      <c r="AG3" s="111" t="s">
        <v>1486</v>
      </c>
      <c r="AH3" s="111" t="s">
        <v>1487</v>
      </c>
      <c r="AI3" s="111" t="s">
        <v>1500</v>
      </c>
      <c r="AJ3" s="111" t="s">
        <v>1501</v>
      </c>
      <c r="AK3" s="111" t="s">
        <v>1502</v>
      </c>
    </row>
    <row r="4" spans="1:37" x14ac:dyDescent="0.2">
      <c r="A4">
        <v>1</v>
      </c>
      <c r="B4" t="str">
        <f t="array" ref="B4">IFERROR(INDEX('DATOS LIMPIOS'!$E$5:$E$493,MATCH(0,COUNTIF($B$3:B3,'DATOS LIMPIOS'!$E$5:$E$493),0)),"")</f>
        <v>¡Gracias por ser parte de L'Oréal! Ofertas para ti</v>
      </c>
      <c r="C4">
        <f>COUNTIF('DATOS LIMPIOS'!$E$5:$E$493,B4)</f>
        <v>4</v>
      </c>
      <c r="D4">
        <f>AVERAGEIF('DATOS LIMPIOS'!$E$5:$E$493,B4,'DATOS LIMPIOS'!$M$5:$M$493)</f>
        <v>22.904078042170426</v>
      </c>
      <c r="E4">
        <f>AVERAGEIF('DATOS LIMPIOS'!$E$5:$E$493,B4,'DATOS LIMPIOS'!$N$5:$N$493)</f>
        <v>7.0614977329016302</v>
      </c>
      <c r="F4" t="str">
        <f>INDEX('DATOS LIMPIOS'!$B$5:$B$493,MATCH(B4,'DATOS LIMPIOS'!$E$5:$E$493,0))</f>
        <v>Customer Appreciation</v>
      </c>
      <c r="G4" t="str">
        <f>INDEX('DATOS LIMPIOS'!$AH$5:$AH$493,MATCH(B4,'DATOS LIMPIOS'!$E$5:$E$493,0))</f>
        <v>No</v>
      </c>
      <c r="H4" t="str">
        <f>INDEX('DATOS LIMPIOS'!$AN$5:$AN$493,MATCH(B4,'DATOS LIMPIOS'!$E$5:$E$493,0))</f>
        <v>No</v>
      </c>
      <c r="I4" t="str">
        <f>INDEX('DATOS LIMPIOS'!$AM$5:$AM$493,MATCH(B4,'DATOS LIMPIOS'!$E$5:$E$493,0))</f>
        <v>No</v>
      </c>
      <c r="J4" t="str">
        <f>INDEX('DATOS LIMPIOS'!$AJ$5:$AJ$493,MATCH(B4,'DATOS LIMPIOS'!$E$5:$E$493,0))</f>
        <v>No</v>
      </c>
      <c r="K4" t="str">
        <f>INDEX('DATOS LIMPIOS'!$AI$5:$AI$493,MATCH(B4,'DATOS LIMPIOS'!$E$5:$E$493,0))</f>
        <v>Sí</v>
      </c>
      <c r="L4" t="str">
        <f>INDEX('DATOS LIMPIOS'!$AR$5:$AR$493,MATCH(B4,'DATOS LIMPIOS'!$E$5:$E$493,0))</f>
        <v>Sí</v>
      </c>
      <c r="N4">
        <f>COUNTIFS('DATOS LIMPIOS'!$E$5:$E$493,B4,'DATOS LIMPIOS'!$T$5:$T$493,"&lt;&gt;Agosto")</f>
        <v>4</v>
      </c>
      <c r="O4">
        <f>IFERROR(AVERAGEIFS('DATOS LIMPIOS'!$M$5:$M$493,'DATOS LIMPIOS'!$E$5:$E$493,B4,'DATOS LIMPIOS'!$T$5:$T$493,"&lt;&gt;Agosto"),"")</f>
        <v>22.904078042170426</v>
      </c>
      <c r="P4" t="str">
        <f t="shared" ref="P4:P35" si="0">IF(N4&gt;=5,"Sí","No")</f>
        <v>No</v>
      </c>
      <c r="Q4" t="str">
        <f t="shared" ref="Q4:Q35" si="1">IF(P4="Sí",SUMPRODUCT(($P$4:$P$69="Sí")*($O$4:$O$69&gt;O4))+1,"")</f>
        <v/>
      </c>
      <c r="R4" t="str">
        <f t="shared" ref="R4:R35" si="2">IF(P4="Sí",SUMPRODUCT(($P$4:$P$69="Sí")*($O$4:$O$69&lt;O4))+1,"")</f>
        <v/>
      </c>
      <c r="S4" t="str">
        <f t="shared" ref="S4:S35" si="3">IF(P4&lt;&gt;"Sí","Resto",IF(Q4&lt;=5,"5 mejores",IF(R4&lt;=5,"5 peores","Resto")))</f>
        <v>Resto</v>
      </c>
      <c r="T4">
        <f>SUMIFS('DATOS LIMPIOS'!$M$5:$M$493,'DATOS LIMPIOS'!$E$5:$E$493,B4,'DATOS LIMPIOS'!$T$5:$T$493,"Agosto")</f>
        <v>0</v>
      </c>
      <c r="U4">
        <f>COUNTIFS('DATOS LIMPIOS'!$E$5:$E$493,B4,'DATOS LIMPIOS'!$T$5:$T$493,"Agosto")</f>
        <v>0</v>
      </c>
      <c r="V4">
        <f>COUNTIFS('DATOS LIMPIOS'!$E$5:$E$493,B4,'DATOS LIMPIOS'!$T$5:$T$493,"&lt;&gt;Septiembre")</f>
        <v>3</v>
      </c>
      <c r="W4">
        <f>IFERROR(AVERAGEIFS('DATOS LIMPIOS'!$M$5:$M$493,'DATOS LIMPIOS'!$E$5:$E$493,B4,'DATOS LIMPIOS'!$T$5:$T$493,"&lt;&gt;Septiembre"),"")</f>
        <v>25.895419606513737</v>
      </c>
      <c r="X4" t="str">
        <f t="shared" ref="X4:X35" si="4">IF(V4&gt;=5,"Sí","No")</f>
        <v>No</v>
      </c>
      <c r="Y4" t="str">
        <f t="shared" ref="Y4:Y35" si="5">IF(X4="Sí",SUMPRODUCT(($X$4:$X$69="Sí")*($W$4:$W$69&gt;W4))+1,"")</f>
        <v/>
      </c>
      <c r="Z4" t="str">
        <f t="shared" ref="Z4:Z35" si="6">IF(X4="Sí",SUMPRODUCT(($X$4:$X$69="Sí")*($W$4:$W$69&lt;W4))+1,"")</f>
        <v/>
      </c>
      <c r="AA4" t="str">
        <f t="shared" ref="AA4:AA35" si="7">IF(X4&lt;&gt;"Sí","Resto",IF(Y4&lt;=5,"5 mejores",IF(Z4&lt;=5,"5 peores","Resto")))</f>
        <v>Resto</v>
      </c>
      <c r="AB4">
        <f>SUMIFS('DATOS LIMPIOS'!$M$5:$M$493,'DATOS LIMPIOS'!$E$5:$E$493,B4,'DATOS LIMPIOS'!$T$5:$T$493,"Septiembre")</f>
        <v>13.930053349140486</v>
      </c>
      <c r="AC4">
        <f>COUNTIFS('DATOS LIMPIOS'!$E$5:$E$493,B4,'DATOS LIMPIOS'!$T$5:$T$493,"Septiembre")</f>
        <v>1</v>
      </c>
      <c r="AD4">
        <f>COUNTIFS('DATOS LIMPIOS'!$E$5:$E$493,B4,'DATOS LIMPIOS'!$T$5:$T$493,"&lt;&gt;Octubre")</f>
        <v>1</v>
      </c>
      <c r="AE4">
        <f>IFERROR(AVERAGEIFS('DATOS LIMPIOS'!$M$5:$M$493,'DATOS LIMPIOS'!$E$5:$E$493,B4,'DATOS LIMPIOS'!$T$5:$T$493,"&lt;&gt;Octubre"),"")</f>
        <v>13.930053349140486</v>
      </c>
      <c r="AF4" t="str">
        <f t="shared" ref="AF4:AF35" si="8">IF(AD4&gt;=5,"Sí","No")</f>
        <v>No</v>
      </c>
      <c r="AG4" t="str">
        <f t="shared" ref="AG4:AG35" si="9">IF(AF4="Sí",SUMPRODUCT(($AF$4:$AF$69="Sí")*($AE$4:$AE$69&gt;AE4))+1,"")</f>
        <v/>
      </c>
      <c r="AH4" t="str">
        <f t="shared" ref="AH4:AH35" si="10">IF(AF4="Sí",SUMPRODUCT(($AF$4:$AF$69="Sí")*($AE$4:$AE$69&lt;AE4))+1,"")</f>
        <v/>
      </c>
      <c r="AI4" t="str">
        <f t="shared" ref="AI4:AI35" si="11">IF(AF4&lt;&gt;"Sí","Resto",IF(AG4&lt;=5,"5 mejores",IF(AH4&lt;=5,"5 peores","Resto")))</f>
        <v>Resto</v>
      </c>
      <c r="AJ4">
        <f>SUMIFS('DATOS LIMPIOS'!$M$5:$M$493,'DATOS LIMPIOS'!$E$5:$E$493,B4,'DATOS LIMPIOS'!$T$5:$T$493,"Octubre")</f>
        <v>77.686258819541209</v>
      </c>
      <c r="AK4">
        <f>COUNTIFS('DATOS LIMPIOS'!$E$5:$E$493,B4,'DATOS LIMPIOS'!$T$5:$T$493,"Octubre")</f>
        <v>3</v>
      </c>
    </row>
    <row r="5" spans="1:37" x14ac:dyDescent="0.2">
      <c r="A5">
        <v>2</v>
      </c>
      <c r="B5" t="str">
        <f t="array" ref="B5">IFERROR(INDEX('DATOS LIMPIOS'!$E$5:$E$493,MATCH(0,COUNTIF($B$3:B4,'DATOS LIMPIOS'!$E$5:$E$493),0)),"")</f>
        <v>¡Últimas horas! Flash Sale: No te quedes sin tu descuento</v>
      </c>
      <c r="C5">
        <f>COUNTIF('DATOS LIMPIOS'!$E$5:$E$493,B5)</f>
        <v>4</v>
      </c>
      <c r="D5">
        <f>AVERAGEIF('DATOS LIMPIOS'!$E$5:$E$493,B5,'DATOS LIMPIOS'!$M$5:$M$493)</f>
        <v>10.812608203610466</v>
      </c>
      <c r="E5">
        <f>AVERAGEIF('DATOS LIMPIOS'!$E$5:$E$493,B5,'DATOS LIMPIOS'!$N$5:$N$493)</f>
        <v>7.0308876339906208</v>
      </c>
      <c r="F5" t="str">
        <f>INDEX('DATOS LIMPIOS'!$B$5:$B$493,MATCH(B5,'DATOS LIMPIOS'!$E$5:$E$493,0))</f>
        <v>Flash Sale</v>
      </c>
      <c r="G5" t="str">
        <f>INDEX('DATOS LIMPIOS'!$AH$5:$AH$493,MATCH(B5,'DATOS LIMPIOS'!$E$5:$E$493,0))</f>
        <v>Sí</v>
      </c>
      <c r="H5" t="str">
        <f>INDEX('DATOS LIMPIOS'!$AN$5:$AN$493,MATCH(B5,'DATOS LIMPIOS'!$E$5:$E$493,0))</f>
        <v>No</v>
      </c>
      <c r="I5" t="str">
        <f>INDEX('DATOS LIMPIOS'!$AM$5:$AM$493,MATCH(B5,'DATOS LIMPIOS'!$E$5:$E$493,0))</f>
        <v>No</v>
      </c>
      <c r="J5" t="str">
        <f>INDEX('DATOS LIMPIOS'!$AJ$5:$AJ$493,MATCH(B5,'DATOS LIMPIOS'!$E$5:$E$493,0))</f>
        <v>Sí</v>
      </c>
      <c r="K5" t="str">
        <f>INDEX('DATOS LIMPIOS'!$AI$5:$AI$493,MATCH(B5,'DATOS LIMPIOS'!$E$5:$E$493,0))</f>
        <v>Sí</v>
      </c>
      <c r="L5" t="str">
        <f>INDEX('DATOS LIMPIOS'!$AR$5:$AR$493,MATCH(B5,'DATOS LIMPIOS'!$E$5:$E$493,0))</f>
        <v>No</v>
      </c>
      <c r="N5">
        <f>COUNTIFS('DATOS LIMPIOS'!$E$5:$E$493,B5,'DATOS LIMPIOS'!$T$5:$T$493,"&lt;&gt;Agosto")</f>
        <v>4</v>
      </c>
      <c r="O5">
        <f>IFERROR(AVERAGEIFS('DATOS LIMPIOS'!$M$5:$M$493,'DATOS LIMPIOS'!$E$5:$E$493,B5,'DATOS LIMPIOS'!$T$5:$T$493,"&lt;&gt;Agosto"),"")</f>
        <v>10.812608203610466</v>
      </c>
      <c r="P5" t="str">
        <f t="shared" si="0"/>
        <v>No</v>
      </c>
      <c r="Q5" t="str">
        <f t="shared" si="1"/>
        <v/>
      </c>
      <c r="R5" t="str">
        <f t="shared" si="2"/>
        <v/>
      </c>
      <c r="S5" t="str">
        <f t="shared" si="3"/>
        <v>Resto</v>
      </c>
      <c r="T5">
        <f>SUMIFS('DATOS LIMPIOS'!$M$5:$M$493,'DATOS LIMPIOS'!$E$5:$E$493,B5,'DATOS LIMPIOS'!$T$5:$T$493,"Agosto")</f>
        <v>0</v>
      </c>
      <c r="U5">
        <f>COUNTIFS('DATOS LIMPIOS'!$E$5:$E$493,B5,'DATOS LIMPIOS'!$T$5:$T$493,"Agosto")</f>
        <v>0</v>
      </c>
      <c r="V5">
        <f>COUNTIFS('DATOS LIMPIOS'!$E$5:$E$493,B5,'DATOS LIMPIOS'!$T$5:$T$493,"&lt;&gt;Septiembre")</f>
        <v>2</v>
      </c>
      <c r="W5">
        <f>IFERROR(AVERAGEIFS('DATOS LIMPIOS'!$M$5:$M$493,'DATOS LIMPIOS'!$E$5:$E$493,B5,'DATOS LIMPIOS'!$T$5:$T$493,"&lt;&gt;Septiembre"),"")</f>
        <v>11.561690337798224</v>
      </c>
      <c r="X5" t="str">
        <f t="shared" si="4"/>
        <v>No</v>
      </c>
      <c r="Y5" t="str">
        <f t="shared" si="5"/>
        <v/>
      </c>
      <c r="Z5" t="str">
        <f t="shared" si="6"/>
        <v/>
      </c>
      <c r="AA5" t="str">
        <f t="shared" si="7"/>
        <v>Resto</v>
      </c>
      <c r="AB5">
        <f>SUMIFS('DATOS LIMPIOS'!$M$5:$M$493,'DATOS LIMPIOS'!$E$5:$E$493,B5,'DATOS LIMPIOS'!$T$5:$T$493,"Septiembre")</f>
        <v>20.127052138845414</v>
      </c>
      <c r="AC5">
        <f>COUNTIFS('DATOS LIMPIOS'!$E$5:$E$493,B5,'DATOS LIMPIOS'!$T$5:$T$493,"Septiembre")</f>
        <v>2</v>
      </c>
      <c r="AD5">
        <f>COUNTIFS('DATOS LIMPIOS'!$E$5:$E$493,B5,'DATOS LIMPIOS'!$T$5:$T$493,"&lt;&gt;Octubre")</f>
        <v>2</v>
      </c>
      <c r="AE5">
        <f>IFERROR(AVERAGEIFS('DATOS LIMPIOS'!$M$5:$M$493,'DATOS LIMPIOS'!$E$5:$E$493,B5,'DATOS LIMPIOS'!$T$5:$T$493,"&lt;&gt;Octubre"),"")</f>
        <v>10.063526069422707</v>
      </c>
      <c r="AF5" t="str">
        <f t="shared" si="8"/>
        <v>No</v>
      </c>
      <c r="AG5" t="str">
        <f t="shared" si="9"/>
        <v/>
      </c>
      <c r="AH5" t="str">
        <f t="shared" si="10"/>
        <v/>
      </c>
      <c r="AI5" t="str">
        <f t="shared" si="11"/>
        <v>Resto</v>
      </c>
      <c r="AJ5">
        <f>SUMIFS('DATOS LIMPIOS'!$M$5:$M$493,'DATOS LIMPIOS'!$E$5:$E$493,B5,'DATOS LIMPIOS'!$T$5:$T$493,"Octubre")</f>
        <v>23.123380675596447</v>
      </c>
      <c r="AK5">
        <f>COUNTIFS('DATOS LIMPIOS'!$E$5:$E$493,B5,'DATOS LIMPIOS'!$T$5:$T$493,"Octubre")</f>
        <v>2</v>
      </c>
    </row>
    <row r="6" spans="1:37" x14ac:dyDescent="0.2">
      <c r="A6">
        <v>3</v>
      </c>
      <c r="B6" t="str">
        <f t="array" ref="B6">IFERROR(INDEX('DATOS LIMPIOS'!$E$5:$E$493,MATCH(0,COUNTIF($B$3:B5,'DATOS LIMPIOS'!$E$5:$E$493),0)),"")</f>
        <v>Tu dosis semanal de belleza: Novedades y tips</v>
      </c>
      <c r="C6">
        <f>COUNTIF('DATOS LIMPIOS'!$E$5:$E$493,B6)</f>
        <v>22</v>
      </c>
      <c r="D6">
        <f>AVERAGEIF('DATOS LIMPIOS'!$E$5:$E$493,B6,'DATOS LIMPIOS'!$M$5:$M$493)</f>
        <v>22.891293825435607</v>
      </c>
      <c r="E6">
        <f>AVERAGEIF('DATOS LIMPIOS'!$E$5:$E$493,B6,'DATOS LIMPIOS'!$N$5:$N$493)</f>
        <v>8.950219304858523</v>
      </c>
      <c r="F6" t="str">
        <f>INDEX('DATOS LIMPIOS'!$B$5:$B$493,MATCH(B6,'DATOS LIMPIOS'!$E$5:$E$493,0))</f>
        <v>Newsletter</v>
      </c>
      <c r="G6" t="str">
        <f>INDEX('DATOS LIMPIOS'!$AH$5:$AH$493,MATCH(B6,'DATOS LIMPIOS'!$E$5:$E$493,0))</f>
        <v>No</v>
      </c>
      <c r="H6" t="str">
        <f>INDEX('DATOS LIMPIOS'!$AN$5:$AN$493,MATCH(B6,'DATOS LIMPIOS'!$E$5:$E$493,0))</f>
        <v>No</v>
      </c>
      <c r="I6" t="str">
        <f>INDEX('DATOS LIMPIOS'!$AM$5:$AM$493,MATCH(B6,'DATOS LIMPIOS'!$E$5:$E$493,0))</f>
        <v>Sí</v>
      </c>
      <c r="J6" t="str">
        <f>INDEX('DATOS LIMPIOS'!$AJ$5:$AJ$493,MATCH(B6,'DATOS LIMPIOS'!$E$5:$E$493,0))</f>
        <v>No</v>
      </c>
      <c r="K6" t="str">
        <f>INDEX('DATOS LIMPIOS'!$AI$5:$AI$493,MATCH(B6,'DATOS LIMPIOS'!$E$5:$E$493,0))</f>
        <v>No</v>
      </c>
      <c r="L6" t="str">
        <f>INDEX('DATOS LIMPIOS'!$AR$5:$AR$493,MATCH(B6,'DATOS LIMPIOS'!$E$5:$E$493,0))</f>
        <v>Sí</v>
      </c>
      <c r="N6">
        <f>COUNTIFS('DATOS LIMPIOS'!$E$5:$E$493,B6,'DATOS LIMPIOS'!$T$5:$T$493,"&lt;&gt;Agosto")</f>
        <v>16</v>
      </c>
      <c r="O6">
        <f>IFERROR(AVERAGEIFS('DATOS LIMPIOS'!$M$5:$M$493,'DATOS LIMPIOS'!$E$5:$E$493,B6,'DATOS LIMPIOS'!$T$5:$T$493,"&lt;&gt;Agosto"),"")</f>
        <v>20.131919557573195</v>
      </c>
      <c r="P6" t="str">
        <f t="shared" si="0"/>
        <v>Sí</v>
      </c>
      <c r="Q6">
        <f t="shared" si="1"/>
        <v>15</v>
      </c>
      <c r="R6">
        <f t="shared" si="2"/>
        <v>7</v>
      </c>
      <c r="S6" t="str">
        <f t="shared" si="3"/>
        <v>Resto</v>
      </c>
      <c r="T6">
        <f>SUMIFS('DATOS LIMPIOS'!$M$5:$M$493,'DATOS LIMPIOS'!$E$5:$E$493,B6,'DATOS LIMPIOS'!$T$5:$T$493,"Agosto")</f>
        <v>181.49775123841221</v>
      </c>
      <c r="U6">
        <f>COUNTIFS('DATOS LIMPIOS'!$E$5:$E$493,B6,'DATOS LIMPIOS'!$T$5:$T$493,"Agosto")</f>
        <v>6</v>
      </c>
      <c r="V6">
        <f>COUNTIFS('DATOS LIMPIOS'!$E$5:$E$493,B6,'DATOS LIMPIOS'!$T$5:$T$493,"&lt;&gt;Septiembre")</f>
        <v>13</v>
      </c>
      <c r="W6">
        <f>IFERROR(AVERAGEIFS('DATOS LIMPIOS'!$M$5:$M$493,'DATOS LIMPIOS'!$E$5:$E$493,B6,'DATOS LIMPIOS'!$T$5:$T$493,"&lt;&gt;Septiembre"),"")</f>
        <v>23.611289741973579</v>
      </c>
      <c r="X6" t="str">
        <f t="shared" si="4"/>
        <v>Sí</v>
      </c>
      <c r="Y6">
        <f t="shared" si="5"/>
        <v>16</v>
      </c>
      <c r="Z6">
        <f t="shared" si="6"/>
        <v>10</v>
      </c>
      <c r="AA6" t="str">
        <f t="shared" si="7"/>
        <v>Resto</v>
      </c>
      <c r="AB6">
        <f>SUMIFS('DATOS LIMPIOS'!$M$5:$M$493,'DATOS LIMPIOS'!$E$5:$E$493,B6,'DATOS LIMPIOS'!$T$5:$T$493,"Septiembre")</f>
        <v>196.66169751392684</v>
      </c>
      <c r="AC6">
        <f>COUNTIFS('DATOS LIMPIOS'!$E$5:$E$493,B6,'DATOS LIMPIOS'!$T$5:$T$493,"Septiembre")</f>
        <v>9</v>
      </c>
      <c r="AD6">
        <f>COUNTIFS('DATOS LIMPIOS'!$E$5:$E$493,B6,'DATOS LIMPIOS'!$T$5:$T$493,"&lt;&gt;Octubre")</f>
        <v>15</v>
      </c>
      <c r="AE6">
        <f>IFERROR(AVERAGEIFS('DATOS LIMPIOS'!$M$5:$M$493,'DATOS LIMPIOS'!$E$5:$E$493,B6,'DATOS LIMPIOS'!$T$5:$T$493,"&lt;&gt;Octubre"),"")</f>
        <v>25.210629916822601</v>
      </c>
      <c r="AF6" t="str">
        <f t="shared" si="8"/>
        <v>Sí</v>
      </c>
      <c r="AG6">
        <f t="shared" si="9"/>
        <v>13</v>
      </c>
      <c r="AH6">
        <f t="shared" si="10"/>
        <v>13</v>
      </c>
      <c r="AI6" t="str">
        <f t="shared" si="11"/>
        <v>Resto</v>
      </c>
      <c r="AJ6">
        <f>SUMIFS('DATOS LIMPIOS'!$M$5:$M$493,'DATOS LIMPIOS'!$E$5:$E$493,B6,'DATOS LIMPIOS'!$T$5:$T$493,"Octubre")</f>
        <v>125.44901540724427</v>
      </c>
      <c r="AK6">
        <f>COUNTIFS('DATOS LIMPIOS'!$E$5:$E$493,B6,'DATOS LIMPIOS'!$T$5:$T$493,"Octubre")</f>
        <v>7</v>
      </c>
    </row>
    <row r="7" spans="1:37" x14ac:dyDescent="0.2">
      <c r="A7">
        <v>4</v>
      </c>
      <c r="B7" t="str">
        <f t="array" ref="B7">IFERROR(INDEX('DATOS LIMPIOS'!$E$5:$E$493,MATCH(0,COUNTIF($B$3:B6,'DATOS LIMPIOS'!$E$5:$E$493),0)),"")</f>
        <v>¡Ahorra YA! Flash Sale: Hasta 50% en tus favoritos</v>
      </c>
      <c r="C7">
        <f>COUNTIF('DATOS LIMPIOS'!$E$5:$E$493,B7)</f>
        <v>21</v>
      </c>
      <c r="D7">
        <f>AVERAGEIF('DATOS LIMPIOS'!$E$5:$E$493,B7,'DATOS LIMPIOS'!$M$5:$M$493)</f>
        <v>41.593592985418489</v>
      </c>
      <c r="E7">
        <f>AVERAGEIF('DATOS LIMPIOS'!$E$5:$E$493,B7,'DATOS LIMPIOS'!$N$5:$N$493)</f>
        <v>10.640007862164545</v>
      </c>
      <c r="F7" t="str">
        <f>INDEX('DATOS LIMPIOS'!$B$5:$B$493,MATCH(B7,'DATOS LIMPIOS'!$E$5:$E$493,0))</f>
        <v>Flash Sale</v>
      </c>
      <c r="G7" t="str">
        <f>INDEX('DATOS LIMPIOS'!$AH$5:$AH$493,MATCH(B7,'DATOS LIMPIOS'!$E$5:$E$493,0))</f>
        <v>No</v>
      </c>
      <c r="H7" t="str">
        <f>INDEX('DATOS LIMPIOS'!$AN$5:$AN$493,MATCH(B7,'DATOS LIMPIOS'!$E$5:$E$493,0))</f>
        <v>No</v>
      </c>
      <c r="I7" t="str">
        <f>INDEX('DATOS LIMPIOS'!$AM$5:$AM$493,MATCH(B7,'DATOS LIMPIOS'!$E$5:$E$493,0))</f>
        <v>Sí</v>
      </c>
      <c r="J7" t="str">
        <f>INDEX('DATOS LIMPIOS'!$AJ$5:$AJ$493,MATCH(B7,'DATOS LIMPIOS'!$E$5:$E$493,0))</f>
        <v>No</v>
      </c>
      <c r="K7" t="str">
        <f>INDEX('DATOS LIMPIOS'!$AI$5:$AI$493,MATCH(B7,'DATOS LIMPIOS'!$E$5:$E$493,0))</f>
        <v>Sí</v>
      </c>
      <c r="L7" t="str">
        <f>INDEX('DATOS LIMPIOS'!$AR$5:$AR$493,MATCH(B7,'DATOS LIMPIOS'!$E$5:$E$493,0))</f>
        <v>No</v>
      </c>
      <c r="N7">
        <f>COUNTIFS('DATOS LIMPIOS'!$E$5:$E$493,B7,'DATOS LIMPIOS'!$T$5:$T$493,"&lt;&gt;Agosto")</f>
        <v>15</v>
      </c>
      <c r="O7">
        <f>IFERROR(AVERAGEIFS('DATOS LIMPIOS'!$M$5:$M$493,'DATOS LIMPIOS'!$E$5:$E$493,B7,'DATOS LIMPIOS'!$T$5:$T$493,"&lt;&gt;Agosto"),"")</f>
        <v>42.158974633302734</v>
      </c>
      <c r="P7" t="str">
        <f t="shared" si="0"/>
        <v>Sí</v>
      </c>
      <c r="Q7">
        <f t="shared" si="1"/>
        <v>1</v>
      </c>
      <c r="R7">
        <f t="shared" si="2"/>
        <v>21</v>
      </c>
      <c r="S7" t="str">
        <f t="shared" si="3"/>
        <v>5 mejores</v>
      </c>
      <c r="T7">
        <f>SUMIFS('DATOS LIMPIOS'!$M$5:$M$493,'DATOS LIMPIOS'!$E$5:$E$493,B7,'DATOS LIMPIOS'!$T$5:$T$493,"Agosto")</f>
        <v>241.08083319424713</v>
      </c>
      <c r="U7">
        <f>COUNTIFS('DATOS LIMPIOS'!$E$5:$E$493,B7,'DATOS LIMPIOS'!$T$5:$T$493,"Agosto")</f>
        <v>6</v>
      </c>
      <c r="V7">
        <f>COUNTIFS('DATOS LIMPIOS'!$E$5:$E$493,B7,'DATOS LIMPIOS'!$T$5:$T$493,"&lt;&gt;Septiembre")</f>
        <v>11</v>
      </c>
      <c r="W7">
        <f>IFERROR(AVERAGEIFS('DATOS LIMPIOS'!$M$5:$M$493,'DATOS LIMPIOS'!$E$5:$E$493,B7,'DATOS LIMPIOS'!$T$5:$T$493,"&lt;&gt;Septiembre"),"")</f>
        <v>41.571788126451899</v>
      </c>
      <c r="X7" t="str">
        <f t="shared" si="4"/>
        <v>Sí</v>
      </c>
      <c r="Y7">
        <f t="shared" si="5"/>
        <v>1</v>
      </c>
      <c r="Z7">
        <f t="shared" si="6"/>
        <v>25</v>
      </c>
      <c r="AA7" t="str">
        <f t="shared" si="7"/>
        <v>5 mejores</v>
      </c>
      <c r="AB7">
        <f>SUMIFS('DATOS LIMPIOS'!$M$5:$M$493,'DATOS LIMPIOS'!$E$5:$E$493,B7,'DATOS LIMPIOS'!$T$5:$T$493,"Septiembre")</f>
        <v>416.17578330281719</v>
      </c>
      <c r="AC7">
        <f>COUNTIFS('DATOS LIMPIOS'!$E$5:$E$493,B7,'DATOS LIMPIOS'!$T$5:$T$493,"Septiembre")</f>
        <v>10</v>
      </c>
      <c r="AD7">
        <f>COUNTIFS('DATOS LIMPIOS'!$E$5:$E$493,B7,'DATOS LIMPIOS'!$T$5:$T$493,"&lt;&gt;Octubre")</f>
        <v>16</v>
      </c>
      <c r="AE7">
        <f>IFERROR(AVERAGEIFS('DATOS LIMPIOS'!$M$5:$M$493,'DATOS LIMPIOS'!$E$5:$E$493,B7,'DATOS LIMPIOS'!$T$5:$T$493,"&lt;&gt;Octubre"),"")</f>
        <v>41.078538531066528</v>
      </c>
      <c r="AF7" t="str">
        <f t="shared" si="8"/>
        <v>Sí</v>
      </c>
      <c r="AG7">
        <f t="shared" si="9"/>
        <v>1</v>
      </c>
      <c r="AH7">
        <f t="shared" si="10"/>
        <v>25</v>
      </c>
      <c r="AI7" t="str">
        <f t="shared" si="11"/>
        <v>5 mejores</v>
      </c>
      <c r="AJ7">
        <f>SUMIFS('DATOS LIMPIOS'!$M$5:$M$493,'DATOS LIMPIOS'!$E$5:$E$493,B7,'DATOS LIMPIOS'!$T$5:$T$493,"Octubre")</f>
        <v>216.20883619672381</v>
      </c>
      <c r="AK7">
        <f>COUNTIFS('DATOS LIMPIOS'!$E$5:$E$493,B7,'DATOS LIMPIOS'!$T$5:$T$493,"Octubre")</f>
        <v>5</v>
      </c>
    </row>
    <row r="8" spans="1:37" x14ac:dyDescent="0.2">
      <c r="A8">
        <v>5</v>
      </c>
      <c r="B8" t="str">
        <f t="array" ref="B8">IFERROR(INDEX('DATOS LIMPIOS'!$E$5:$E$493,MATCH(0,COUNTIF($B$3:B7,'DATOS LIMPIOS'!$E$5:$E$493),0)),"")</f>
        <v>Para ti, con cariño: ¡Descubre tu regalo exclusivo!</v>
      </c>
      <c r="C8">
        <f>COUNTIF('DATOS LIMPIOS'!$E$5:$E$493,B8)</f>
        <v>1</v>
      </c>
      <c r="D8">
        <f>AVERAGEIF('DATOS LIMPIOS'!$E$5:$E$493,B8,'DATOS LIMPIOS'!$M$5:$M$493)</f>
        <v>27.075603638591261</v>
      </c>
      <c r="E8">
        <f>AVERAGEIF('DATOS LIMPIOS'!$E$5:$E$493,B8,'DATOS LIMPIOS'!$N$5:$N$493)</f>
        <v>5.0999610866457843</v>
      </c>
      <c r="F8" t="str">
        <f>INDEX('DATOS LIMPIOS'!$B$5:$B$493,MATCH(B8,'DATOS LIMPIOS'!$E$5:$E$493,0))</f>
        <v>Customer Appreciation</v>
      </c>
      <c r="G8" t="str">
        <f>INDEX('DATOS LIMPIOS'!$AH$5:$AH$493,MATCH(B8,'DATOS LIMPIOS'!$E$5:$E$493,0))</f>
        <v>No</v>
      </c>
      <c r="H8" t="str">
        <f>INDEX('DATOS LIMPIOS'!$AN$5:$AN$493,MATCH(B8,'DATOS LIMPIOS'!$E$5:$E$493,0))</f>
        <v>No</v>
      </c>
      <c r="I8" t="str">
        <f>INDEX('DATOS LIMPIOS'!$AM$5:$AM$493,MATCH(B8,'DATOS LIMPIOS'!$E$5:$E$493,0))</f>
        <v>Sí</v>
      </c>
      <c r="J8" t="str">
        <f>INDEX('DATOS LIMPIOS'!$AJ$5:$AJ$493,MATCH(B8,'DATOS LIMPIOS'!$E$5:$E$493,0))</f>
        <v>No</v>
      </c>
      <c r="K8" t="str">
        <f>INDEX('DATOS LIMPIOS'!$AI$5:$AI$493,MATCH(B8,'DATOS LIMPIOS'!$E$5:$E$493,0))</f>
        <v>No</v>
      </c>
      <c r="L8" t="str">
        <f>INDEX('DATOS LIMPIOS'!$AR$5:$AR$493,MATCH(B8,'DATOS LIMPIOS'!$E$5:$E$493,0))</f>
        <v>No</v>
      </c>
      <c r="N8">
        <f>COUNTIFS('DATOS LIMPIOS'!$E$5:$E$493,B8,'DATOS LIMPIOS'!$T$5:$T$493,"&lt;&gt;Agosto")</f>
        <v>1</v>
      </c>
      <c r="O8">
        <f>IFERROR(AVERAGEIFS('DATOS LIMPIOS'!$M$5:$M$493,'DATOS LIMPIOS'!$E$5:$E$493,B8,'DATOS LIMPIOS'!$T$5:$T$493,"&lt;&gt;Agosto"),"")</f>
        <v>27.075603638591261</v>
      </c>
      <c r="P8" t="str">
        <f t="shared" si="0"/>
        <v>No</v>
      </c>
      <c r="Q8" t="str">
        <f t="shared" si="1"/>
        <v/>
      </c>
      <c r="R8" t="str">
        <f t="shared" si="2"/>
        <v/>
      </c>
      <c r="S8" t="str">
        <f t="shared" si="3"/>
        <v>Resto</v>
      </c>
      <c r="T8">
        <f>SUMIFS('DATOS LIMPIOS'!$M$5:$M$493,'DATOS LIMPIOS'!$E$5:$E$493,B8,'DATOS LIMPIOS'!$T$5:$T$493,"Agosto")</f>
        <v>0</v>
      </c>
      <c r="U8">
        <f>COUNTIFS('DATOS LIMPIOS'!$E$5:$E$493,B8,'DATOS LIMPIOS'!$T$5:$T$493,"Agosto")</f>
        <v>0</v>
      </c>
      <c r="V8">
        <f>COUNTIFS('DATOS LIMPIOS'!$E$5:$E$493,B8,'DATOS LIMPIOS'!$T$5:$T$493,"&lt;&gt;Septiembre")</f>
        <v>0</v>
      </c>
      <c r="W8" t="str">
        <f>IFERROR(AVERAGEIFS('DATOS LIMPIOS'!$M$5:$M$493,'DATOS LIMPIOS'!$E$5:$E$493,B8,'DATOS LIMPIOS'!$T$5:$T$493,"&lt;&gt;Septiembre"),"")</f>
        <v/>
      </c>
      <c r="X8" t="str">
        <f t="shared" si="4"/>
        <v>No</v>
      </c>
      <c r="Y8" t="str">
        <f t="shared" si="5"/>
        <v/>
      </c>
      <c r="Z8" t="str">
        <f t="shared" si="6"/>
        <v/>
      </c>
      <c r="AA8" t="str">
        <f t="shared" si="7"/>
        <v>Resto</v>
      </c>
      <c r="AB8">
        <f>SUMIFS('DATOS LIMPIOS'!$M$5:$M$493,'DATOS LIMPIOS'!$E$5:$E$493,B8,'DATOS LIMPIOS'!$T$5:$T$493,"Septiembre")</f>
        <v>27.075603638591261</v>
      </c>
      <c r="AC8">
        <f>COUNTIFS('DATOS LIMPIOS'!$E$5:$E$493,B8,'DATOS LIMPIOS'!$T$5:$T$493,"Septiembre")</f>
        <v>1</v>
      </c>
      <c r="AD8">
        <f>COUNTIFS('DATOS LIMPIOS'!$E$5:$E$493,B8,'DATOS LIMPIOS'!$T$5:$T$493,"&lt;&gt;Octubre")</f>
        <v>1</v>
      </c>
      <c r="AE8">
        <f>IFERROR(AVERAGEIFS('DATOS LIMPIOS'!$M$5:$M$493,'DATOS LIMPIOS'!$E$5:$E$493,B8,'DATOS LIMPIOS'!$T$5:$T$493,"&lt;&gt;Octubre"),"")</f>
        <v>27.075603638591261</v>
      </c>
      <c r="AF8" t="str">
        <f t="shared" si="8"/>
        <v>No</v>
      </c>
      <c r="AG8" t="str">
        <f t="shared" si="9"/>
        <v/>
      </c>
      <c r="AH8" t="str">
        <f t="shared" si="10"/>
        <v/>
      </c>
      <c r="AI8" t="str">
        <f t="shared" si="11"/>
        <v>Resto</v>
      </c>
      <c r="AJ8">
        <f>SUMIFS('DATOS LIMPIOS'!$M$5:$M$493,'DATOS LIMPIOS'!$E$5:$E$493,B8,'DATOS LIMPIOS'!$T$5:$T$493,"Octubre")</f>
        <v>0</v>
      </c>
      <c r="AK8">
        <f>COUNTIFS('DATOS LIMPIOS'!$E$5:$E$493,B8,'DATOS LIMPIOS'!$T$5:$T$493,"Octubre")</f>
        <v>0</v>
      </c>
    </row>
    <row r="9" spans="1:37" x14ac:dyDescent="0.2">
      <c r="A9">
        <v>6</v>
      </c>
      <c r="B9" t="str">
        <f t="array" ref="B9">IFERROR(INDEX('DATOS LIMPIOS'!$E$5:$E$493,MATCH(0,COUNTIF($B$3:B8,'DATOS LIMPIOS'!$E$5:$E$493),0)),"")</f>
        <v>¡Ofertas Exclusivas! Solo para nuestra comunidad VIP</v>
      </c>
      <c r="C9">
        <f>COUNTIF('DATOS LIMPIOS'!$E$5:$E$493,B9)</f>
        <v>22</v>
      </c>
      <c r="D9">
        <f>AVERAGEIF('DATOS LIMPIOS'!$E$5:$E$493,B9,'DATOS LIMPIOS'!$M$5:$M$493)</f>
        <v>33.047230763392911</v>
      </c>
      <c r="E9">
        <f>AVERAGEIF('DATOS LIMPIOS'!$E$5:$E$493,B9,'DATOS LIMPIOS'!$N$5:$N$493)</f>
        <v>8.8191240837739784</v>
      </c>
      <c r="F9" t="str">
        <f>INDEX('DATOS LIMPIOS'!$B$5:$B$493,MATCH(B9,'DATOS LIMPIOS'!$E$5:$E$493,0))</f>
        <v>Exclusive Offers</v>
      </c>
      <c r="G9" t="str">
        <f>INDEX('DATOS LIMPIOS'!$AH$5:$AH$493,MATCH(B9,'DATOS LIMPIOS'!$E$5:$E$493,0))</f>
        <v>No</v>
      </c>
      <c r="H9" t="str">
        <f>INDEX('DATOS LIMPIOS'!$AN$5:$AN$493,MATCH(B9,'DATOS LIMPIOS'!$E$5:$E$493,0))</f>
        <v>No</v>
      </c>
      <c r="I9" t="str">
        <f>INDEX('DATOS LIMPIOS'!$AM$5:$AM$493,MATCH(B9,'DATOS LIMPIOS'!$E$5:$E$493,0))</f>
        <v>No</v>
      </c>
      <c r="J9" t="str">
        <f>INDEX('DATOS LIMPIOS'!$AJ$5:$AJ$493,MATCH(B9,'DATOS LIMPIOS'!$E$5:$E$493,0))</f>
        <v>No</v>
      </c>
      <c r="K9" t="str">
        <f>INDEX('DATOS LIMPIOS'!$AI$5:$AI$493,MATCH(B9,'DATOS LIMPIOS'!$E$5:$E$493,0))</f>
        <v>Sí</v>
      </c>
      <c r="L9" t="str">
        <f>INDEX('DATOS LIMPIOS'!$AR$5:$AR$493,MATCH(B9,'DATOS LIMPIOS'!$E$5:$E$493,0))</f>
        <v>Sí</v>
      </c>
      <c r="N9">
        <f>COUNTIFS('DATOS LIMPIOS'!$E$5:$E$493,B9,'DATOS LIMPIOS'!$T$5:$T$493,"&lt;&gt;Agosto")</f>
        <v>17</v>
      </c>
      <c r="O9">
        <f>IFERROR(AVERAGEIFS('DATOS LIMPIOS'!$M$5:$M$493,'DATOS LIMPIOS'!$E$5:$E$493,B9,'DATOS LIMPIOS'!$T$5:$T$493,"&lt;&gt;Agosto"),"")</f>
        <v>34.409423781630323</v>
      </c>
      <c r="P9" t="str">
        <f t="shared" si="0"/>
        <v>Sí</v>
      </c>
      <c r="Q9">
        <f t="shared" si="1"/>
        <v>9</v>
      </c>
      <c r="R9">
        <f t="shared" si="2"/>
        <v>13</v>
      </c>
      <c r="S9" t="str">
        <f t="shared" si="3"/>
        <v>Resto</v>
      </c>
      <c r="T9">
        <f>SUMIFS('DATOS LIMPIOS'!$M$5:$M$493,'DATOS LIMPIOS'!$E$5:$E$493,B9,'DATOS LIMPIOS'!$T$5:$T$493,"Agosto")</f>
        <v>142.07887250692869</v>
      </c>
      <c r="U9">
        <f>COUNTIFS('DATOS LIMPIOS'!$E$5:$E$493,B9,'DATOS LIMPIOS'!$T$5:$T$493,"Agosto")</f>
        <v>5</v>
      </c>
      <c r="V9">
        <f>COUNTIFS('DATOS LIMPIOS'!$E$5:$E$493,B9,'DATOS LIMPIOS'!$T$5:$T$493,"&lt;&gt;Septiembre")</f>
        <v>15</v>
      </c>
      <c r="W9">
        <f>IFERROR(AVERAGEIFS('DATOS LIMPIOS'!$M$5:$M$493,'DATOS LIMPIOS'!$E$5:$E$493,B9,'DATOS LIMPIOS'!$T$5:$T$493,"&lt;&gt;Septiembre"),"")</f>
        <v>34.66961628288913</v>
      </c>
      <c r="X9" t="str">
        <f t="shared" si="4"/>
        <v>Sí</v>
      </c>
      <c r="Y9">
        <f t="shared" si="5"/>
        <v>9</v>
      </c>
      <c r="Z9">
        <f t="shared" si="6"/>
        <v>17</v>
      </c>
      <c r="AA9" t="str">
        <f t="shared" si="7"/>
        <v>Resto</v>
      </c>
      <c r="AB9">
        <f>SUMIFS('DATOS LIMPIOS'!$M$5:$M$493,'DATOS LIMPIOS'!$E$5:$E$493,B9,'DATOS LIMPIOS'!$T$5:$T$493,"Septiembre")</f>
        <v>206.99483255130713</v>
      </c>
      <c r="AC9">
        <f>COUNTIFS('DATOS LIMPIOS'!$E$5:$E$493,B9,'DATOS LIMPIOS'!$T$5:$T$493,"Septiembre")</f>
        <v>7</v>
      </c>
      <c r="AD9">
        <f>COUNTIFS('DATOS LIMPIOS'!$E$5:$E$493,B9,'DATOS LIMPIOS'!$T$5:$T$493,"&lt;&gt;Octubre")</f>
        <v>12</v>
      </c>
      <c r="AE9">
        <f>IFERROR(AVERAGEIFS('DATOS LIMPIOS'!$M$5:$M$493,'DATOS LIMPIOS'!$E$5:$E$493,B9,'DATOS LIMPIOS'!$T$5:$T$493,"&lt;&gt;Octubre"),"")</f>
        <v>29.089475421519651</v>
      </c>
      <c r="AF9" t="str">
        <f t="shared" si="8"/>
        <v>Sí</v>
      </c>
      <c r="AG9">
        <f t="shared" si="9"/>
        <v>11</v>
      </c>
      <c r="AH9">
        <f t="shared" si="10"/>
        <v>15</v>
      </c>
      <c r="AI9" t="str">
        <f t="shared" si="11"/>
        <v>Resto</v>
      </c>
      <c r="AJ9">
        <f>SUMIFS('DATOS LIMPIOS'!$M$5:$M$493,'DATOS LIMPIOS'!$E$5:$E$493,B9,'DATOS LIMPIOS'!$T$5:$T$493,"Octubre")</f>
        <v>377.9653717364082</v>
      </c>
      <c r="AK9">
        <f>COUNTIFS('DATOS LIMPIOS'!$E$5:$E$493,B9,'DATOS LIMPIOS'!$T$5:$T$493,"Octubre")</f>
        <v>10</v>
      </c>
    </row>
    <row r="10" spans="1:37" x14ac:dyDescent="0.2">
      <c r="A10">
        <v>7</v>
      </c>
      <c r="B10" t="str">
        <f t="array" ref="B10">IFERROR(INDEX('DATOS LIMPIOS'!$E$5:$E$493,MATCH(0,COUNTIF($B$3:B9,'DATOS LIMPIOS'!$E$5:$E$493),0)),"")</f>
        <v>Prepárate para un Ahorro Épico: ¡Flash Sale en todo!</v>
      </c>
      <c r="C10">
        <f>COUNTIF('DATOS LIMPIOS'!$E$5:$E$493,B10)</f>
        <v>2</v>
      </c>
      <c r="D10">
        <f>AVERAGEIF('DATOS LIMPIOS'!$E$5:$E$493,B10,'DATOS LIMPIOS'!$M$5:$M$493)</f>
        <v>30.71624165289527</v>
      </c>
      <c r="E10">
        <f>AVERAGEIF('DATOS LIMPIOS'!$E$5:$E$493,B10,'DATOS LIMPIOS'!$N$5:$N$493)</f>
        <v>13.306453442971776</v>
      </c>
      <c r="F10" t="str">
        <f>INDEX('DATOS LIMPIOS'!$B$5:$B$493,MATCH(B10,'DATOS LIMPIOS'!$E$5:$E$493,0))</f>
        <v>Flash Sale</v>
      </c>
      <c r="G10" t="str">
        <f>INDEX('DATOS LIMPIOS'!$AH$5:$AH$493,MATCH(B10,'DATOS LIMPIOS'!$E$5:$E$493,0))</f>
        <v>No</v>
      </c>
      <c r="H10" t="str">
        <f>INDEX('DATOS LIMPIOS'!$AN$5:$AN$493,MATCH(B10,'DATOS LIMPIOS'!$E$5:$E$493,0))</f>
        <v>No</v>
      </c>
      <c r="I10" t="str">
        <f>INDEX('DATOS LIMPIOS'!$AM$5:$AM$493,MATCH(B10,'DATOS LIMPIOS'!$E$5:$E$493,0))</f>
        <v>No</v>
      </c>
      <c r="J10" t="str">
        <f>INDEX('DATOS LIMPIOS'!$AJ$5:$AJ$493,MATCH(B10,'DATOS LIMPIOS'!$E$5:$E$493,0))</f>
        <v>No</v>
      </c>
      <c r="K10" t="str">
        <f>INDEX('DATOS LIMPIOS'!$AI$5:$AI$493,MATCH(B10,'DATOS LIMPIOS'!$E$5:$E$493,0))</f>
        <v>Sí</v>
      </c>
      <c r="L10" t="str">
        <f>INDEX('DATOS LIMPIOS'!$AR$5:$AR$493,MATCH(B10,'DATOS LIMPIOS'!$E$5:$E$493,0))</f>
        <v>Sí</v>
      </c>
      <c r="N10">
        <f>COUNTIFS('DATOS LIMPIOS'!$E$5:$E$493,B10,'DATOS LIMPIOS'!$T$5:$T$493,"&lt;&gt;Agosto")</f>
        <v>2</v>
      </c>
      <c r="O10">
        <f>IFERROR(AVERAGEIFS('DATOS LIMPIOS'!$M$5:$M$493,'DATOS LIMPIOS'!$E$5:$E$493,B10,'DATOS LIMPIOS'!$T$5:$T$493,"&lt;&gt;Agosto"),"")</f>
        <v>30.71624165289527</v>
      </c>
      <c r="P10" t="str">
        <f t="shared" si="0"/>
        <v>No</v>
      </c>
      <c r="Q10" t="str">
        <f t="shared" si="1"/>
        <v/>
      </c>
      <c r="R10" t="str">
        <f t="shared" si="2"/>
        <v/>
      </c>
      <c r="S10" t="str">
        <f t="shared" si="3"/>
        <v>Resto</v>
      </c>
      <c r="T10">
        <f>SUMIFS('DATOS LIMPIOS'!$M$5:$M$493,'DATOS LIMPIOS'!$E$5:$E$493,B10,'DATOS LIMPIOS'!$T$5:$T$493,"Agosto")</f>
        <v>0</v>
      </c>
      <c r="U10">
        <f>COUNTIFS('DATOS LIMPIOS'!$E$5:$E$493,B10,'DATOS LIMPIOS'!$T$5:$T$493,"Agosto")</f>
        <v>0</v>
      </c>
      <c r="V10">
        <f>COUNTIFS('DATOS LIMPIOS'!$E$5:$E$493,B10,'DATOS LIMPIOS'!$T$5:$T$493,"&lt;&gt;Septiembre")</f>
        <v>0</v>
      </c>
      <c r="W10" t="str">
        <f>IFERROR(AVERAGEIFS('DATOS LIMPIOS'!$M$5:$M$493,'DATOS LIMPIOS'!$E$5:$E$493,B10,'DATOS LIMPIOS'!$T$5:$T$493,"&lt;&gt;Septiembre"),"")</f>
        <v/>
      </c>
      <c r="X10" t="str">
        <f t="shared" si="4"/>
        <v>No</v>
      </c>
      <c r="Y10" t="str">
        <f t="shared" si="5"/>
        <v/>
      </c>
      <c r="Z10" t="str">
        <f t="shared" si="6"/>
        <v/>
      </c>
      <c r="AA10" t="str">
        <f t="shared" si="7"/>
        <v>Resto</v>
      </c>
      <c r="AB10">
        <f>SUMIFS('DATOS LIMPIOS'!$M$5:$M$493,'DATOS LIMPIOS'!$E$5:$E$493,B10,'DATOS LIMPIOS'!$T$5:$T$493,"Septiembre")</f>
        <v>61.432483305790541</v>
      </c>
      <c r="AC10">
        <f>COUNTIFS('DATOS LIMPIOS'!$E$5:$E$493,B10,'DATOS LIMPIOS'!$T$5:$T$493,"Septiembre")</f>
        <v>2</v>
      </c>
      <c r="AD10">
        <f>COUNTIFS('DATOS LIMPIOS'!$E$5:$E$493,B10,'DATOS LIMPIOS'!$T$5:$T$493,"&lt;&gt;Octubre")</f>
        <v>2</v>
      </c>
      <c r="AE10">
        <f>IFERROR(AVERAGEIFS('DATOS LIMPIOS'!$M$5:$M$493,'DATOS LIMPIOS'!$E$5:$E$493,B10,'DATOS LIMPIOS'!$T$5:$T$493,"&lt;&gt;Octubre"),"")</f>
        <v>30.71624165289527</v>
      </c>
      <c r="AF10" t="str">
        <f t="shared" si="8"/>
        <v>No</v>
      </c>
      <c r="AG10" t="str">
        <f t="shared" si="9"/>
        <v/>
      </c>
      <c r="AH10" t="str">
        <f t="shared" si="10"/>
        <v/>
      </c>
      <c r="AI10" t="str">
        <f t="shared" si="11"/>
        <v>Resto</v>
      </c>
      <c r="AJ10">
        <f>SUMIFS('DATOS LIMPIOS'!$M$5:$M$493,'DATOS LIMPIOS'!$E$5:$E$493,B10,'DATOS LIMPIOS'!$T$5:$T$493,"Octubre")</f>
        <v>0</v>
      </c>
      <c r="AK10">
        <f>COUNTIFS('DATOS LIMPIOS'!$E$5:$E$493,B10,'DATOS LIMPIOS'!$T$5:$T$493,"Octubre")</f>
        <v>0</v>
      </c>
    </row>
    <row r="11" spans="1:37" x14ac:dyDescent="0.2">
      <c r="A11">
        <v>8</v>
      </c>
      <c r="B11" t="str">
        <f t="array" ref="B11">IFERROR(INDEX('DATOS LIMPIOS'!$E$5:$E$493,MATCH(0,COUNTIF($B$3:B10,'DATOS LIMPIOS'!$E$5:$E$493),0)),"")</f>
        <v>Presentamos: Nuestro último lanzamiento de belleza ¡Imperdible!</v>
      </c>
      <c r="C11">
        <f>COUNTIF('DATOS LIMPIOS'!$E$5:$E$493,B11)</f>
        <v>33</v>
      </c>
      <c r="D11">
        <f>AVERAGEIF('DATOS LIMPIOS'!$E$5:$E$493,B11,'DATOS LIMPIOS'!$M$5:$M$493)</f>
        <v>23.315840784070005</v>
      </c>
      <c r="E11">
        <f>AVERAGEIF('DATOS LIMPIOS'!$E$5:$E$493,B11,'DATOS LIMPIOS'!$N$5:$N$493)</f>
        <v>8.3866728214971751</v>
      </c>
      <c r="F11" t="str">
        <f>INDEX('DATOS LIMPIOS'!$B$5:$B$493,MATCH(B11,'DATOS LIMPIOS'!$E$5:$E$493,0))</f>
        <v>New Product Launch</v>
      </c>
      <c r="G11" t="str">
        <f>INDEX('DATOS LIMPIOS'!$AH$5:$AH$493,MATCH(B11,'DATOS LIMPIOS'!$E$5:$E$493,0))</f>
        <v>Sí</v>
      </c>
      <c r="H11" t="str">
        <f>INDEX('DATOS LIMPIOS'!$AN$5:$AN$493,MATCH(B11,'DATOS LIMPIOS'!$E$5:$E$493,0))</f>
        <v>No</v>
      </c>
      <c r="I11" t="str">
        <f>INDEX('DATOS LIMPIOS'!$AM$5:$AM$493,MATCH(B11,'DATOS LIMPIOS'!$E$5:$E$493,0))</f>
        <v>Sí</v>
      </c>
      <c r="J11" t="str">
        <f>INDEX('DATOS LIMPIOS'!$AJ$5:$AJ$493,MATCH(B11,'DATOS LIMPIOS'!$E$5:$E$493,0))</f>
        <v>No</v>
      </c>
      <c r="K11" t="str">
        <f>INDEX('DATOS LIMPIOS'!$AI$5:$AI$493,MATCH(B11,'DATOS LIMPIOS'!$E$5:$E$493,0))</f>
        <v>No</v>
      </c>
      <c r="L11" t="str">
        <f>INDEX('DATOS LIMPIOS'!$AR$5:$AR$493,MATCH(B11,'DATOS LIMPIOS'!$E$5:$E$493,0))</f>
        <v>No</v>
      </c>
      <c r="N11">
        <f>COUNTIFS('DATOS LIMPIOS'!$E$5:$E$493,B11,'DATOS LIMPIOS'!$T$5:$T$493,"&lt;&gt;Agosto")</f>
        <v>23</v>
      </c>
      <c r="O11">
        <f>IFERROR(AVERAGEIFS('DATOS LIMPIOS'!$M$5:$M$493,'DATOS LIMPIOS'!$E$5:$E$493,B11,'DATOS LIMPIOS'!$T$5:$T$493,"&lt;&gt;Agosto"),"")</f>
        <v>22.966505014347039</v>
      </c>
      <c r="P11" t="str">
        <f t="shared" si="0"/>
        <v>Sí</v>
      </c>
      <c r="Q11">
        <f t="shared" si="1"/>
        <v>14</v>
      </c>
      <c r="R11">
        <f t="shared" si="2"/>
        <v>8</v>
      </c>
      <c r="S11" t="str">
        <f t="shared" si="3"/>
        <v>Resto</v>
      </c>
      <c r="T11">
        <f>SUMIFS('DATOS LIMPIOS'!$M$5:$M$493,'DATOS LIMPIOS'!$E$5:$E$493,B11,'DATOS LIMPIOS'!$T$5:$T$493,"Agosto")</f>
        <v>241.19313054432823</v>
      </c>
      <c r="U11">
        <f>COUNTIFS('DATOS LIMPIOS'!$E$5:$E$493,B11,'DATOS LIMPIOS'!$T$5:$T$493,"Agosto")</f>
        <v>10</v>
      </c>
      <c r="V11">
        <f>COUNTIFS('DATOS LIMPIOS'!$E$5:$E$493,B11,'DATOS LIMPIOS'!$T$5:$T$493,"&lt;&gt;Septiembre")</f>
        <v>23</v>
      </c>
      <c r="W11">
        <f>IFERROR(AVERAGEIFS('DATOS LIMPIOS'!$M$5:$M$493,'DATOS LIMPIOS'!$E$5:$E$493,B11,'DATOS LIMPIOS'!$T$5:$T$493,"&lt;&gt;Septiembre"),"")</f>
        <v>25.838263284180041</v>
      </c>
      <c r="X11" t="str">
        <f t="shared" si="4"/>
        <v>Sí</v>
      </c>
      <c r="Y11">
        <f t="shared" si="5"/>
        <v>14</v>
      </c>
      <c r="Z11">
        <f t="shared" si="6"/>
        <v>12</v>
      </c>
      <c r="AA11" t="str">
        <f t="shared" si="7"/>
        <v>Resto</v>
      </c>
      <c r="AB11">
        <f>SUMIFS('DATOS LIMPIOS'!$M$5:$M$493,'DATOS LIMPIOS'!$E$5:$E$493,B11,'DATOS LIMPIOS'!$T$5:$T$493,"Septiembre")</f>
        <v>175.14269033816936</v>
      </c>
      <c r="AC11">
        <f>COUNTIFS('DATOS LIMPIOS'!$E$5:$E$493,B11,'DATOS LIMPIOS'!$T$5:$T$493,"Septiembre")</f>
        <v>10</v>
      </c>
      <c r="AD11">
        <f>COUNTIFS('DATOS LIMPIOS'!$E$5:$E$493,B11,'DATOS LIMPIOS'!$T$5:$T$493,"&lt;&gt;Octubre")</f>
        <v>20</v>
      </c>
      <c r="AE11">
        <f>IFERROR(AVERAGEIFS('DATOS LIMPIOS'!$M$5:$M$493,'DATOS LIMPIOS'!$E$5:$E$493,B11,'DATOS LIMPIOS'!$T$5:$T$493,"&lt;&gt;Octubre"),"")</f>
        <v>20.816791044124876</v>
      </c>
      <c r="AF11" t="str">
        <f t="shared" si="8"/>
        <v>Sí</v>
      </c>
      <c r="AG11">
        <f t="shared" si="9"/>
        <v>18</v>
      </c>
      <c r="AH11">
        <f t="shared" si="10"/>
        <v>8</v>
      </c>
      <c r="AI11" t="str">
        <f t="shared" si="11"/>
        <v>Resto</v>
      </c>
      <c r="AJ11">
        <f>SUMIFS('DATOS LIMPIOS'!$M$5:$M$493,'DATOS LIMPIOS'!$E$5:$E$493,B11,'DATOS LIMPIOS'!$T$5:$T$493,"Octubre")</f>
        <v>353.08692499181257</v>
      </c>
      <c r="AK11">
        <f>COUNTIFS('DATOS LIMPIOS'!$E$5:$E$493,B11,'DATOS LIMPIOS'!$T$5:$T$493,"Octubre")</f>
        <v>13</v>
      </c>
    </row>
    <row r="12" spans="1:37" x14ac:dyDescent="0.2">
      <c r="A12">
        <v>9</v>
      </c>
      <c r="B12" t="str">
        <f t="array" ref="B12">IFERROR(INDEX('DATOS LIMPIOS'!$E$5:$E$493,MATCH(0,COUNTIF($B$3:B11,'DATOS LIMPIOS'!$E$5:$E$493),0)),"")</f>
        <v>¡Pensamos en ti! Descubre estas sorpresas exclusivas</v>
      </c>
      <c r="C12">
        <f>COUNTIF('DATOS LIMPIOS'!$E$5:$E$493,B12)</f>
        <v>20</v>
      </c>
      <c r="D12">
        <f>AVERAGEIF('DATOS LIMPIOS'!$E$5:$E$493,B12,'DATOS LIMPIOS'!$M$5:$M$493)</f>
        <v>39.210446566150395</v>
      </c>
      <c r="E12">
        <f>AVERAGEIF('DATOS LIMPIOS'!$E$5:$E$493,B12,'DATOS LIMPIOS'!$N$5:$N$493)</f>
        <v>12.290336402782355</v>
      </c>
      <c r="F12" t="str">
        <f>INDEX('DATOS LIMPIOS'!$B$5:$B$493,MATCH(B12,'DATOS LIMPIOS'!$E$5:$E$493,0))</f>
        <v>Customer Appreciation</v>
      </c>
      <c r="G12" t="str">
        <f>INDEX('DATOS LIMPIOS'!$AH$5:$AH$493,MATCH(B12,'DATOS LIMPIOS'!$E$5:$E$493,0))</f>
        <v>No</v>
      </c>
      <c r="H12" t="str">
        <f>INDEX('DATOS LIMPIOS'!$AN$5:$AN$493,MATCH(B12,'DATOS LIMPIOS'!$E$5:$E$493,0))</f>
        <v>No</v>
      </c>
      <c r="I12" t="str">
        <f>INDEX('DATOS LIMPIOS'!$AM$5:$AM$493,MATCH(B12,'DATOS LIMPIOS'!$E$5:$E$493,0))</f>
        <v>No</v>
      </c>
      <c r="J12" t="str">
        <f>INDEX('DATOS LIMPIOS'!$AJ$5:$AJ$493,MATCH(B12,'DATOS LIMPIOS'!$E$5:$E$493,0))</f>
        <v>No</v>
      </c>
      <c r="K12" t="str">
        <f>INDEX('DATOS LIMPIOS'!$AI$5:$AI$493,MATCH(B12,'DATOS LIMPIOS'!$E$5:$E$493,0))</f>
        <v>Sí</v>
      </c>
      <c r="L12" t="str">
        <f>INDEX('DATOS LIMPIOS'!$AR$5:$AR$493,MATCH(B12,'DATOS LIMPIOS'!$E$5:$E$493,0))</f>
        <v>Sí</v>
      </c>
      <c r="N12">
        <f>COUNTIFS('DATOS LIMPIOS'!$E$5:$E$493,B12,'DATOS LIMPIOS'!$T$5:$T$493,"&lt;&gt;Agosto")</f>
        <v>11</v>
      </c>
      <c r="O12">
        <f>IFERROR(AVERAGEIFS('DATOS LIMPIOS'!$M$5:$M$493,'DATOS LIMPIOS'!$E$5:$E$493,B12,'DATOS LIMPIOS'!$T$5:$T$493,"&lt;&gt;Agosto"),"")</f>
        <v>38.439301358433291</v>
      </c>
      <c r="P12" t="str">
        <f t="shared" si="0"/>
        <v>Sí</v>
      </c>
      <c r="Q12">
        <f t="shared" si="1"/>
        <v>3</v>
      </c>
      <c r="R12">
        <f t="shared" si="2"/>
        <v>19</v>
      </c>
      <c r="S12" t="str">
        <f t="shared" si="3"/>
        <v>5 mejores</v>
      </c>
      <c r="T12">
        <f>SUMIFS('DATOS LIMPIOS'!$M$5:$M$493,'DATOS LIMPIOS'!$E$5:$E$493,B12,'DATOS LIMPIOS'!$T$5:$T$493,"Agosto")</f>
        <v>361.37661638024167</v>
      </c>
      <c r="U12">
        <f>COUNTIFS('DATOS LIMPIOS'!$E$5:$E$493,B12,'DATOS LIMPIOS'!$T$5:$T$493,"Agosto")</f>
        <v>9</v>
      </c>
      <c r="V12">
        <f>COUNTIFS('DATOS LIMPIOS'!$E$5:$E$493,B12,'DATOS LIMPIOS'!$T$5:$T$493,"&lt;&gt;Septiembre")</f>
        <v>12</v>
      </c>
      <c r="W12">
        <f>IFERROR(AVERAGEIFS('DATOS LIMPIOS'!$M$5:$M$493,'DATOS LIMPIOS'!$E$5:$E$493,B12,'DATOS LIMPIOS'!$T$5:$T$493,"&lt;&gt;Septiembre"),"")</f>
        <v>41.25750874521863</v>
      </c>
      <c r="X12" t="str">
        <f t="shared" si="4"/>
        <v>Sí</v>
      </c>
      <c r="Y12">
        <f t="shared" si="5"/>
        <v>2</v>
      </c>
      <c r="Z12">
        <f t="shared" si="6"/>
        <v>24</v>
      </c>
      <c r="AA12" t="str">
        <f t="shared" si="7"/>
        <v>5 mejores</v>
      </c>
      <c r="AB12">
        <f>SUMIFS('DATOS LIMPIOS'!$M$5:$M$493,'DATOS LIMPIOS'!$E$5:$E$493,B12,'DATOS LIMPIOS'!$T$5:$T$493,"Septiembre")</f>
        <v>289.11882638038429</v>
      </c>
      <c r="AC12">
        <f>COUNTIFS('DATOS LIMPIOS'!$E$5:$E$493,B12,'DATOS LIMPIOS'!$T$5:$T$493,"Septiembre")</f>
        <v>8</v>
      </c>
      <c r="AD12">
        <f>COUNTIFS('DATOS LIMPIOS'!$E$5:$E$493,B12,'DATOS LIMPIOS'!$T$5:$T$493,"&lt;&gt;Octubre")</f>
        <v>17</v>
      </c>
      <c r="AE12">
        <f>IFERROR(AVERAGEIFS('DATOS LIMPIOS'!$M$5:$M$493,'DATOS LIMPIOS'!$E$5:$E$493,B12,'DATOS LIMPIOS'!$T$5:$T$493,"&lt;&gt;Octubre"),"")</f>
        <v>38.264437809448594</v>
      </c>
      <c r="AF12" t="str">
        <f t="shared" si="8"/>
        <v>Sí</v>
      </c>
      <c r="AG12">
        <f t="shared" si="9"/>
        <v>4</v>
      </c>
      <c r="AH12">
        <f t="shared" si="10"/>
        <v>22</v>
      </c>
      <c r="AI12" t="str">
        <f t="shared" si="11"/>
        <v>5 mejores</v>
      </c>
      <c r="AJ12">
        <f>SUMIFS('DATOS LIMPIOS'!$M$5:$M$493,'DATOS LIMPIOS'!$E$5:$E$493,B12,'DATOS LIMPIOS'!$T$5:$T$493,"Octubre")</f>
        <v>133.71348856238191</v>
      </c>
      <c r="AK12">
        <f>COUNTIFS('DATOS LIMPIOS'!$E$5:$E$493,B12,'DATOS LIMPIOS'!$T$5:$T$493,"Octubre")</f>
        <v>3</v>
      </c>
    </row>
    <row r="13" spans="1:37" x14ac:dyDescent="0.2">
      <c r="A13">
        <v>10</v>
      </c>
      <c r="B13" t="str">
        <f t="array" ref="B13">IFERROR(INDEX('DATOS LIMPIOS'!$E$5:$E$493,MATCH(0,COUNTIF($B$3:B12,'DATOS LIMPIOS'!$E$5:$E$493),0)),"")</f>
        <v>Tu Dosis de Belleza: ¡No te lo pierdas! Tips y trucos</v>
      </c>
      <c r="C13">
        <f>COUNTIF('DATOS LIMPIOS'!$E$5:$E$493,B13)</f>
        <v>25</v>
      </c>
      <c r="D13">
        <f>AVERAGEIF('DATOS LIMPIOS'!$E$5:$E$493,B13,'DATOS LIMPIOS'!$M$5:$M$493)</f>
        <v>33.412775116147934</v>
      </c>
      <c r="E13">
        <f>AVERAGEIF('DATOS LIMPIOS'!$E$5:$E$493,B13,'DATOS LIMPIOS'!$N$5:$N$493)</f>
        <v>12.982833908482792</v>
      </c>
      <c r="F13" t="str">
        <f>INDEX('DATOS LIMPIOS'!$B$5:$B$493,MATCH(B13,'DATOS LIMPIOS'!$E$5:$E$493,0))</f>
        <v>Newsletter</v>
      </c>
      <c r="G13" t="str">
        <f>INDEX('DATOS LIMPIOS'!$AH$5:$AH$493,MATCH(B13,'DATOS LIMPIOS'!$E$5:$E$493,0))</f>
        <v>No</v>
      </c>
      <c r="H13" t="str">
        <f>INDEX('DATOS LIMPIOS'!$AN$5:$AN$493,MATCH(B13,'DATOS LIMPIOS'!$E$5:$E$493,0))</f>
        <v>No</v>
      </c>
      <c r="I13" t="str">
        <f>INDEX('DATOS LIMPIOS'!$AM$5:$AM$493,MATCH(B13,'DATOS LIMPIOS'!$E$5:$E$493,0))</f>
        <v>Sí</v>
      </c>
      <c r="J13" t="str">
        <f>INDEX('DATOS LIMPIOS'!$AJ$5:$AJ$493,MATCH(B13,'DATOS LIMPIOS'!$E$5:$E$493,0))</f>
        <v>No</v>
      </c>
      <c r="K13" t="str">
        <f>INDEX('DATOS LIMPIOS'!$AI$5:$AI$493,MATCH(B13,'DATOS LIMPIOS'!$E$5:$E$493,0))</f>
        <v>No</v>
      </c>
      <c r="L13" t="str">
        <f>INDEX('DATOS LIMPIOS'!$AR$5:$AR$493,MATCH(B13,'DATOS LIMPIOS'!$E$5:$E$493,0))</f>
        <v>No</v>
      </c>
      <c r="N13">
        <f>COUNTIFS('DATOS LIMPIOS'!$E$5:$E$493,B13,'DATOS LIMPIOS'!$T$5:$T$493,"&lt;&gt;Agosto")</f>
        <v>16</v>
      </c>
      <c r="O13">
        <f>IFERROR(AVERAGEIFS('DATOS LIMPIOS'!$M$5:$M$493,'DATOS LIMPIOS'!$E$5:$E$493,B13,'DATOS LIMPIOS'!$T$5:$T$493,"&lt;&gt;Agosto"),"")</f>
        <v>33.268404337726651</v>
      </c>
      <c r="P13" t="str">
        <f t="shared" si="0"/>
        <v>Sí</v>
      </c>
      <c r="Q13">
        <f t="shared" si="1"/>
        <v>10</v>
      </c>
      <c r="R13">
        <f t="shared" si="2"/>
        <v>12</v>
      </c>
      <c r="S13" t="str">
        <f t="shared" si="3"/>
        <v>Resto</v>
      </c>
      <c r="T13">
        <f>SUMIFS('DATOS LIMPIOS'!$M$5:$M$493,'DATOS LIMPIOS'!$E$5:$E$493,B13,'DATOS LIMPIOS'!$T$5:$T$493,"Agosto")</f>
        <v>303.02490850007189</v>
      </c>
      <c r="U13">
        <f>COUNTIFS('DATOS LIMPIOS'!$E$5:$E$493,B13,'DATOS LIMPIOS'!$T$5:$T$493,"Agosto")</f>
        <v>9</v>
      </c>
      <c r="V13">
        <f>COUNTIFS('DATOS LIMPIOS'!$E$5:$E$493,B13,'DATOS LIMPIOS'!$T$5:$T$493,"&lt;&gt;Septiembre")</f>
        <v>16</v>
      </c>
      <c r="W13">
        <f>IFERROR(AVERAGEIFS('DATOS LIMPIOS'!$M$5:$M$493,'DATOS LIMPIOS'!$E$5:$E$493,B13,'DATOS LIMPIOS'!$T$5:$T$493,"&lt;&gt;Septiembre"),"")</f>
        <v>32.776324555580125</v>
      </c>
      <c r="X13" t="str">
        <f t="shared" si="4"/>
        <v>Sí</v>
      </c>
      <c r="Y13">
        <f t="shared" si="5"/>
        <v>10</v>
      </c>
      <c r="Z13">
        <f t="shared" si="6"/>
        <v>16</v>
      </c>
      <c r="AA13" t="str">
        <f t="shared" si="7"/>
        <v>Resto</v>
      </c>
      <c r="AB13">
        <f>SUMIFS('DATOS LIMPIOS'!$M$5:$M$493,'DATOS LIMPIOS'!$E$5:$E$493,B13,'DATOS LIMPIOS'!$T$5:$T$493,"Septiembre")</f>
        <v>310.8981850144163</v>
      </c>
      <c r="AC13">
        <f>COUNTIFS('DATOS LIMPIOS'!$E$5:$E$493,B13,'DATOS LIMPIOS'!$T$5:$T$493,"Septiembre")</f>
        <v>9</v>
      </c>
      <c r="AD13">
        <f>COUNTIFS('DATOS LIMPIOS'!$E$5:$E$493,B13,'DATOS LIMPIOS'!$T$5:$T$493,"&lt;&gt;Octubre")</f>
        <v>18</v>
      </c>
      <c r="AE13">
        <f>IFERROR(AVERAGEIFS('DATOS LIMPIOS'!$M$5:$M$493,'DATOS LIMPIOS'!$E$5:$E$493,B13,'DATOS LIMPIOS'!$T$5:$T$493,"&lt;&gt;Octubre"),"")</f>
        <v>34.106838528582678</v>
      </c>
      <c r="AF13" t="str">
        <f t="shared" si="8"/>
        <v>Sí</v>
      </c>
      <c r="AG13">
        <f t="shared" si="9"/>
        <v>8</v>
      </c>
      <c r="AH13">
        <f t="shared" si="10"/>
        <v>18</v>
      </c>
      <c r="AI13" t="str">
        <f t="shared" si="11"/>
        <v>Resto</v>
      </c>
      <c r="AJ13">
        <f>SUMIFS('DATOS LIMPIOS'!$M$5:$M$493,'DATOS LIMPIOS'!$E$5:$E$493,B13,'DATOS LIMPIOS'!$T$5:$T$493,"Octubre")</f>
        <v>221.39628438921022</v>
      </c>
      <c r="AK13">
        <f>COUNTIFS('DATOS LIMPIOS'!$E$5:$E$493,B13,'DATOS LIMPIOS'!$T$5:$T$493,"Octubre")</f>
        <v>7</v>
      </c>
    </row>
    <row r="14" spans="1:37" x14ac:dyDescent="0.2">
      <c r="A14">
        <v>11</v>
      </c>
      <c r="B14" t="str">
        <f t="array" ref="B14">IFERROR(INDEX('DATOS LIMPIOS'!$E$5:$E$493,MATCH(0,COUNTIF($B$3:B13,'DATOS LIMPIOS'!$E$5:$E$493),0)),"")</f>
        <v>¡Exclusivo para nuestros clientes VIP! Descuentos únicos</v>
      </c>
      <c r="C14">
        <f>COUNTIF('DATOS LIMPIOS'!$E$5:$E$493,B14)</f>
        <v>1</v>
      </c>
      <c r="D14">
        <f>AVERAGEIF('DATOS LIMPIOS'!$E$5:$E$493,B14,'DATOS LIMPIOS'!$M$5:$M$493)</f>
        <v>12.293601518805481</v>
      </c>
      <c r="E14">
        <f>AVERAGEIF('DATOS LIMPIOS'!$E$5:$E$493,B14,'DATOS LIMPIOS'!$N$5:$N$493)</f>
        <v>2.1201703525065421</v>
      </c>
      <c r="F14" t="str">
        <f>INDEX('DATOS LIMPIOS'!$B$5:$B$493,MATCH(B14,'DATOS LIMPIOS'!$E$5:$E$493,0))</f>
        <v>Exclusive Offers</v>
      </c>
      <c r="G14" t="str">
        <f>INDEX('DATOS LIMPIOS'!$AH$5:$AH$493,MATCH(B14,'DATOS LIMPIOS'!$E$5:$E$493,0))</f>
        <v>No</v>
      </c>
      <c r="H14" t="str">
        <f>INDEX('DATOS LIMPIOS'!$AN$5:$AN$493,MATCH(B14,'DATOS LIMPIOS'!$E$5:$E$493,0))</f>
        <v>Sí</v>
      </c>
      <c r="I14" t="str">
        <f>INDEX('DATOS LIMPIOS'!$AM$5:$AM$493,MATCH(B14,'DATOS LIMPIOS'!$E$5:$E$493,0))</f>
        <v>No</v>
      </c>
      <c r="J14" t="str">
        <f>INDEX('DATOS LIMPIOS'!$AJ$5:$AJ$493,MATCH(B14,'DATOS LIMPIOS'!$E$5:$E$493,0))</f>
        <v>No</v>
      </c>
      <c r="K14" t="str">
        <f>INDEX('DATOS LIMPIOS'!$AI$5:$AI$493,MATCH(B14,'DATOS LIMPIOS'!$E$5:$E$493,0))</f>
        <v>Sí</v>
      </c>
      <c r="L14" t="str">
        <f>INDEX('DATOS LIMPIOS'!$AR$5:$AR$493,MATCH(B14,'DATOS LIMPIOS'!$E$5:$E$493,0))</f>
        <v>Sí</v>
      </c>
      <c r="N14">
        <f>COUNTIFS('DATOS LIMPIOS'!$E$5:$E$493,B14,'DATOS LIMPIOS'!$T$5:$T$493,"&lt;&gt;Agosto")</f>
        <v>0</v>
      </c>
      <c r="O14" t="str">
        <f>IFERROR(AVERAGEIFS('DATOS LIMPIOS'!$M$5:$M$493,'DATOS LIMPIOS'!$E$5:$E$493,B14,'DATOS LIMPIOS'!$T$5:$T$493,"&lt;&gt;Agosto"),"")</f>
        <v/>
      </c>
      <c r="P14" t="str">
        <f t="shared" si="0"/>
        <v>No</v>
      </c>
      <c r="Q14" t="str">
        <f t="shared" si="1"/>
        <v/>
      </c>
      <c r="R14" t="str">
        <f t="shared" si="2"/>
        <v/>
      </c>
      <c r="S14" t="str">
        <f t="shared" si="3"/>
        <v>Resto</v>
      </c>
      <c r="T14">
        <f>SUMIFS('DATOS LIMPIOS'!$M$5:$M$493,'DATOS LIMPIOS'!$E$5:$E$493,B14,'DATOS LIMPIOS'!$T$5:$T$493,"Agosto")</f>
        <v>12.293601518805481</v>
      </c>
      <c r="U14">
        <f>COUNTIFS('DATOS LIMPIOS'!$E$5:$E$493,B14,'DATOS LIMPIOS'!$T$5:$T$493,"Agosto")</f>
        <v>1</v>
      </c>
      <c r="V14">
        <f>COUNTIFS('DATOS LIMPIOS'!$E$5:$E$493,B14,'DATOS LIMPIOS'!$T$5:$T$493,"&lt;&gt;Septiembre")</f>
        <v>1</v>
      </c>
      <c r="W14">
        <f>IFERROR(AVERAGEIFS('DATOS LIMPIOS'!$M$5:$M$493,'DATOS LIMPIOS'!$E$5:$E$493,B14,'DATOS LIMPIOS'!$T$5:$T$493,"&lt;&gt;Septiembre"),"")</f>
        <v>12.293601518805481</v>
      </c>
      <c r="X14" t="str">
        <f t="shared" si="4"/>
        <v>No</v>
      </c>
      <c r="Y14" t="str">
        <f t="shared" si="5"/>
        <v/>
      </c>
      <c r="Z14" t="str">
        <f t="shared" si="6"/>
        <v/>
      </c>
      <c r="AA14" t="str">
        <f t="shared" si="7"/>
        <v>Resto</v>
      </c>
      <c r="AB14">
        <f>SUMIFS('DATOS LIMPIOS'!$M$5:$M$493,'DATOS LIMPIOS'!$E$5:$E$493,B14,'DATOS LIMPIOS'!$T$5:$T$493,"Septiembre")</f>
        <v>0</v>
      </c>
      <c r="AC14">
        <f>COUNTIFS('DATOS LIMPIOS'!$E$5:$E$493,B14,'DATOS LIMPIOS'!$T$5:$T$493,"Septiembre")</f>
        <v>0</v>
      </c>
      <c r="AD14">
        <f>COUNTIFS('DATOS LIMPIOS'!$E$5:$E$493,B14,'DATOS LIMPIOS'!$T$5:$T$493,"&lt;&gt;Octubre")</f>
        <v>1</v>
      </c>
      <c r="AE14">
        <f>IFERROR(AVERAGEIFS('DATOS LIMPIOS'!$M$5:$M$493,'DATOS LIMPIOS'!$E$5:$E$493,B14,'DATOS LIMPIOS'!$T$5:$T$493,"&lt;&gt;Octubre"),"")</f>
        <v>12.293601518805481</v>
      </c>
      <c r="AF14" t="str">
        <f t="shared" si="8"/>
        <v>No</v>
      </c>
      <c r="AG14" t="str">
        <f t="shared" si="9"/>
        <v/>
      </c>
      <c r="AH14" t="str">
        <f t="shared" si="10"/>
        <v/>
      </c>
      <c r="AI14" t="str">
        <f t="shared" si="11"/>
        <v>Resto</v>
      </c>
      <c r="AJ14">
        <f>SUMIFS('DATOS LIMPIOS'!$M$5:$M$493,'DATOS LIMPIOS'!$E$5:$E$493,B14,'DATOS LIMPIOS'!$T$5:$T$493,"Octubre")</f>
        <v>0</v>
      </c>
      <c r="AK14">
        <f>COUNTIFS('DATOS LIMPIOS'!$E$5:$E$493,B14,'DATOS LIMPIOS'!$T$5:$T$493,"Octubre")</f>
        <v>0</v>
      </c>
    </row>
    <row r="15" spans="1:37" x14ac:dyDescent="0.2">
      <c r="A15">
        <v>12</v>
      </c>
      <c r="B15" t="str">
        <f t="array" ref="B15">IFERROR(INDEX('DATOS LIMPIOS'!$E$5:$E$493,MATCH(0,COUNTIF($B$3:B14,'DATOS LIMPIOS'!$E$5:$E$493),0)),"")</f>
        <v>Novedades L'Oréal: Mantente al día con lo último en belleza</v>
      </c>
      <c r="C15">
        <f>COUNTIF('DATOS LIMPIOS'!$E$5:$E$493,B15)</f>
        <v>2</v>
      </c>
      <c r="D15">
        <f>AVERAGEIF('DATOS LIMPIOS'!$E$5:$E$493,B15,'DATOS LIMPIOS'!$M$5:$M$493)</f>
        <v>25.803011620537188</v>
      </c>
      <c r="E15">
        <f>AVERAGEIF('DATOS LIMPIOS'!$E$5:$E$493,B15,'DATOS LIMPIOS'!$N$5:$N$493)</f>
        <v>6.7764759056802681</v>
      </c>
      <c r="F15" t="str">
        <f>INDEX('DATOS LIMPIOS'!$B$5:$B$493,MATCH(B15,'DATOS LIMPIOS'!$E$5:$E$493,0))</f>
        <v>Newsletter</v>
      </c>
      <c r="G15" t="str">
        <f>INDEX('DATOS LIMPIOS'!$AH$5:$AH$493,MATCH(B15,'DATOS LIMPIOS'!$E$5:$E$493,0))</f>
        <v>Sí</v>
      </c>
      <c r="H15" t="str">
        <f>INDEX('DATOS LIMPIOS'!$AN$5:$AN$493,MATCH(B15,'DATOS LIMPIOS'!$E$5:$E$493,0))</f>
        <v>No</v>
      </c>
      <c r="I15" t="str">
        <f>INDEX('DATOS LIMPIOS'!$AM$5:$AM$493,MATCH(B15,'DATOS LIMPIOS'!$E$5:$E$493,0))</f>
        <v>Sí</v>
      </c>
      <c r="J15" t="str">
        <f>INDEX('DATOS LIMPIOS'!$AJ$5:$AJ$493,MATCH(B15,'DATOS LIMPIOS'!$E$5:$E$493,0))</f>
        <v>No</v>
      </c>
      <c r="K15" t="str">
        <f>INDEX('DATOS LIMPIOS'!$AI$5:$AI$493,MATCH(B15,'DATOS LIMPIOS'!$E$5:$E$493,0))</f>
        <v>No</v>
      </c>
      <c r="L15" t="str">
        <f>INDEX('DATOS LIMPIOS'!$AR$5:$AR$493,MATCH(B15,'DATOS LIMPIOS'!$E$5:$E$493,0))</f>
        <v>No</v>
      </c>
      <c r="N15">
        <f>COUNTIFS('DATOS LIMPIOS'!$E$5:$E$493,B15,'DATOS LIMPIOS'!$T$5:$T$493,"&lt;&gt;Agosto")</f>
        <v>1</v>
      </c>
      <c r="O15">
        <f>IFERROR(AVERAGEIFS('DATOS LIMPIOS'!$M$5:$M$493,'DATOS LIMPIOS'!$E$5:$E$493,B15,'DATOS LIMPIOS'!$T$5:$T$493,"&lt;&gt;Agosto"),"")</f>
        <v>7.8894013644662255</v>
      </c>
      <c r="P15" t="str">
        <f t="shared" si="0"/>
        <v>No</v>
      </c>
      <c r="Q15" t="str">
        <f t="shared" si="1"/>
        <v/>
      </c>
      <c r="R15" t="str">
        <f t="shared" si="2"/>
        <v/>
      </c>
      <c r="S15" t="str">
        <f t="shared" si="3"/>
        <v>Resto</v>
      </c>
      <c r="T15">
        <f>SUMIFS('DATOS LIMPIOS'!$M$5:$M$493,'DATOS LIMPIOS'!$E$5:$E$493,B15,'DATOS LIMPIOS'!$T$5:$T$493,"Agosto")</f>
        <v>43.716621876608151</v>
      </c>
      <c r="U15">
        <f>COUNTIFS('DATOS LIMPIOS'!$E$5:$E$493,B15,'DATOS LIMPIOS'!$T$5:$T$493,"Agosto")</f>
        <v>1</v>
      </c>
      <c r="V15">
        <f>COUNTIFS('DATOS LIMPIOS'!$E$5:$E$493,B15,'DATOS LIMPIOS'!$T$5:$T$493,"&lt;&gt;Septiembre")</f>
        <v>2</v>
      </c>
      <c r="W15">
        <f>IFERROR(AVERAGEIFS('DATOS LIMPIOS'!$M$5:$M$493,'DATOS LIMPIOS'!$E$5:$E$493,B15,'DATOS LIMPIOS'!$T$5:$T$493,"&lt;&gt;Septiembre"),"")</f>
        <v>25.803011620537188</v>
      </c>
      <c r="X15" t="str">
        <f t="shared" si="4"/>
        <v>No</v>
      </c>
      <c r="Y15" t="str">
        <f t="shared" si="5"/>
        <v/>
      </c>
      <c r="Z15" t="str">
        <f t="shared" si="6"/>
        <v/>
      </c>
      <c r="AA15" t="str">
        <f t="shared" si="7"/>
        <v>Resto</v>
      </c>
      <c r="AB15">
        <f>SUMIFS('DATOS LIMPIOS'!$M$5:$M$493,'DATOS LIMPIOS'!$E$5:$E$493,B15,'DATOS LIMPIOS'!$T$5:$T$493,"Septiembre")</f>
        <v>0</v>
      </c>
      <c r="AC15">
        <f>COUNTIFS('DATOS LIMPIOS'!$E$5:$E$493,B15,'DATOS LIMPIOS'!$T$5:$T$493,"Septiembre")</f>
        <v>0</v>
      </c>
      <c r="AD15">
        <f>COUNTIFS('DATOS LIMPIOS'!$E$5:$E$493,B15,'DATOS LIMPIOS'!$T$5:$T$493,"&lt;&gt;Octubre")</f>
        <v>1</v>
      </c>
      <c r="AE15">
        <f>IFERROR(AVERAGEIFS('DATOS LIMPIOS'!$M$5:$M$493,'DATOS LIMPIOS'!$E$5:$E$493,B15,'DATOS LIMPIOS'!$T$5:$T$493,"&lt;&gt;Octubre"),"")</f>
        <v>43.716621876608151</v>
      </c>
      <c r="AF15" t="str">
        <f t="shared" si="8"/>
        <v>No</v>
      </c>
      <c r="AG15" t="str">
        <f t="shared" si="9"/>
        <v/>
      </c>
      <c r="AH15" t="str">
        <f t="shared" si="10"/>
        <v/>
      </c>
      <c r="AI15" t="str">
        <f t="shared" si="11"/>
        <v>Resto</v>
      </c>
      <c r="AJ15">
        <f>SUMIFS('DATOS LIMPIOS'!$M$5:$M$493,'DATOS LIMPIOS'!$E$5:$E$493,B15,'DATOS LIMPIOS'!$T$5:$T$493,"Octubre")</f>
        <v>7.8894013644662255</v>
      </c>
      <c r="AK15">
        <f>COUNTIFS('DATOS LIMPIOS'!$E$5:$E$493,B15,'DATOS LIMPIOS'!$T$5:$T$493,"Octubre")</f>
        <v>1</v>
      </c>
    </row>
    <row r="16" spans="1:37" x14ac:dyDescent="0.2">
      <c r="A16">
        <v>13</v>
      </c>
      <c r="B16" t="str">
        <f t="array" ref="B16">IFERROR(INDEX('DATOS LIMPIOS'!$E$5:$E$493,MATCH(0,COUNTIF($B$3:B15,'DATOS LIMPIOS'!$E$5:$E$493),0)),"")</f>
        <v>¡El futuro de tu piel ha llegado! Nuevo Producto estrella</v>
      </c>
      <c r="C16">
        <f>COUNTIF('DATOS LIMPIOS'!$E$5:$E$493,B16)</f>
        <v>3</v>
      </c>
      <c r="D16">
        <f>AVERAGEIF('DATOS LIMPIOS'!$E$5:$E$493,B16,'DATOS LIMPIOS'!$M$5:$M$493)</f>
        <v>35.394522582730353</v>
      </c>
      <c r="E16">
        <f>AVERAGEIF('DATOS LIMPIOS'!$E$5:$E$493,B16,'DATOS LIMPIOS'!$N$5:$N$493)</f>
        <v>8.8097570142870598</v>
      </c>
      <c r="F16" t="str">
        <f>INDEX('DATOS LIMPIOS'!$B$5:$B$493,MATCH(B16,'DATOS LIMPIOS'!$E$5:$E$493,0))</f>
        <v>New Product Launch</v>
      </c>
      <c r="G16" t="str">
        <f>INDEX('DATOS LIMPIOS'!$AH$5:$AH$493,MATCH(B16,'DATOS LIMPIOS'!$E$5:$E$493,0))</f>
        <v>No</v>
      </c>
      <c r="H16" t="str">
        <f>INDEX('DATOS LIMPIOS'!$AN$5:$AN$493,MATCH(B16,'DATOS LIMPIOS'!$E$5:$E$493,0))</f>
        <v>No</v>
      </c>
      <c r="I16" t="str">
        <f>INDEX('DATOS LIMPIOS'!$AM$5:$AM$493,MATCH(B16,'DATOS LIMPIOS'!$E$5:$E$493,0))</f>
        <v>Sí</v>
      </c>
      <c r="J16" t="str">
        <f>INDEX('DATOS LIMPIOS'!$AJ$5:$AJ$493,MATCH(B16,'DATOS LIMPIOS'!$E$5:$E$493,0))</f>
        <v>No</v>
      </c>
      <c r="K16" t="str">
        <f>INDEX('DATOS LIMPIOS'!$AI$5:$AI$493,MATCH(B16,'DATOS LIMPIOS'!$E$5:$E$493,0))</f>
        <v>No</v>
      </c>
      <c r="L16" t="str">
        <f>INDEX('DATOS LIMPIOS'!$AR$5:$AR$493,MATCH(B16,'DATOS LIMPIOS'!$E$5:$E$493,0))</f>
        <v>No</v>
      </c>
      <c r="N16">
        <f>COUNTIFS('DATOS LIMPIOS'!$E$5:$E$493,B16,'DATOS LIMPIOS'!$T$5:$T$493,"&lt;&gt;Agosto")</f>
        <v>2</v>
      </c>
      <c r="O16">
        <f>IFERROR(AVERAGEIFS('DATOS LIMPIOS'!$M$5:$M$493,'DATOS LIMPIOS'!$E$5:$E$493,B16,'DATOS LIMPIOS'!$T$5:$T$493,"&lt;&gt;Agosto"),"")</f>
        <v>47.37609676845311</v>
      </c>
      <c r="P16" t="str">
        <f t="shared" si="0"/>
        <v>No</v>
      </c>
      <c r="Q16" t="str">
        <f t="shared" si="1"/>
        <v/>
      </c>
      <c r="R16" t="str">
        <f t="shared" si="2"/>
        <v/>
      </c>
      <c r="S16" t="str">
        <f t="shared" si="3"/>
        <v>Resto</v>
      </c>
      <c r="T16">
        <f>SUMIFS('DATOS LIMPIOS'!$M$5:$M$493,'DATOS LIMPIOS'!$E$5:$E$493,B16,'DATOS LIMPIOS'!$T$5:$T$493,"Agosto")</f>
        <v>11.431374211284833</v>
      </c>
      <c r="U16">
        <f>COUNTIFS('DATOS LIMPIOS'!$E$5:$E$493,B16,'DATOS LIMPIOS'!$T$5:$T$493,"Agosto")</f>
        <v>1</v>
      </c>
      <c r="V16">
        <f>COUNTIFS('DATOS LIMPIOS'!$E$5:$E$493,B16,'DATOS LIMPIOS'!$T$5:$T$493,"&lt;&gt;Septiembre")</f>
        <v>1</v>
      </c>
      <c r="W16">
        <f>IFERROR(AVERAGEIFS('DATOS LIMPIOS'!$M$5:$M$493,'DATOS LIMPIOS'!$E$5:$E$493,B16,'DATOS LIMPIOS'!$T$5:$T$493,"&lt;&gt;Septiembre"),"")</f>
        <v>11.431374211284833</v>
      </c>
      <c r="X16" t="str">
        <f t="shared" si="4"/>
        <v>No</v>
      </c>
      <c r="Y16" t="str">
        <f t="shared" si="5"/>
        <v/>
      </c>
      <c r="Z16" t="str">
        <f t="shared" si="6"/>
        <v/>
      </c>
      <c r="AA16" t="str">
        <f t="shared" si="7"/>
        <v>Resto</v>
      </c>
      <c r="AB16">
        <f>SUMIFS('DATOS LIMPIOS'!$M$5:$M$493,'DATOS LIMPIOS'!$E$5:$E$493,B16,'DATOS LIMPIOS'!$T$5:$T$493,"Septiembre")</f>
        <v>94.752193536906219</v>
      </c>
      <c r="AC16">
        <f>COUNTIFS('DATOS LIMPIOS'!$E$5:$E$493,B16,'DATOS LIMPIOS'!$T$5:$T$493,"Septiembre")</f>
        <v>2</v>
      </c>
      <c r="AD16">
        <f>COUNTIFS('DATOS LIMPIOS'!$E$5:$E$493,B16,'DATOS LIMPIOS'!$T$5:$T$493,"&lt;&gt;Octubre")</f>
        <v>3</v>
      </c>
      <c r="AE16">
        <f>IFERROR(AVERAGEIFS('DATOS LIMPIOS'!$M$5:$M$493,'DATOS LIMPIOS'!$E$5:$E$493,B16,'DATOS LIMPIOS'!$T$5:$T$493,"&lt;&gt;Octubre"),"")</f>
        <v>35.394522582730353</v>
      </c>
      <c r="AF16" t="str">
        <f t="shared" si="8"/>
        <v>No</v>
      </c>
      <c r="AG16" t="str">
        <f t="shared" si="9"/>
        <v/>
      </c>
      <c r="AH16" t="str">
        <f t="shared" si="10"/>
        <v/>
      </c>
      <c r="AI16" t="str">
        <f t="shared" si="11"/>
        <v>Resto</v>
      </c>
      <c r="AJ16">
        <f>SUMIFS('DATOS LIMPIOS'!$M$5:$M$493,'DATOS LIMPIOS'!$E$5:$E$493,B16,'DATOS LIMPIOS'!$T$5:$T$493,"Octubre")</f>
        <v>0</v>
      </c>
      <c r="AK16">
        <f>COUNTIFS('DATOS LIMPIOS'!$E$5:$E$493,B16,'DATOS LIMPIOS'!$T$5:$T$493,"Octubre")</f>
        <v>0</v>
      </c>
    </row>
    <row r="17" spans="1:37" x14ac:dyDescent="0.2">
      <c r="A17">
        <v>14</v>
      </c>
      <c r="B17" t="str">
        <f t="array" ref="B17">IFERROR(INDEX('DATOS LIMPIOS'!$E$5:$E$493,MATCH(0,COUNTIF($B$3:B16,'DATOS LIMPIOS'!$E$5:$E$493),0)),"")</f>
        <v>¡Gracias por ser parte de nuestra familia! Una sorpresa para ti</v>
      </c>
      <c r="C17">
        <f>COUNTIF('DATOS LIMPIOS'!$E$5:$E$493,B17)</f>
        <v>1</v>
      </c>
      <c r="D17">
        <f>AVERAGEIF('DATOS LIMPIOS'!$E$5:$E$493,B17,'DATOS LIMPIOS'!$M$5:$M$493)</f>
        <v>32.334336079170065</v>
      </c>
      <c r="E17">
        <f>AVERAGEIF('DATOS LIMPIOS'!$E$5:$E$493,B17,'DATOS LIMPIOS'!$N$5:$N$493)</f>
        <v>19.172750303791378</v>
      </c>
      <c r="F17" t="str">
        <f>INDEX('DATOS LIMPIOS'!$B$5:$B$493,MATCH(B17,'DATOS LIMPIOS'!$E$5:$E$493,0))</f>
        <v>Customer Appreciation</v>
      </c>
      <c r="G17" t="str">
        <f>INDEX('DATOS LIMPIOS'!$AH$5:$AH$493,MATCH(B17,'DATOS LIMPIOS'!$E$5:$E$493,0))</f>
        <v>No</v>
      </c>
      <c r="H17" t="str">
        <f>INDEX('DATOS LIMPIOS'!$AN$5:$AN$493,MATCH(B17,'DATOS LIMPIOS'!$E$5:$E$493,0))</f>
        <v>Sí</v>
      </c>
      <c r="I17" t="str">
        <f>INDEX('DATOS LIMPIOS'!$AM$5:$AM$493,MATCH(B17,'DATOS LIMPIOS'!$E$5:$E$493,0))</f>
        <v>No</v>
      </c>
      <c r="J17" t="str">
        <f>INDEX('DATOS LIMPIOS'!$AJ$5:$AJ$493,MATCH(B17,'DATOS LIMPIOS'!$E$5:$E$493,0))</f>
        <v>No</v>
      </c>
      <c r="K17" t="str">
        <f>INDEX('DATOS LIMPIOS'!$AI$5:$AI$493,MATCH(B17,'DATOS LIMPIOS'!$E$5:$E$493,0))</f>
        <v>No</v>
      </c>
      <c r="L17" t="str">
        <f>INDEX('DATOS LIMPIOS'!$AR$5:$AR$493,MATCH(B17,'DATOS LIMPIOS'!$E$5:$E$493,0))</f>
        <v>No</v>
      </c>
      <c r="N17">
        <f>COUNTIFS('DATOS LIMPIOS'!$E$5:$E$493,B17,'DATOS LIMPIOS'!$T$5:$T$493,"&lt;&gt;Agosto")</f>
        <v>0</v>
      </c>
      <c r="O17" t="str">
        <f>IFERROR(AVERAGEIFS('DATOS LIMPIOS'!$M$5:$M$493,'DATOS LIMPIOS'!$E$5:$E$493,B17,'DATOS LIMPIOS'!$T$5:$T$493,"&lt;&gt;Agosto"),"")</f>
        <v/>
      </c>
      <c r="P17" t="str">
        <f t="shared" si="0"/>
        <v>No</v>
      </c>
      <c r="Q17" t="str">
        <f t="shared" si="1"/>
        <v/>
      </c>
      <c r="R17" t="str">
        <f t="shared" si="2"/>
        <v/>
      </c>
      <c r="S17" t="str">
        <f t="shared" si="3"/>
        <v>Resto</v>
      </c>
      <c r="T17">
        <f>SUMIFS('DATOS LIMPIOS'!$M$5:$M$493,'DATOS LIMPIOS'!$E$5:$E$493,B17,'DATOS LIMPIOS'!$T$5:$T$493,"Agosto")</f>
        <v>32.334336079170065</v>
      </c>
      <c r="U17">
        <f>COUNTIFS('DATOS LIMPIOS'!$E$5:$E$493,B17,'DATOS LIMPIOS'!$T$5:$T$493,"Agosto")</f>
        <v>1</v>
      </c>
      <c r="V17">
        <f>COUNTIFS('DATOS LIMPIOS'!$E$5:$E$493,B17,'DATOS LIMPIOS'!$T$5:$T$493,"&lt;&gt;Septiembre")</f>
        <v>1</v>
      </c>
      <c r="W17">
        <f>IFERROR(AVERAGEIFS('DATOS LIMPIOS'!$M$5:$M$493,'DATOS LIMPIOS'!$E$5:$E$493,B17,'DATOS LIMPIOS'!$T$5:$T$493,"&lt;&gt;Septiembre"),"")</f>
        <v>32.334336079170065</v>
      </c>
      <c r="X17" t="str">
        <f t="shared" si="4"/>
        <v>No</v>
      </c>
      <c r="Y17" t="str">
        <f t="shared" si="5"/>
        <v/>
      </c>
      <c r="Z17" t="str">
        <f t="shared" si="6"/>
        <v/>
      </c>
      <c r="AA17" t="str">
        <f t="shared" si="7"/>
        <v>Resto</v>
      </c>
      <c r="AB17">
        <f>SUMIFS('DATOS LIMPIOS'!$M$5:$M$493,'DATOS LIMPIOS'!$E$5:$E$493,B17,'DATOS LIMPIOS'!$T$5:$T$493,"Septiembre")</f>
        <v>0</v>
      </c>
      <c r="AC17">
        <f>COUNTIFS('DATOS LIMPIOS'!$E$5:$E$493,B17,'DATOS LIMPIOS'!$T$5:$T$493,"Septiembre")</f>
        <v>0</v>
      </c>
      <c r="AD17">
        <f>COUNTIFS('DATOS LIMPIOS'!$E$5:$E$493,B17,'DATOS LIMPIOS'!$T$5:$T$493,"&lt;&gt;Octubre")</f>
        <v>1</v>
      </c>
      <c r="AE17">
        <f>IFERROR(AVERAGEIFS('DATOS LIMPIOS'!$M$5:$M$493,'DATOS LIMPIOS'!$E$5:$E$493,B17,'DATOS LIMPIOS'!$T$5:$T$493,"&lt;&gt;Octubre"),"")</f>
        <v>32.334336079170065</v>
      </c>
      <c r="AF17" t="str">
        <f t="shared" si="8"/>
        <v>No</v>
      </c>
      <c r="AG17" t="str">
        <f t="shared" si="9"/>
        <v/>
      </c>
      <c r="AH17" t="str">
        <f t="shared" si="10"/>
        <v/>
      </c>
      <c r="AI17" t="str">
        <f t="shared" si="11"/>
        <v>Resto</v>
      </c>
      <c r="AJ17">
        <f>SUMIFS('DATOS LIMPIOS'!$M$5:$M$493,'DATOS LIMPIOS'!$E$5:$E$493,B17,'DATOS LIMPIOS'!$T$5:$T$493,"Octubre")</f>
        <v>0</v>
      </c>
      <c r="AK17">
        <f>COUNTIFS('DATOS LIMPIOS'!$E$5:$E$493,B17,'DATOS LIMPIOS'!$T$5:$T$493,"Octubre")</f>
        <v>0</v>
      </c>
    </row>
    <row r="18" spans="1:37" x14ac:dyDescent="0.2">
      <c r="A18">
        <v>15</v>
      </c>
      <c r="B18" t="str">
        <f t="array" ref="B18">IFERROR(INDEX('DATOS LIMPIOS'!$E$5:$E$493,MATCH(0,COUNTIF($B$3:B17,'DATOS LIMPIOS'!$E$5:$E$493),0)),"")</f>
        <v>Actualización de L'Oréal: ¿Qué hay de nuevo en el mundo beauty?</v>
      </c>
      <c r="C18">
        <f>COUNTIF('DATOS LIMPIOS'!$E$5:$E$493,B18)</f>
        <v>10</v>
      </c>
      <c r="D18">
        <f>AVERAGEIF('DATOS LIMPIOS'!$E$5:$E$493,B18,'DATOS LIMPIOS'!$M$5:$M$493)</f>
        <v>15.908213539730554</v>
      </c>
      <c r="E18">
        <f>AVERAGEIF('DATOS LIMPIOS'!$E$5:$E$493,B18,'DATOS LIMPIOS'!$N$5:$N$493)</f>
        <v>8.08965498759658</v>
      </c>
      <c r="F18" t="str">
        <f>INDEX('DATOS LIMPIOS'!$B$5:$B$493,MATCH(B18,'DATOS LIMPIOS'!$E$5:$E$493,0))</f>
        <v>Newsletter</v>
      </c>
      <c r="G18" t="str">
        <f>INDEX('DATOS LIMPIOS'!$AH$5:$AH$493,MATCH(B18,'DATOS LIMPIOS'!$E$5:$E$493,0))</f>
        <v>Sí</v>
      </c>
      <c r="H18" t="str">
        <f>INDEX('DATOS LIMPIOS'!$AN$5:$AN$493,MATCH(B18,'DATOS LIMPIOS'!$E$5:$E$493,0))</f>
        <v>Sí</v>
      </c>
      <c r="I18" t="str">
        <f>INDEX('DATOS LIMPIOS'!$AM$5:$AM$493,MATCH(B18,'DATOS LIMPIOS'!$E$5:$E$493,0))</f>
        <v>No</v>
      </c>
      <c r="J18" t="str">
        <f>INDEX('DATOS LIMPIOS'!$AJ$5:$AJ$493,MATCH(B18,'DATOS LIMPIOS'!$E$5:$E$493,0))</f>
        <v>No</v>
      </c>
      <c r="K18" t="str">
        <f>INDEX('DATOS LIMPIOS'!$AI$5:$AI$493,MATCH(B18,'DATOS LIMPIOS'!$E$5:$E$493,0))</f>
        <v>No</v>
      </c>
      <c r="L18" t="str">
        <f>INDEX('DATOS LIMPIOS'!$AR$5:$AR$493,MATCH(B18,'DATOS LIMPIOS'!$E$5:$E$493,0))</f>
        <v>No</v>
      </c>
      <c r="N18">
        <f>COUNTIFS('DATOS LIMPIOS'!$E$5:$E$493,B18,'DATOS LIMPIOS'!$T$5:$T$493,"&lt;&gt;Agosto")</f>
        <v>6</v>
      </c>
      <c r="O18">
        <f>IFERROR(AVERAGEIFS('DATOS LIMPIOS'!$M$5:$M$493,'DATOS LIMPIOS'!$E$5:$E$493,B18,'DATOS LIMPIOS'!$T$5:$T$493,"&lt;&gt;Agosto"),"")</f>
        <v>17.774576320526212</v>
      </c>
      <c r="P18" t="str">
        <f t="shared" si="0"/>
        <v>Sí</v>
      </c>
      <c r="Q18">
        <f t="shared" si="1"/>
        <v>17</v>
      </c>
      <c r="R18">
        <f t="shared" si="2"/>
        <v>5</v>
      </c>
      <c r="S18" t="str">
        <f t="shared" si="3"/>
        <v>5 peores</v>
      </c>
      <c r="T18">
        <f>SUMIFS('DATOS LIMPIOS'!$M$5:$M$493,'DATOS LIMPIOS'!$E$5:$E$493,B18,'DATOS LIMPIOS'!$T$5:$T$493,"Agosto")</f>
        <v>52.43467747414828</v>
      </c>
      <c r="U18">
        <f>COUNTIFS('DATOS LIMPIOS'!$E$5:$E$493,B18,'DATOS LIMPIOS'!$T$5:$T$493,"Agosto")</f>
        <v>4</v>
      </c>
      <c r="V18">
        <f>COUNTIFS('DATOS LIMPIOS'!$E$5:$E$493,B18,'DATOS LIMPIOS'!$T$5:$T$493,"&lt;&gt;Septiembre")</f>
        <v>8</v>
      </c>
      <c r="W18">
        <f>IFERROR(AVERAGEIFS('DATOS LIMPIOS'!$M$5:$M$493,'DATOS LIMPIOS'!$E$5:$E$493,B18,'DATOS LIMPIOS'!$T$5:$T$493,"&lt;&gt;Septiembre"),"")</f>
        <v>15.765275393188219</v>
      </c>
      <c r="X18" t="str">
        <f t="shared" si="4"/>
        <v>Sí</v>
      </c>
      <c r="Y18">
        <f t="shared" si="5"/>
        <v>25</v>
      </c>
      <c r="Z18">
        <f t="shared" si="6"/>
        <v>1</v>
      </c>
      <c r="AA18" t="str">
        <f t="shared" si="7"/>
        <v>5 peores</v>
      </c>
      <c r="AB18">
        <f>SUMIFS('DATOS LIMPIOS'!$M$5:$M$493,'DATOS LIMPIOS'!$E$5:$E$493,B18,'DATOS LIMPIOS'!$T$5:$T$493,"Septiembre")</f>
        <v>32.959932251799799</v>
      </c>
      <c r="AC18">
        <f>COUNTIFS('DATOS LIMPIOS'!$E$5:$E$493,B18,'DATOS LIMPIOS'!$T$5:$T$493,"Septiembre")</f>
        <v>2</v>
      </c>
      <c r="AD18">
        <f>COUNTIFS('DATOS LIMPIOS'!$E$5:$E$493,B18,'DATOS LIMPIOS'!$T$5:$T$493,"&lt;&gt;Octubre")</f>
        <v>6</v>
      </c>
      <c r="AE18">
        <f>IFERROR(AVERAGEIFS('DATOS LIMPIOS'!$M$5:$M$493,'DATOS LIMPIOS'!$E$5:$E$493,B18,'DATOS LIMPIOS'!$T$5:$T$493,"&lt;&gt;Octubre"),"")</f>
        <v>14.232434954324681</v>
      </c>
      <c r="AF18" t="str">
        <f t="shared" si="8"/>
        <v>Sí</v>
      </c>
      <c r="AG18">
        <f t="shared" si="9"/>
        <v>24</v>
      </c>
      <c r="AH18">
        <f t="shared" si="10"/>
        <v>2</v>
      </c>
      <c r="AI18" t="str">
        <f t="shared" si="11"/>
        <v>5 peores</v>
      </c>
      <c r="AJ18">
        <f>SUMIFS('DATOS LIMPIOS'!$M$5:$M$493,'DATOS LIMPIOS'!$E$5:$E$493,B18,'DATOS LIMPIOS'!$T$5:$T$493,"Octubre")</f>
        <v>73.687525671357477</v>
      </c>
      <c r="AK18">
        <f>COUNTIFS('DATOS LIMPIOS'!$E$5:$E$493,B18,'DATOS LIMPIOS'!$T$5:$T$493,"Octubre")</f>
        <v>4</v>
      </c>
    </row>
    <row r="19" spans="1:37" x14ac:dyDescent="0.2">
      <c r="A19">
        <v>16</v>
      </c>
      <c r="B19" t="str">
        <f t="array" ref="B19">IFERROR(INDEX('DATOS LIMPIOS'!$E$5:$E$493,MATCH(0,COUNTIF($B$3:B18,'DATOS LIMPIOS'!$E$5:$E$493),0)),"")</f>
        <v>¡Descuentos Imperdibles! Solo por tiempo limitado, no esperes</v>
      </c>
      <c r="C19">
        <f>COUNTIF('DATOS LIMPIOS'!$E$5:$E$493,B19)</f>
        <v>1</v>
      </c>
      <c r="D19">
        <f>AVERAGEIF('DATOS LIMPIOS'!$E$5:$E$493,B19,'DATOS LIMPIOS'!$M$5:$M$493)</f>
        <v>24.542645070500264</v>
      </c>
      <c r="E19">
        <f>AVERAGEIF('DATOS LIMPIOS'!$E$5:$E$493,B19,'DATOS LIMPIOS'!$N$5:$N$493)</f>
        <v>14.420131894815263</v>
      </c>
      <c r="F19" t="str">
        <f>INDEX('DATOS LIMPIOS'!$B$5:$B$493,MATCH(B19,'DATOS LIMPIOS'!$E$5:$E$493,0))</f>
        <v>Flash Sale</v>
      </c>
      <c r="G19" t="str">
        <f>INDEX('DATOS LIMPIOS'!$AH$5:$AH$493,MATCH(B19,'DATOS LIMPIOS'!$E$5:$E$493,0))</f>
        <v>Sí</v>
      </c>
      <c r="H19" t="str">
        <f>INDEX('DATOS LIMPIOS'!$AN$5:$AN$493,MATCH(B19,'DATOS LIMPIOS'!$E$5:$E$493,0))</f>
        <v>Sí</v>
      </c>
      <c r="I19" t="str">
        <f>INDEX('DATOS LIMPIOS'!$AM$5:$AM$493,MATCH(B19,'DATOS LIMPIOS'!$E$5:$E$493,0))</f>
        <v>No</v>
      </c>
      <c r="J19" t="str">
        <f>INDEX('DATOS LIMPIOS'!$AJ$5:$AJ$493,MATCH(B19,'DATOS LIMPIOS'!$E$5:$E$493,0))</f>
        <v>Sí</v>
      </c>
      <c r="K19" t="str">
        <f>INDEX('DATOS LIMPIOS'!$AI$5:$AI$493,MATCH(B19,'DATOS LIMPIOS'!$E$5:$E$493,0))</f>
        <v>Sí</v>
      </c>
      <c r="L19" t="str">
        <f>INDEX('DATOS LIMPIOS'!$AR$5:$AR$493,MATCH(B19,'DATOS LIMPIOS'!$E$5:$E$493,0))</f>
        <v>No</v>
      </c>
      <c r="N19">
        <f>COUNTIFS('DATOS LIMPIOS'!$E$5:$E$493,B19,'DATOS LIMPIOS'!$T$5:$T$493,"&lt;&gt;Agosto")</f>
        <v>1</v>
      </c>
      <c r="O19">
        <f>IFERROR(AVERAGEIFS('DATOS LIMPIOS'!$M$5:$M$493,'DATOS LIMPIOS'!$E$5:$E$493,B19,'DATOS LIMPIOS'!$T$5:$T$493,"&lt;&gt;Agosto"),"")</f>
        <v>24.542645070500264</v>
      </c>
      <c r="P19" t="str">
        <f t="shared" si="0"/>
        <v>No</v>
      </c>
      <c r="Q19" t="str">
        <f t="shared" si="1"/>
        <v/>
      </c>
      <c r="R19" t="str">
        <f t="shared" si="2"/>
        <v/>
      </c>
      <c r="S19" t="str">
        <f t="shared" si="3"/>
        <v>Resto</v>
      </c>
      <c r="T19">
        <f>SUMIFS('DATOS LIMPIOS'!$M$5:$M$493,'DATOS LIMPIOS'!$E$5:$E$493,B19,'DATOS LIMPIOS'!$T$5:$T$493,"Agosto")</f>
        <v>0</v>
      </c>
      <c r="U19">
        <f>COUNTIFS('DATOS LIMPIOS'!$E$5:$E$493,B19,'DATOS LIMPIOS'!$T$5:$T$493,"Agosto")</f>
        <v>0</v>
      </c>
      <c r="V19">
        <f>COUNTIFS('DATOS LIMPIOS'!$E$5:$E$493,B19,'DATOS LIMPIOS'!$T$5:$T$493,"&lt;&gt;Septiembre")</f>
        <v>0</v>
      </c>
      <c r="W19" t="str">
        <f>IFERROR(AVERAGEIFS('DATOS LIMPIOS'!$M$5:$M$493,'DATOS LIMPIOS'!$E$5:$E$493,B19,'DATOS LIMPIOS'!$T$5:$T$493,"&lt;&gt;Septiembre"),"")</f>
        <v/>
      </c>
      <c r="X19" t="str">
        <f t="shared" si="4"/>
        <v>No</v>
      </c>
      <c r="Y19" t="str">
        <f t="shared" si="5"/>
        <v/>
      </c>
      <c r="Z19" t="str">
        <f t="shared" si="6"/>
        <v/>
      </c>
      <c r="AA19" t="str">
        <f t="shared" si="7"/>
        <v>Resto</v>
      </c>
      <c r="AB19">
        <f>SUMIFS('DATOS LIMPIOS'!$M$5:$M$493,'DATOS LIMPIOS'!$E$5:$E$493,B19,'DATOS LIMPIOS'!$T$5:$T$493,"Septiembre")</f>
        <v>24.542645070500264</v>
      </c>
      <c r="AC19">
        <f>COUNTIFS('DATOS LIMPIOS'!$E$5:$E$493,B19,'DATOS LIMPIOS'!$T$5:$T$493,"Septiembre")</f>
        <v>1</v>
      </c>
      <c r="AD19">
        <f>COUNTIFS('DATOS LIMPIOS'!$E$5:$E$493,B19,'DATOS LIMPIOS'!$T$5:$T$493,"&lt;&gt;Octubre")</f>
        <v>1</v>
      </c>
      <c r="AE19">
        <f>IFERROR(AVERAGEIFS('DATOS LIMPIOS'!$M$5:$M$493,'DATOS LIMPIOS'!$E$5:$E$493,B19,'DATOS LIMPIOS'!$T$5:$T$493,"&lt;&gt;Octubre"),"")</f>
        <v>24.542645070500264</v>
      </c>
      <c r="AF19" t="str">
        <f t="shared" si="8"/>
        <v>No</v>
      </c>
      <c r="AG19" t="str">
        <f t="shared" si="9"/>
        <v/>
      </c>
      <c r="AH19" t="str">
        <f t="shared" si="10"/>
        <v/>
      </c>
      <c r="AI19" t="str">
        <f t="shared" si="11"/>
        <v>Resto</v>
      </c>
      <c r="AJ19">
        <f>SUMIFS('DATOS LIMPIOS'!$M$5:$M$493,'DATOS LIMPIOS'!$E$5:$E$493,B19,'DATOS LIMPIOS'!$T$5:$T$493,"Octubre")</f>
        <v>0</v>
      </c>
      <c r="AK19">
        <f>COUNTIFS('DATOS LIMPIOS'!$E$5:$E$493,B19,'DATOS LIMPIOS'!$T$5:$T$493,"Octubre")</f>
        <v>0</v>
      </c>
    </row>
    <row r="20" spans="1:37" x14ac:dyDescent="0.2">
      <c r="A20">
        <v>17</v>
      </c>
      <c r="B20" t="str">
        <f t="array" ref="B20">IFERROR(INDEX('DATOS LIMPIOS'!$E$5:$E$493,MATCH(0,COUNTIF($B$3:B19,'DATOS LIMPIOS'!$E$5:$E$493),0)),"")</f>
        <v>¡Ahorra en tus favoritos! Oferta Flash, solo por hoy</v>
      </c>
      <c r="C20">
        <f>COUNTIF('DATOS LIMPIOS'!$E$5:$E$493,B20)</f>
        <v>2</v>
      </c>
      <c r="D20">
        <f>AVERAGEIF('DATOS LIMPIOS'!$E$5:$E$493,B20,'DATOS LIMPIOS'!$M$5:$M$493)</f>
        <v>33.635625365301983</v>
      </c>
      <c r="E20">
        <f>AVERAGEIF('DATOS LIMPIOS'!$E$5:$E$493,B20,'DATOS LIMPIOS'!$N$5:$N$493)</f>
        <v>5.7188244796864947</v>
      </c>
      <c r="F20" t="str">
        <f>INDEX('DATOS LIMPIOS'!$B$5:$B$493,MATCH(B20,'DATOS LIMPIOS'!$E$5:$E$493,0))</f>
        <v>Flash Sale</v>
      </c>
      <c r="G20" t="str">
        <f>INDEX('DATOS LIMPIOS'!$AH$5:$AH$493,MATCH(B20,'DATOS LIMPIOS'!$E$5:$E$493,0))</f>
        <v>No</v>
      </c>
      <c r="H20" t="str">
        <f>INDEX('DATOS LIMPIOS'!$AN$5:$AN$493,MATCH(B20,'DATOS LIMPIOS'!$E$5:$E$493,0))</f>
        <v>No</v>
      </c>
      <c r="I20" t="str">
        <f>INDEX('DATOS LIMPIOS'!$AM$5:$AM$493,MATCH(B20,'DATOS LIMPIOS'!$E$5:$E$493,0))</f>
        <v>Sí</v>
      </c>
      <c r="J20" t="str">
        <f>INDEX('DATOS LIMPIOS'!$AJ$5:$AJ$493,MATCH(B20,'DATOS LIMPIOS'!$E$5:$E$493,0))</f>
        <v>Sí</v>
      </c>
      <c r="K20" t="str">
        <f>INDEX('DATOS LIMPIOS'!$AI$5:$AI$493,MATCH(B20,'DATOS LIMPIOS'!$E$5:$E$493,0))</f>
        <v>Sí</v>
      </c>
      <c r="L20" t="str">
        <f>INDEX('DATOS LIMPIOS'!$AR$5:$AR$493,MATCH(B20,'DATOS LIMPIOS'!$E$5:$E$493,0))</f>
        <v>Sí</v>
      </c>
      <c r="N20">
        <f>COUNTIFS('DATOS LIMPIOS'!$E$5:$E$493,B20,'DATOS LIMPIOS'!$T$5:$T$493,"&lt;&gt;Agosto")</f>
        <v>1</v>
      </c>
      <c r="O20">
        <f>IFERROR(AVERAGEIFS('DATOS LIMPIOS'!$M$5:$M$493,'DATOS LIMPIOS'!$E$5:$E$493,B20,'DATOS LIMPIOS'!$T$5:$T$493,"&lt;&gt;Agosto"),"")</f>
        <v>43.948378406706254</v>
      </c>
      <c r="P20" t="str">
        <f t="shared" si="0"/>
        <v>No</v>
      </c>
      <c r="Q20" t="str">
        <f t="shared" si="1"/>
        <v/>
      </c>
      <c r="R20" t="str">
        <f t="shared" si="2"/>
        <v/>
      </c>
      <c r="S20" t="str">
        <f t="shared" si="3"/>
        <v>Resto</v>
      </c>
      <c r="T20">
        <f>SUMIFS('DATOS LIMPIOS'!$M$5:$M$493,'DATOS LIMPIOS'!$E$5:$E$493,B20,'DATOS LIMPIOS'!$T$5:$T$493,"Agosto")</f>
        <v>23.322872323897709</v>
      </c>
      <c r="U20">
        <f>COUNTIFS('DATOS LIMPIOS'!$E$5:$E$493,B20,'DATOS LIMPIOS'!$T$5:$T$493,"Agosto")</f>
        <v>1</v>
      </c>
      <c r="V20">
        <f>COUNTIFS('DATOS LIMPIOS'!$E$5:$E$493,B20,'DATOS LIMPIOS'!$T$5:$T$493,"&lt;&gt;Septiembre")</f>
        <v>1</v>
      </c>
      <c r="W20">
        <f>IFERROR(AVERAGEIFS('DATOS LIMPIOS'!$M$5:$M$493,'DATOS LIMPIOS'!$E$5:$E$493,B20,'DATOS LIMPIOS'!$T$5:$T$493,"&lt;&gt;Septiembre"),"")</f>
        <v>23.322872323897709</v>
      </c>
      <c r="X20" t="str">
        <f t="shared" si="4"/>
        <v>No</v>
      </c>
      <c r="Y20" t="str">
        <f t="shared" si="5"/>
        <v/>
      </c>
      <c r="Z20" t="str">
        <f t="shared" si="6"/>
        <v/>
      </c>
      <c r="AA20" t="str">
        <f t="shared" si="7"/>
        <v>Resto</v>
      </c>
      <c r="AB20">
        <f>SUMIFS('DATOS LIMPIOS'!$M$5:$M$493,'DATOS LIMPIOS'!$E$5:$E$493,B20,'DATOS LIMPIOS'!$T$5:$T$493,"Septiembre")</f>
        <v>43.948378406706254</v>
      </c>
      <c r="AC20">
        <f>COUNTIFS('DATOS LIMPIOS'!$E$5:$E$493,B20,'DATOS LIMPIOS'!$T$5:$T$493,"Septiembre")</f>
        <v>1</v>
      </c>
      <c r="AD20">
        <f>COUNTIFS('DATOS LIMPIOS'!$E$5:$E$493,B20,'DATOS LIMPIOS'!$T$5:$T$493,"&lt;&gt;Octubre")</f>
        <v>2</v>
      </c>
      <c r="AE20">
        <f>IFERROR(AVERAGEIFS('DATOS LIMPIOS'!$M$5:$M$493,'DATOS LIMPIOS'!$E$5:$E$493,B20,'DATOS LIMPIOS'!$T$5:$T$493,"&lt;&gt;Octubre"),"")</f>
        <v>33.635625365301983</v>
      </c>
      <c r="AF20" t="str">
        <f t="shared" si="8"/>
        <v>No</v>
      </c>
      <c r="AG20" t="str">
        <f t="shared" si="9"/>
        <v/>
      </c>
      <c r="AH20" t="str">
        <f t="shared" si="10"/>
        <v/>
      </c>
      <c r="AI20" t="str">
        <f t="shared" si="11"/>
        <v>Resto</v>
      </c>
      <c r="AJ20">
        <f>SUMIFS('DATOS LIMPIOS'!$M$5:$M$493,'DATOS LIMPIOS'!$E$5:$E$493,B20,'DATOS LIMPIOS'!$T$5:$T$493,"Octubre")</f>
        <v>0</v>
      </c>
      <c r="AK20">
        <f>COUNTIFS('DATOS LIMPIOS'!$E$5:$E$493,B20,'DATOS LIMPIOS'!$T$5:$T$493,"Octubre")</f>
        <v>0</v>
      </c>
    </row>
    <row r="21" spans="1:37" x14ac:dyDescent="0.2">
      <c r="A21">
        <v>18</v>
      </c>
      <c r="B21" t="str">
        <f t="array" ref="B21">IFERROR(INDEX('DATOS LIMPIOS'!$E$5:$E$493,MATCH(0,COUNTIF($B$3:B20,'DATOS LIMPIOS'!$E$5:$E$493),0)),"")</f>
        <v>🔥 Hot Sale Anticipado: ¡Precios de locura en maquillaje y más!</v>
      </c>
      <c r="C21">
        <f>COUNTIF('DATOS LIMPIOS'!$E$5:$E$493,B21)</f>
        <v>1</v>
      </c>
      <c r="D21">
        <f>AVERAGEIF('DATOS LIMPIOS'!$E$5:$E$493,B21,'DATOS LIMPIOS'!$M$5:$M$493)</f>
        <v>28.999873378796376</v>
      </c>
      <c r="E21">
        <f>AVERAGEIF('DATOS LIMPIOS'!$E$5:$E$493,B21,'DATOS LIMPIOS'!$N$5:$N$493)</f>
        <v>8.4319385189453744</v>
      </c>
      <c r="F21" t="str">
        <f>INDEX('DATOS LIMPIOS'!$B$5:$B$493,MATCH(B21,'DATOS LIMPIOS'!$E$5:$E$493,0))</f>
        <v>Flash Sale</v>
      </c>
      <c r="G21" t="str">
        <f>INDEX('DATOS LIMPIOS'!$AH$5:$AH$493,MATCH(B21,'DATOS LIMPIOS'!$E$5:$E$493,0))</f>
        <v>No</v>
      </c>
      <c r="H21" t="str">
        <f>INDEX('DATOS LIMPIOS'!$AN$5:$AN$493,MATCH(B21,'DATOS LIMPIOS'!$E$5:$E$493,0))</f>
        <v>No</v>
      </c>
      <c r="I21" t="str">
        <f>INDEX('DATOS LIMPIOS'!$AM$5:$AM$493,MATCH(B21,'DATOS LIMPIOS'!$E$5:$E$493,0))</f>
        <v>Sí</v>
      </c>
      <c r="J21" t="str">
        <f>INDEX('DATOS LIMPIOS'!$AJ$5:$AJ$493,MATCH(B21,'DATOS LIMPIOS'!$E$5:$E$493,0))</f>
        <v>No</v>
      </c>
      <c r="K21" t="str">
        <f>INDEX('DATOS LIMPIOS'!$AI$5:$AI$493,MATCH(B21,'DATOS LIMPIOS'!$E$5:$E$493,0))</f>
        <v>Sí</v>
      </c>
      <c r="L21" t="str">
        <f>INDEX('DATOS LIMPIOS'!$AR$5:$AR$493,MATCH(B21,'DATOS LIMPIOS'!$E$5:$E$493,0))</f>
        <v>No</v>
      </c>
      <c r="N21">
        <f>COUNTIFS('DATOS LIMPIOS'!$E$5:$E$493,B21,'DATOS LIMPIOS'!$T$5:$T$493,"&lt;&gt;Agosto")</f>
        <v>1</v>
      </c>
      <c r="O21">
        <f>IFERROR(AVERAGEIFS('DATOS LIMPIOS'!$M$5:$M$493,'DATOS LIMPIOS'!$E$5:$E$493,B21,'DATOS LIMPIOS'!$T$5:$T$493,"&lt;&gt;Agosto"),"")</f>
        <v>28.999873378796376</v>
      </c>
      <c r="P21" t="str">
        <f t="shared" si="0"/>
        <v>No</v>
      </c>
      <c r="Q21" t="str">
        <f t="shared" si="1"/>
        <v/>
      </c>
      <c r="R21" t="str">
        <f t="shared" si="2"/>
        <v/>
      </c>
      <c r="S21" t="str">
        <f t="shared" si="3"/>
        <v>Resto</v>
      </c>
      <c r="T21">
        <f>SUMIFS('DATOS LIMPIOS'!$M$5:$M$493,'DATOS LIMPIOS'!$E$5:$E$493,B21,'DATOS LIMPIOS'!$T$5:$T$493,"Agosto")</f>
        <v>0</v>
      </c>
      <c r="U21">
        <f>COUNTIFS('DATOS LIMPIOS'!$E$5:$E$493,B21,'DATOS LIMPIOS'!$T$5:$T$493,"Agosto")</f>
        <v>0</v>
      </c>
      <c r="V21">
        <f>COUNTIFS('DATOS LIMPIOS'!$E$5:$E$493,B21,'DATOS LIMPIOS'!$T$5:$T$493,"&lt;&gt;Septiembre")</f>
        <v>1</v>
      </c>
      <c r="W21">
        <f>IFERROR(AVERAGEIFS('DATOS LIMPIOS'!$M$5:$M$493,'DATOS LIMPIOS'!$E$5:$E$493,B21,'DATOS LIMPIOS'!$T$5:$T$493,"&lt;&gt;Septiembre"),"")</f>
        <v>28.999873378796376</v>
      </c>
      <c r="X21" t="str">
        <f t="shared" si="4"/>
        <v>No</v>
      </c>
      <c r="Y21" t="str">
        <f t="shared" si="5"/>
        <v/>
      </c>
      <c r="Z21" t="str">
        <f t="shared" si="6"/>
        <v/>
      </c>
      <c r="AA21" t="str">
        <f t="shared" si="7"/>
        <v>Resto</v>
      </c>
      <c r="AB21">
        <f>SUMIFS('DATOS LIMPIOS'!$M$5:$M$493,'DATOS LIMPIOS'!$E$5:$E$493,B21,'DATOS LIMPIOS'!$T$5:$T$493,"Septiembre")</f>
        <v>0</v>
      </c>
      <c r="AC21">
        <f>COUNTIFS('DATOS LIMPIOS'!$E$5:$E$493,B21,'DATOS LIMPIOS'!$T$5:$T$493,"Septiembre")</f>
        <v>0</v>
      </c>
      <c r="AD21">
        <f>COUNTIFS('DATOS LIMPIOS'!$E$5:$E$493,B21,'DATOS LIMPIOS'!$T$5:$T$493,"&lt;&gt;Octubre")</f>
        <v>0</v>
      </c>
      <c r="AE21" t="str">
        <f>IFERROR(AVERAGEIFS('DATOS LIMPIOS'!$M$5:$M$493,'DATOS LIMPIOS'!$E$5:$E$493,B21,'DATOS LIMPIOS'!$T$5:$T$493,"&lt;&gt;Octubre"),"")</f>
        <v/>
      </c>
      <c r="AF21" t="str">
        <f t="shared" si="8"/>
        <v>No</v>
      </c>
      <c r="AG21" t="str">
        <f t="shared" si="9"/>
        <v/>
      </c>
      <c r="AH21" t="str">
        <f t="shared" si="10"/>
        <v/>
      </c>
      <c r="AI21" t="str">
        <f t="shared" si="11"/>
        <v>Resto</v>
      </c>
      <c r="AJ21">
        <f>SUMIFS('DATOS LIMPIOS'!$M$5:$M$493,'DATOS LIMPIOS'!$E$5:$E$493,B21,'DATOS LIMPIOS'!$T$5:$T$493,"Octubre")</f>
        <v>28.999873378796376</v>
      </c>
      <c r="AK21">
        <f>COUNTIFS('DATOS LIMPIOS'!$E$5:$E$493,B21,'DATOS LIMPIOS'!$T$5:$T$493,"Octubre")</f>
        <v>1</v>
      </c>
    </row>
    <row r="22" spans="1:37" x14ac:dyDescent="0.2">
      <c r="A22">
        <v>19</v>
      </c>
      <c r="B22" t="str">
        <f t="array" ref="B22">IFERROR(INDEX('DATOS LIMPIOS'!$E$5:$E$493,MATCH(0,COUNTIF($B$3:B21,'DATOS LIMPIOS'!$E$5:$E$493),0)),"")</f>
        <v>¡Celebra con nosotros! Descuentos festivos para regalar</v>
      </c>
      <c r="C22">
        <f>COUNTIF('DATOS LIMPIOS'!$E$5:$E$493,B22)</f>
        <v>20</v>
      </c>
      <c r="D22">
        <f>AVERAGEIF('DATOS LIMPIOS'!$E$5:$E$493,B22,'DATOS LIMPIOS'!$M$5:$M$493)</f>
        <v>29.233022524783024</v>
      </c>
      <c r="E22">
        <f>AVERAGEIF('DATOS LIMPIOS'!$E$5:$E$493,B22,'DATOS LIMPIOS'!$N$5:$N$493)</f>
        <v>7.9784637705697268</v>
      </c>
      <c r="F22" t="str">
        <f>INDEX('DATOS LIMPIOS'!$B$5:$B$493,MATCH(B22,'DATOS LIMPIOS'!$E$5:$E$493,0))</f>
        <v>Holiday Discounts</v>
      </c>
      <c r="G22" t="str">
        <f>INDEX('DATOS LIMPIOS'!$AH$5:$AH$493,MATCH(B22,'DATOS LIMPIOS'!$E$5:$E$493,0))</f>
        <v>No</v>
      </c>
      <c r="H22" t="str">
        <f>INDEX('DATOS LIMPIOS'!$AN$5:$AN$493,MATCH(B22,'DATOS LIMPIOS'!$E$5:$E$493,0))</f>
        <v>No</v>
      </c>
      <c r="I22" t="str">
        <f>INDEX('DATOS LIMPIOS'!$AM$5:$AM$493,MATCH(B22,'DATOS LIMPIOS'!$E$5:$E$493,0))</f>
        <v>No</v>
      </c>
      <c r="J22" t="str">
        <f>INDEX('DATOS LIMPIOS'!$AJ$5:$AJ$493,MATCH(B22,'DATOS LIMPIOS'!$E$5:$E$493,0))</f>
        <v>No</v>
      </c>
      <c r="K22" t="str">
        <f>INDEX('DATOS LIMPIOS'!$AI$5:$AI$493,MATCH(B22,'DATOS LIMPIOS'!$E$5:$E$493,0))</f>
        <v>Sí</v>
      </c>
      <c r="L22" t="str">
        <f>INDEX('DATOS LIMPIOS'!$AR$5:$AR$493,MATCH(B22,'DATOS LIMPIOS'!$E$5:$E$493,0))</f>
        <v>Sí</v>
      </c>
      <c r="N22">
        <f>COUNTIFS('DATOS LIMPIOS'!$E$5:$E$493,B22,'DATOS LIMPIOS'!$T$5:$T$493,"&lt;&gt;Agosto")</f>
        <v>14</v>
      </c>
      <c r="O22">
        <f>IFERROR(AVERAGEIFS('DATOS LIMPIOS'!$M$5:$M$493,'DATOS LIMPIOS'!$E$5:$E$493,B22,'DATOS LIMPIOS'!$T$5:$T$493,"&lt;&gt;Agosto"),"")</f>
        <v>28.042033205859912</v>
      </c>
      <c r="P22" t="str">
        <f t="shared" si="0"/>
        <v>Sí</v>
      </c>
      <c r="Q22">
        <f t="shared" si="1"/>
        <v>12</v>
      </c>
      <c r="R22">
        <f t="shared" si="2"/>
        <v>10</v>
      </c>
      <c r="S22" t="str">
        <f t="shared" si="3"/>
        <v>Resto</v>
      </c>
      <c r="T22">
        <f>SUMIFS('DATOS LIMPIOS'!$M$5:$M$493,'DATOS LIMPIOS'!$E$5:$E$493,B22,'DATOS LIMPIOS'!$T$5:$T$493,"Agosto")</f>
        <v>192.07198561362168</v>
      </c>
      <c r="U22">
        <f>COUNTIFS('DATOS LIMPIOS'!$E$5:$E$493,B22,'DATOS LIMPIOS'!$T$5:$T$493,"Agosto")</f>
        <v>6</v>
      </c>
      <c r="V22">
        <f>COUNTIFS('DATOS LIMPIOS'!$E$5:$E$493,B22,'DATOS LIMPIOS'!$T$5:$T$493,"&lt;&gt;Septiembre")</f>
        <v>15</v>
      </c>
      <c r="W22">
        <f>IFERROR(AVERAGEIFS('DATOS LIMPIOS'!$M$5:$M$493,'DATOS LIMPIOS'!$E$5:$E$493,B22,'DATOS LIMPIOS'!$T$5:$T$493,"&lt;&gt;Septiembre"),"")</f>
        <v>32.708702457950714</v>
      </c>
      <c r="X22" t="str">
        <f t="shared" si="4"/>
        <v>Sí</v>
      </c>
      <c r="Y22">
        <f t="shared" si="5"/>
        <v>11</v>
      </c>
      <c r="Z22">
        <f t="shared" si="6"/>
        <v>15</v>
      </c>
      <c r="AA22" t="str">
        <f t="shared" si="7"/>
        <v>Resto</v>
      </c>
      <c r="AB22">
        <f>SUMIFS('DATOS LIMPIOS'!$M$5:$M$493,'DATOS LIMPIOS'!$E$5:$E$493,B22,'DATOS LIMPIOS'!$T$5:$T$493,"Septiembre")</f>
        <v>94.029913626399718</v>
      </c>
      <c r="AC22">
        <f>COUNTIFS('DATOS LIMPIOS'!$E$5:$E$493,B22,'DATOS LIMPIOS'!$T$5:$T$493,"Septiembre")</f>
        <v>5</v>
      </c>
      <c r="AD22">
        <f>COUNTIFS('DATOS LIMPIOS'!$E$5:$E$493,B22,'DATOS LIMPIOS'!$T$5:$T$493,"&lt;&gt;Octubre")</f>
        <v>11</v>
      </c>
      <c r="AE22">
        <f>IFERROR(AVERAGEIFS('DATOS LIMPIOS'!$M$5:$M$493,'DATOS LIMPIOS'!$E$5:$E$493,B22,'DATOS LIMPIOS'!$T$5:$T$493,"&lt;&gt;Octubre"),"")</f>
        <v>26.009263567274672</v>
      </c>
      <c r="AF22" t="str">
        <f t="shared" si="8"/>
        <v>Sí</v>
      </c>
      <c r="AG22">
        <f t="shared" si="9"/>
        <v>12</v>
      </c>
      <c r="AH22">
        <f t="shared" si="10"/>
        <v>14</v>
      </c>
      <c r="AI22" t="str">
        <f t="shared" si="11"/>
        <v>Resto</v>
      </c>
      <c r="AJ22">
        <f>SUMIFS('DATOS LIMPIOS'!$M$5:$M$493,'DATOS LIMPIOS'!$E$5:$E$493,B22,'DATOS LIMPIOS'!$T$5:$T$493,"Octubre")</f>
        <v>298.55855125563903</v>
      </c>
      <c r="AK22">
        <f>COUNTIFS('DATOS LIMPIOS'!$E$5:$E$493,B22,'DATOS LIMPIOS'!$T$5:$T$493,"Octubre")</f>
        <v>9</v>
      </c>
    </row>
    <row r="23" spans="1:37" x14ac:dyDescent="0.2">
      <c r="A23">
        <v>20</v>
      </c>
      <c r="B23" t="str">
        <f t="array" ref="B23">IFERROR(INDEX('DATOS LIMPIOS'!$E$5:$E$493,MATCH(0,COUNTIF($B$3:B22,'DATOS LIMPIOS'!$E$5:$E$493),0)),"")</f>
        <v>¡Acceso VIP a ofertas exclusivas! Solo para ti</v>
      </c>
      <c r="C23">
        <f>COUNTIF('DATOS LIMPIOS'!$E$5:$E$493,B23)</f>
        <v>1</v>
      </c>
      <c r="D23">
        <f>AVERAGEIF('DATOS LIMPIOS'!$E$5:$E$493,B23,'DATOS LIMPIOS'!$M$5:$M$493)</f>
        <v>36.055580235944518</v>
      </c>
      <c r="E23">
        <f>AVERAGEIF('DATOS LIMPIOS'!$E$5:$E$493,B23,'DATOS LIMPIOS'!$N$5:$N$493)</f>
        <v>13.041117528012242</v>
      </c>
      <c r="F23" t="str">
        <f>INDEX('DATOS LIMPIOS'!$B$5:$B$493,MATCH(B23,'DATOS LIMPIOS'!$E$5:$E$493,0))</f>
        <v>Exclusive Offers</v>
      </c>
      <c r="G23" t="str">
        <f>INDEX('DATOS LIMPIOS'!$AH$5:$AH$493,MATCH(B23,'DATOS LIMPIOS'!$E$5:$E$493,0))</f>
        <v>No</v>
      </c>
      <c r="H23" t="str">
        <f>INDEX('DATOS LIMPIOS'!$AN$5:$AN$493,MATCH(B23,'DATOS LIMPIOS'!$E$5:$E$493,0))</f>
        <v>No</v>
      </c>
      <c r="I23" t="str">
        <f>INDEX('DATOS LIMPIOS'!$AM$5:$AM$493,MATCH(B23,'DATOS LIMPIOS'!$E$5:$E$493,0))</f>
        <v>No</v>
      </c>
      <c r="J23" t="str">
        <f>INDEX('DATOS LIMPIOS'!$AJ$5:$AJ$493,MATCH(B23,'DATOS LIMPIOS'!$E$5:$E$493,0))</f>
        <v>No</v>
      </c>
      <c r="K23" t="str">
        <f>INDEX('DATOS LIMPIOS'!$AI$5:$AI$493,MATCH(B23,'DATOS LIMPIOS'!$E$5:$E$493,0))</f>
        <v>Sí</v>
      </c>
      <c r="L23" t="str">
        <f>INDEX('DATOS LIMPIOS'!$AR$5:$AR$493,MATCH(B23,'DATOS LIMPIOS'!$E$5:$E$493,0))</f>
        <v>Sí</v>
      </c>
      <c r="N23">
        <f>COUNTIFS('DATOS LIMPIOS'!$E$5:$E$493,B23,'DATOS LIMPIOS'!$T$5:$T$493,"&lt;&gt;Agosto")</f>
        <v>0</v>
      </c>
      <c r="O23" t="str">
        <f>IFERROR(AVERAGEIFS('DATOS LIMPIOS'!$M$5:$M$493,'DATOS LIMPIOS'!$E$5:$E$493,B23,'DATOS LIMPIOS'!$T$5:$T$493,"&lt;&gt;Agosto"),"")</f>
        <v/>
      </c>
      <c r="P23" t="str">
        <f t="shared" si="0"/>
        <v>No</v>
      </c>
      <c r="Q23" t="str">
        <f t="shared" si="1"/>
        <v/>
      </c>
      <c r="R23" t="str">
        <f t="shared" si="2"/>
        <v/>
      </c>
      <c r="S23" t="str">
        <f t="shared" si="3"/>
        <v>Resto</v>
      </c>
      <c r="T23">
        <f>SUMIFS('DATOS LIMPIOS'!$M$5:$M$493,'DATOS LIMPIOS'!$E$5:$E$493,B23,'DATOS LIMPIOS'!$T$5:$T$493,"Agosto")</f>
        <v>36.055580235944518</v>
      </c>
      <c r="U23">
        <f>COUNTIFS('DATOS LIMPIOS'!$E$5:$E$493,B23,'DATOS LIMPIOS'!$T$5:$T$493,"Agosto")</f>
        <v>1</v>
      </c>
      <c r="V23">
        <f>COUNTIFS('DATOS LIMPIOS'!$E$5:$E$493,B23,'DATOS LIMPIOS'!$T$5:$T$493,"&lt;&gt;Septiembre")</f>
        <v>1</v>
      </c>
      <c r="W23">
        <f>IFERROR(AVERAGEIFS('DATOS LIMPIOS'!$M$5:$M$493,'DATOS LIMPIOS'!$E$5:$E$493,B23,'DATOS LIMPIOS'!$T$5:$T$493,"&lt;&gt;Septiembre"),"")</f>
        <v>36.055580235944518</v>
      </c>
      <c r="X23" t="str">
        <f t="shared" si="4"/>
        <v>No</v>
      </c>
      <c r="Y23" t="str">
        <f t="shared" si="5"/>
        <v/>
      </c>
      <c r="Z23" t="str">
        <f t="shared" si="6"/>
        <v/>
      </c>
      <c r="AA23" t="str">
        <f t="shared" si="7"/>
        <v>Resto</v>
      </c>
      <c r="AB23">
        <f>SUMIFS('DATOS LIMPIOS'!$M$5:$M$493,'DATOS LIMPIOS'!$E$5:$E$493,B23,'DATOS LIMPIOS'!$T$5:$T$493,"Septiembre")</f>
        <v>0</v>
      </c>
      <c r="AC23">
        <f>COUNTIFS('DATOS LIMPIOS'!$E$5:$E$493,B23,'DATOS LIMPIOS'!$T$5:$T$493,"Septiembre")</f>
        <v>0</v>
      </c>
      <c r="AD23">
        <f>COUNTIFS('DATOS LIMPIOS'!$E$5:$E$493,B23,'DATOS LIMPIOS'!$T$5:$T$493,"&lt;&gt;Octubre")</f>
        <v>1</v>
      </c>
      <c r="AE23">
        <f>IFERROR(AVERAGEIFS('DATOS LIMPIOS'!$M$5:$M$493,'DATOS LIMPIOS'!$E$5:$E$493,B23,'DATOS LIMPIOS'!$T$5:$T$493,"&lt;&gt;Octubre"),"")</f>
        <v>36.055580235944518</v>
      </c>
      <c r="AF23" t="str">
        <f t="shared" si="8"/>
        <v>No</v>
      </c>
      <c r="AG23" t="str">
        <f t="shared" si="9"/>
        <v/>
      </c>
      <c r="AH23" t="str">
        <f t="shared" si="10"/>
        <v/>
      </c>
      <c r="AI23" t="str">
        <f t="shared" si="11"/>
        <v>Resto</v>
      </c>
      <c r="AJ23">
        <f>SUMIFS('DATOS LIMPIOS'!$M$5:$M$493,'DATOS LIMPIOS'!$E$5:$E$493,B23,'DATOS LIMPIOS'!$T$5:$T$493,"Octubre")</f>
        <v>0</v>
      </c>
      <c r="AK23">
        <f>COUNTIFS('DATOS LIMPIOS'!$E$5:$E$493,B23,'DATOS LIMPIOS'!$T$5:$T$493,"Octubre")</f>
        <v>0</v>
      </c>
    </row>
    <row r="24" spans="1:37" x14ac:dyDescent="0.2">
      <c r="A24">
        <v>21</v>
      </c>
      <c r="B24" t="str">
        <f t="array" ref="B24">IFERROR(INDEX('DATOS LIMPIOS'!$E$5:$E$493,MATCH(0,COUNTIF($B$3:B23,'DATOS LIMPIOS'!$E$5:$E$493),0)),"")</f>
        <v>¡Tu oportunidad de ahorro! Ofertas Especiales L'Oréal</v>
      </c>
      <c r="C24">
        <f>COUNTIF('DATOS LIMPIOS'!$E$5:$E$493,B24)</f>
        <v>2</v>
      </c>
      <c r="D24">
        <f>AVERAGEIF('DATOS LIMPIOS'!$E$5:$E$493,B24,'DATOS LIMPIOS'!$M$5:$M$493)</f>
        <v>29.492294044668999</v>
      </c>
      <c r="E24">
        <f>AVERAGEIF('DATOS LIMPIOS'!$E$5:$E$493,B24,'DATOS LIMPIOS'!$N$5:$N$493)</f>
        <v>10.29285471706309</v>
      </c>
      <c r="F24" t="str">
        <f>INDEX('DATOS LIMPIOS'!$B$5:$B$493,MATCH(B24,'DATOS LIMPIOS'!$E$5:$E$493,0))</f>
        <v>Exclusive Offers</v>
      </c>
      <c r="G24" t="str">
        <f>INDEX('DATOS LIMPIOS'!$AH$5:$AH$493,MATCH(B24,'DATOS LIMPIOS'!$E$5:$E$493,0))</f>
        <v>Sí</v>
      </c>
      <c r="H24" t="str">
        <f>INDEX('DATOS LIMPIOS'!$AN$5:$AN$493,MATCH(B24,'DATOS LIMPIOS'!$E$5:$E$493,0))</f>
        <v>No</v>
      </c>
      <c r="I24" t="str">
        <f>INDEX('DATOS LIMPIOS'!$AM$5:$AM$493,MATCH(B24,'DATOS LIMPIOS'!$E$5:$E$493,0))</f>
        <v>No</v>
      </c>
      <c r="J24" t="str">
        <f>INDEX('DATOS LIMPIOS'!$AJ$5:$AJ$493,MATCH(B24,'DATOS LIMPIOS'!$E$5:$E$493,0))</f>
        <v>No</v>
      </c>
      <c r="K24" t="str">
        <f>INDEX('DATOS LIMPIOS'!$AI$5:$AI$493,MATCH(B24,'DATOS LIMPIOS'!$E$5:$E$493,0))</f>
        <v>Sí</v>
      </c>
      <c r="L24" t="str">
        <f>INDEX('DATOS LIMPIOS'!$AR$5:$AR$493,MATCH(B24,'DATOS LIMPIOS'!$E$5:$E$493,0))</f>
        <v>Sí</v>
      </c>
      <c r="N24">
        <f>COUNTIFS('DATOS LIMPIOS'!$E$5:$E$493,B24,'DATOS LIMPIOS'!$T$5:$T$493,"&lt;&gt;Agosto")</f>
        <v>1</v>
      </c>
      <c r="O24">
        <f>IFERROR(AVERAGEIFS('DATOS LIMPIOS'!$M$5:$M$493,'DATOS LIMPIOS'!$E$5:$E$493,B24,'DATOS LIMPIOS'!$T$5:$T$493,"&lt;&gt;Agosto"),"")</f>
        <v>30.422900371966588</v>
      </c>
      <c r="P24" t="str">
        <f t="shared" si="0"/>
        <v>No</v>
      </c>
      <c r="Q24" t="str">
        <f t="shared" si="1"/>
        <v/>
      </c>
      <c r="R24" t="str">
        <f t="shared" si="2"/>
        <v/>
      </c>
      <c r="S24" t="str">
        <f t="shared" si="3"/>
        <v>Resto</v>
      </c>
      <c r="T24">
        <f>SUMIFS('DATOS LIMPIOS'!$M$5:$M$493,'DATOS LIMPIOS'!$E$5:$E$493,B24,'DATOS LIMPIOS'!$T$5:$T$493,"Agosto")</f>
        <v>28.561687717371409</v>
      </c>
      <c r="U24">
        <f>COUNTIFS('DATOS LIMPIOS'!$E$5:$E$493,B24,'DATOS LIMPIOS'!$T$5:$T$493,"Agosto")</f>
        <v>1</v>
      </c>
      <c r="V24">
        <f>COUNTIFS('DATOS LIMPIOS'!$E$5:$E$493,B24,'DATOS LIMPIOS'!$T$5:$T$493,"&lt;&gt;Septiembre")</f>
        <v>2</v>
      </c>
      <c r="W24">
        <f>IFERROR(AVERAGEIFS('DATOS LIMPIOS'!$M$5:$M$493,'DATOS LIMPIOS'!$E$5:$E$493,B24,'DATOS LIMPIOS'!$T$5:$T$493,"&lt;&gt;Septiembre"),"")</f>
        <v>29.492294044668999</v>
      </c>
      <c r="X24" t="str">
        <f t="shared" si="4"/>
        <v>No</v>
      </c>
      <c r="Y24" t="str">
        <f t="shared" si="5"/>
        <v/>
      </c>
      <c r="Z24" t="str">
        <f t="shared" si="6"/>
        <v/>
      </c>
      <c r="AA24" t="str">
        <f t="shared" si="7"/>
        <v>Resto</v>
      </c>
      <c r="AB24">
        <f>SUMIFS('DATOS LIMPIOS'!$M$5:$M$493,'DATOS LIMPIOS'!$E$5:$E$493,B24,'DATOS LIMPIOS'!$T$5:$T$493,"Septiembre")</f>
        <v>0</v>
      </c>
      <c r="AC24">
        <f>COUNTIFS('DATOS LIMPIOS'!$E$5:$E$493,B24,'DATOS LIMPIOS'!$T$5:$T$493,"Septiembre")</f>
        <v>0</v>
      </c>
      <c r="AD24">
        <f>COUNTIFS('DATOS LIMPIOS'!$E$5:$E$493,B24,'DATOS LIMPIOS'!$T$5:$T$493,"&lt;&gt;Octubre")</f>
        <v>1</v>
      </c>
      <c r="AE24">
        <f>IFERROR(AVERAGEIFS('DATOS LIMPIOS'!$M$5:$M$493,'DATOS LIMPIOS'!$E$5:$E$493,B24,'DATOS LIMPIOS'!$T$5:$T$493,"&lt;&gt;Octubre"),"")</f>
        <v>28.561687717371409</v>
      </c>
      <c r="AF24" t="str">
        <f t="shared" si="8"/>
        <v>No</v>
      </c>
      <c r="AG24" t="str">
        <f t="shared" si="9"/>
        <v/>
      </c>
      <c r="AH24" t="str">
        <f t="shared" si="10"/>
        <v/>
      </c>
      <c r="AI24" t="str">
        <f t="shared" si="11"/>
        <v>Resto</v>
      </c>
      <c r="AJ24">
        <f>SUMIFS('DATOS LIMPIOS'!$M$5:$M$493,'DATOS LIMPIOS'!$E$5:$E$493,B24,'DATOS LIMPIOS'!$T$5:$T$493,"Octubre")</f>
        <v>30.422900371966588</v>
      </c>
      <c r="AK24">
        <f>COUNTIFS('DATOS LIMPIOS'!$E$5:$E$493,B24,'DATOS LIMPIOS'!$T$5:$T$493,"Octubre")</f>
        <v>1</v>
      </c>
    </row>
    <row r="25" spans="1:37" x14ac:dyDescent="0.2">
      <c r="A25">
        <v>22</v>
      </c>
      <c r="B25" t="str">
        <f t="array" ref="B25">IFERROR(INDEX('DATOS LIMPIOS'!$E$5:$E$493,MATCH(0,COUNTIF($B$3:B24,'DATOS LIMPIOS'!$E$5:$E$493),0)),"")</f>
        <v>¡Lo nuevo de L'Oréal! Te va a encantar: innovación en belleza</v>
      </c>
      <c r="C25">
        <f>COUNTIF('DATOS LIMPIOS'!$E$5:$E$493,B25)</f>
        <v>22</v>
      </c>
      <c r="D25">
        <f>AVERAGEIF('DATOS LIMPIOS'!$E$5:$E$493,B25,'DATOS LIMPIOS'!$M$5:$M$493)</f>
        <v>30.93688234168668</v>
      </c>
      <c r="E25">
        <f>AVERAGEIF('DATOS LIMPIOS'!$E$5:$E$493,B25,'DATOS LIMPIOS'!$N$5:$N$493)</f>
        <v>11.943638509771747</v>
      </c>
      <c r="F25" t="str">
        <f>INDEX('DATOS LIMPIOS'!$B$5:$B$493,MATCH(B25,'DATOS LIMPIOS'!$E$5:$E$493,0))</f>
        <v>New Product Launch</v>
      </c>
      <c r="G25" t="str">
        <f>INDEX('DATOS LIMPIOS'!$AH$5:$AH$493,MATCH(B25,'DATOS LIMPIOS'!$E$5:$E$493,0))</f>
        <v>No</v>
      </c>
      <c r="H25" t="str">
        <f>INDEX('DATOS LIMPIOS'!$AN$5:$AN$493,MATCH(B25,'DATOS LIMPIOS'!$E$5:$E$493,0))</f>
        <v>No</v>
      </c>
      <c r="I25" t="str">
        <f>INDEX('DATOS LIMPIOS'!$AM$5:$AM$493,MATCH(B25,'DATOS LIMPIOS'!$E$5:$E$493,0))</f>
        <v>Sí</v>
      </c>
      <c r="J25" t="str">
        <f>INDEX('DATOS LIMPIOS'!$AJ$5:$AJ$493,MATCH(B25,'DATOS LIMPIOS'!$E$5:$E$493,0))</f>
        <v>No</v>
      </c>
      <c r="K25" t="str">
        <f>INDEX('DATOS LIMPIOS'!$AI$5:$AI$493,MATCH(B25,'DATOS LIMPIOS'!$E$5:$E$493,0))</f>
        <v>No</v>
      </c>
      <c r="L25" t="str">
        <f>INDEX('DATOS LIMPIOS'!$AR$5:$AR$493,MATCH(B25,'DATOS LIMPIOS'!$E$5:$E$493,0))</f>
        <v>No</v>
      </c>
      <c r="N25">
        <f>COUNTIFS('DATOS LIMPIOS'!$E$5:$E$493,B25,'DATOS LIMPIOS'!$T$5:$T$493,"&lt;&gt;Agosto")</f>
        <v>16</v>
      </c>
      <c r="O25">
        <f>IFERROR(AVERAGEIFS('DATOS LIMPIOS'!$M$5:$M$493,'DATOS LIMPIOS'!$E$5:$E$493,B25,'DATOS LIMPIOS'!$T$5:$T$493,"&lt;&gt;Agosto"),"")</f>
        <v>30.980713299903066</v>
      </c>
      <c r="P25" t="str">
        <f t="shared" si="0"/>
        <v>Sí</v>
      </c>
      <c r="Q25">
        <f t="shared" si="1"/>
        <v>11</v>
      </c>
      <c r="R25">
        <f t="shared" si="2"/>
        <v>11</v>
      </c>
      <c r="S25" t="str">
        <f t="shared" si="3"/>
        <v>Resto</v>
      </c>
      <c r="T25">
        <f>SUMIFS('DATOS LIMPIOS'!$M$5:$M$493,'DATOS LIMPIOS'!$E$5:$E$493,B25,'DATOS LIMPIOS'!$T$5:$T$493,"Agosto")</f>
        <v>184.91999871865789</v>
      </c>
      <c r="U25">
        <f>COUNTIFS('DATOS LIMPIOS'!$E$5:$E$493,B25,'DATOS LIMPIOS'!$T$5:$T$493,"Agosto")</f>
        <v>6</v>
      </c>
      <c r="V25">
        <f>COUNTIFS('DATOS LIMPIOS'!$E$5:$E$493,B25,'DATOS LIMPIOS'!$T$5:$T$493,"&lt;&gt;Septiembre")</f>
        <v>9</v>
      </c>
      <c r="W25">
        <f>IFERROR(AVERAGEIFS('DATOS LIMPIOS'!$M$5:$M$493,'DATOS LIMPIOS'!$E$5:$E$493,B25,'DATOS LIMPIOS'!$T$5:$T$493,"&lt;&gt;Septiembre"),"")</f>
        <v>29.69904929285422</v>
      </c>
      <c r="X25" t="str">
        <f t="shared" si="4"/>
        <v>Sí</v>
      </c>
      <c r="Y25">
        <f t="shared" si="5"/>
        <v>13</v>
      </c>
      <c r="Z25">
        <f t="shared" si="6"/>
        <v>13</v>
      </c>
      <c r="AA25" t="str">
        <f t="shared" si="7"/>
        <v>Resto</v>
      </c>
      <c r="AB25">
        <f>SUMIFS('DATOS LIMPIOS'!$M$5:$M$493,'DATOS LIMPIOS'!$E$5:$E$493,B25,'DATOS LIMPIOS'!$T$5:$T$493,"Septiembre")</f>
        <v>413.31996788141896</v>
      </c>
      <c r="AC25">
        <f>COUNTIFS('DATOS LIMPIOS'!$E$5:$E$493,B25,'DATOS LIMPIOS'!$T$5:$T$493,"Septiembre")</f>
        <v>13</v>
      </c>
      <c r="AD25">
        <f>COUNTIFS('DATOS LIMPIOS'!$E$5:$E$493,B25,'DATOS LIMPIOS'!$T$5:$T$493,"&lt;&gt;Octubre")</f>
        <v>19</v>
      </c>
      <c r="AE25">
        <f>IFERROR(AVERAGEIFS('DATOS LIMPIOS'!$M$5:$M$493,'DATOS LIMPIOS'!$E$5:$E$493,B25,'DATOS LIMPIOS'!$T$5:$T$493,"&lt;&gt;Octubre"),"")</f>
        <v>31.486314031582992</v>
      </c>
      <c r="AF25" t="str">
        <f t="shared" si="8"/>
        <v>Sí</v>
      </c>
      <c r="AG25">
        <f t="shared" si="9"/>
        <v>9</v>
      </c>
      <c r="AH25">
        <f t="shared" si="10"/>
        <v>17</v>
      </c>
      <c r="AI25" t="str">
        <f t="shared" si="11"/>
        <v>Resto</v>
      </c>
      <c r="AJ25">
        <f>SUMIFS('DATOS LIMPIOS'!$M$5:$M$493,'DATOS LIMPIOS'!$E$5:$E$493,B25,'DATOS LIMPIOS'!$T$5:$T$493,"Octubre")</f>
        <v>82.371444917030061</v>
      </c>
      <c r="AK25">
        <f>COUNTIFS('DATOS LIMPIOS'!$E$5:$E$493,B25,'DATOS LIMPIOS'!$T$5:$T$493,"Octubre")</f>
        <v>3</v>
      </c>
    </row>
    <row r="26" spans="1:37" x14ac:dyDescent="0.2">
      <c r="A26">
        <v>23</v>
      </c>
      <c r="B26" t="str">
        <f t="array" ref="B26">IFERROR(INDEX('DATOS LIMPIOS'!$E$5:$E$493,MATCH(0,COUNTIF($B$3:B25,'DATOS LIMPIOS'!$E$5:$E$493),0)),"")</f>
        <v>¡Descuentos Festivos! Consigue tus regalos, ahorra ahora</v>
      </c>
      <c r="C26">
        <f>COUNTIF('DATOS LIMPIOS'!$E$5:$E$493,B26)</f>
        <v>1</v>
      </c>
      <c r="D26">
        <f>AVERAGEIF('DATOS LIMPIOS'!$E$5:$E$493,B26,'DATOS LIMPIOS'!$M$5:$M$493)</f>
        <v>48.806168131321506</v>
      </c>
      <c r="E26">
        <f>AVERAGEIF('DATOS LIMPIOS'!$E$5:$E$493,B26,'DATOS LIMPIOS'!$N$5:$N$493)</f>
        <v>12.444039131155696</v>
      </c>
      <c r="F26" t="str">
        <f>INDEX('DATOS LIMPIOS'!$B$5:$B$493,MATCH(B26,'DATOS LIMPIOS'!$E$5:$E$493,0))</f>
        <v>Holiday Discounts</v>
      </c>
      <c r="G26" t="str">
        <f>INDEX('DATOS LIMPIOS'!$AH$5:$AH$493,MATCH(B26,'DATOS LIMPIOS'!$E$5:$E$493,0))</f>
        <v>No</v>
      </c>
      <c r="H26" t="str">
        <f>INDEX('DATOS LIMPIOS'!$AN$5:$AN$493,MATCH(B26,'DATOS LIMPIOS'!$E$5:$E$493,0))</f>
        <v>No</v>
      </c>
      <c r="I26" t="str">
        <f>INDEX('DATOS LIMPIOS'!$AM$5:$AM$493,MATCH(B26,'DATOS LIMPIOS'!$E$5:$E$493,0))</f>
        <v>Sí</v>
      </c>
      <c r="J26" t="str">
        <f>INDEX('DATOS LIMPIOS'!$AJ$5:$AJ$493,MATCH(B26,'DATOS LIMPIOS'!$E$5:$E$493,0))</f>
        <v>No</v>
      </c>
      <c r="K26" t="str">
        <f>INDEX('DATOS LIMPIOS'!$AI$5:$AI$493,MATCH(B26,'DATOS LIMPIOS'!$E$5:$E$493,0))</f>
        <v>Sí</v>
      </c>
      <c r="L26" t="str">
        <f>INDEX('DATOS LIMPIOS'!$AR$5:$AR$493,MATCH(B26,'DATOS LIMPIOS'!$E$5:$E$493,0))</f>
        <v>Sí</v>
      </c>
      <c r="N26">
        <f>COUNTIFS('DATOS LIMPIOS'!$E$5:$E$493,B26,'DATOS LIMPIOS'!$T$5:$T$493,"&lt;&gt;Agosto")</f>
        <v>0</v>
      </c>
      <c r="O26" t="str">
        <f>IFERROR(AVERAGEIFS('DATOS LIMPIOS'!$M$5:$M$493,'DATOS LIMPIOS'!$E$5:$E$493,B26,'DATOS LIMPIOS'!$T$5:$T$493,"&lt;&gt;Agosto"),"")</f>
        <v/>
      </c>
      <c r="P26" t="str">
        <f t="shared" si="0"/>
        <v>No</v>
      </c>
      <c r="Q26" t="str">
        <f t="shared" si="1"/>
        <v/>
      </c>
      <c r="R26" t="str">
        <f t="shared" si="2"/>
        <v/>
      </c>
      <c r="S26" t="str">
        <f t="shared" si="3"/>
        <v>Resto</v>
      </c>
      <c r="T26">
        <f>SUMIFS('DATOS LIMPIOS'!$M$5:$M$493,'DATOS LIMPIOS'!$E$5:$E$493,B26,'DATOS LIMPIOS'!$T$5:$T$493,"Agosto")</f>
        <v>48.806168131321506</v>
      </c>
      <c r="U26">
        <f>COUNTIFS('DATOS LIMPIOS'!$E$5:$E$493,B26,'DATOS LIMPIOS'!$T$5:$T$493,"Agosto")</f>
        <v>1</v>
      </c>
      <c r="V26">
        <f>COUNTIFS('DATOS LIMPIOS'!$E$5:$E$493,B26,'DATOS LIMPIOS'!$T$5:$T$493,"&lt;&gt;Septiembre")</f>
        <v>1</v>
      </c>
      <c r="W26">
        <f>IFERROR(AVERAGEIFS('DATOS LIMPIOS'!$M$5:$M$493,'DATOS LIMPIOS'!$E$5:$E$493,B26,'DATOS LIMPIOS'!$T$5:$T$493,"&lt;&gt;Septiembre"),"")</f>
        <v>48.806168131321506</v>
      </c>
      <c r="X26" t="str">
        <f t="shared" si="4"/>
        <v>No</v>
      </c>
      <c r="Y26" t="str">
        <f t="shared" si="5"/>
        <v/>
      </c>
      <c r="Z26" t="str">
        <f t="shared" si="6"/>
        <v/>
      </c>
      <c r="AA26" t="str">
        <f t="shared" si="7"/>
        <v>Resto</v>
      </c>
      <c r="AB26">
        <f>SUMIFS('DATOS LIMPIOS'!$M$5:$M$493,'DATOS LIMPIOS'!$E$5:$E$493,B26,'DATOS LIMPIOS'!$T$5:$T$493,"Septiembre")</f>
        <v>0</v>
      </c>
      <c r="AC26">
        <f>COUNTIFS('DATOS LIMPIOS'!$E$5:$E$493,B26,'DATOS LIMPIOS'!$T$5:$T$493,"Septiembre")</f>
        <v>0</v>
      </c>
      <c r="AD26">
        <f>COUNTIFS('DATOS LIMPIOS'!$E$5:$E$493,B26,'DATOS LIMPIOS'!$T$5:$T$493,"&lt;&gt;Octubre")</f>
        <v>1</v>
      </c>
      <c r="AE26">
        <f>IFERROR(AVERAGEIFS('DATOS LIMPIOS'!$M$5:$M$493,'DATOS LIMPIOS'!$E$5:$E$493,B26,'DATOS LIMPIOS'!$T$5:$T$493,"&lt;&gt;Octubre"),"")</f>
        <v>48.806168131321506</v>
      </c>
      <c r="AF26" t="str">
        <f t="shared" si="8"/>
        <v>No</v>
      </c>
      <c r="AG26" t="str">
        <f t="shared" si="9"/>
        <v/>
      </c>
      <c r="AH26" t="str">
        <f t="shared" si="10"/>
        <v/>
      </c>
      <c r="AI26" t="str">
        <f t="shared" si="11"/>
        <v>Resto</v>
      </c>
      <c r="AJ26">
        <f>SUMIFS('DATOS LIMPIOS'!$M$5:$M$493,'DATOS LIMPIOS'!$E$5:$E$493,B26,'DATOS LIMPIOS'!$T$5:$T$493,"Octubre")</f>
        <v>0</v>
      </c>
      <c r="AK26">
        <f>COUNTIFS('DATOS LIMPIOS'!$E$5:$E$493,B26,'DATOS LIMPIOS'!$T$5:$T$493,"Octubre")</f>
        <v>0</v>
      </c>
    </row>
    <row r="27" spans="1:37" x14ac:dyDescent="0.2">
      <c r="A27">
        <v>24</v>
      </c>
      <c r="B27" t="str">
        <f t="array" ref="B27">IFERROR(INDEX('DATOS LIMPIOS'!$E$5:$E$493,MATCH(0,COUNTIF($B$3:B26,'DATOS LIMPIOS'!$E$5:$E$493),0)),"")</f>
        <v>¡Solo para ti! Ofertas de otro nivel, imperdibles</v>
      </c>
      <c r="C27">
        <f>COUNTIF('DATOS LIMPIOS'!$E$5:$E$493,B27)</f>
        <v>1</v>
      </c>
      <c r="D27">
        <f>AVERAGEIF('DATOS LIMPIOS'!$E$5:$E$493,B27,'DATOS LIMPIOS'!$M$5:$M$493)</f>
        <v>43.952852004911769</v>
      </c>
      <c r="E27">
        <f>AVERAGEIF('DATOS LIMPIOS'!$E$5:$E$493,B27,'DATOS LIMPIOS'!$N$5:$N$493)</f>
        <v>8.0427099500719947</v>
      </c>
      <c r="F27" t="str">
        <f>INDEX('DATOS LIMPIOS'!$B$5:$B$493,MATCH(B27,'DATOS LIMPIOS'!$E$5:$E$493,0))</f>
        <v>Exclusive Offers</v>
      </c>
      <c r="G27" t="str">
        <f>INDEX('DATOS LIMPIOS'!$AH$5:$AH$493,MATCH(B27,'DATOS LIMPIOS'!$E$5:$E$493,0))</f>
        <v>No</v>
      </c>
      <c r="H27" t="str">
        <f>INDEX('DATOS LIMPIOS'!$AN$5:$AN$493,MATCH(B27,'DATOS LIMPIOS'!$E$5:$E$493,0))</f>
        <v>No</v>
      </c>
      <c r="I27" t="str">
        <f>INDEX('DATOS LIMPIOS'!$AM$5:$AM$493,MATCH(B27,'DATOS LIMPIOS'!$E$5:$E$493,0))</f>
        <v>No</v>
      </c>
      <c r="J27" t="str">
        <f>INDEX('DATOS LIMPIOS'!$AJ$5:$AJ$493,MATCH(B27,'DATOS LIMPIOS'!$E$5:$E$493,0))</f>
        <v>No</v>
      </c>
      <c r="K27" t="str">
        <f>INDEX('DATOS LIMPIOS'!$AI$5:$AI$493,MATCH(B27,'DATOS LIMPIOS'!$E$5:$E$493,0))</f>
        <v>Sí</v>
      </c>
      <c r="L27" t="str">
        <f>INDEX('DATOS LIMPIOS'!$AR$5:$AR$493,MATCH(B27,'DATOS LIMPIOS'!$E$5:$E$493,0))</f>
        <v>Sí</v>
      </c>
      <c r="N27">
        <f>COUNTIFS('DATOS LIMPIOS'!$E$5:$E$493,B27,'DATOS LIMPIOS'!$T$5:$T$493,"&lt;&gt;Agosto")</f>
        <v>1</v>
      </c>
      <c r="O27">
        <f>IFERROR(AVERAGEIFS('DATOS LIMPIOS'!$M$5:$M$493,'DATOS LIMPIOS'!$E$5:$E$493,B27,'DATOS LIMPIOS'!$T$5:$T$493,"&lt;&gt;Agosto"),"")</f>
        <v>43.952852004911769</v>
      </c>
      <c r="P27" t="str">
        <f t="shared" si="0"/>
        <v>No</v>
      </c>
      <c r="Q27" t="str">
        <f t="shared" si="1"/>
        <v/>
      </c>
      <c r="R27" t="str">
        <f t="shared" si="2"/>
        <v/>
      </c>
      <c r="S27" t="str">
        <f t="shared" si="3"/>
        <v>Resto</v>
      </c>
      <c r="T27">
        <f>SUMIFS('DATOS LIMPIOS'!$M$5:$M$493,'DATOS LIMPIOS'!$E$5:$E$493,B27,'DATOS LIMPIOS'!$T$5:$T$493,"Agosto")</f>
        <v>0</v>
      </c>
      <c r="U27">
        <f>COUNTIFS('DATOS LIMPIOS'!$E$5:$E$493,B27,'DATOS LIMPIOS'!$T$5:$T$493,"Agosto")</f>
        <v>0</v>
      </c>
      <c r="V27">
        <f>COUNTIFS('DATOS LIMPIOS'!$E$5:$E$493,B27,'DATOS LIMPIOS'!$T$5:$T$493,"&lt;&gt;Septiembre")</f>
        <v>1</v>
      </c>
      <c r="W27">
        <f>IFERROR(AVERAGEIFS('DATOS LIMPIOS'!$M$5:$M$493,'DATOS LIMPIOS'!$E$5:$E$493,B27,'DATOS LIMPIOS'!$T$5:$T$493,"&lt;&gt;Septiembre"),"")</f>
        <v>43.952852004911769</v>
      </c>
      <c r="X27" t="str">
        <f t="shared" si="4"/>
        <v>No</v>
      </c>
      <c r="Y27" t="str">
        <f t="shared" si="5"/>
        <v/>
      </c>
      <c r="Z27" t="str">
        <f t="shared" si="6"/>
        <v/>
      </c>
      <c r="AA27" t="str">
        <f t="shared" si="7"/>
        <v>Resto</v>
      </c>
      <c r="AB27">
        <f>SUMIFS('DATOS LIMPIOS'!$M$5:$M$493,'DATOS LIMPIOS'!$E$5:$E$493,B27,'DATOS LIMPIOS'!$T$5:$T$493,"Septiembre")</f>
        <v>0</v>
      </c>
      <c r="AC27">
        <f>COUNTIFS('DATOS LIMPIOS'!$E$5:$E$493,B27,'DATOS LIMPIOS'!$T$5:$T$493,"Septiembre")</f>
        <v>0</v>
      </c>
      <c r="AD27">
        <f>COUNTIFS('DATOS LIMPIOS'!$E$5:$E$493,B27,'DATOS LIMPIOS'!$T$5:$T$493,"&lt;&gt;Octubre")</f>
        <v>0</v>
      </c>
      <c r="AE27" t="str">
        <f>IFERROR(AVERAGEIFS('DATOS LIMPIOS'!$M$5:$M$493,'DATOS LIMPIOS'!$E$5:$E$493,B27,'DATOS LIMPIOS'!$T$5:$T$493,"&lt;&gt;Octubre"),"")</f>
        <v/>
      </c>
      <c r="AF27" t="str">
        <f t="shared" si="8"/>
        <v>No</v>
      </c>
      <c r="AG27" t="str">
        <f t="shared" si="9"/>
        <v/>
      </c>
      <c r="AH27" t="str">
        <f t="shared" si="10"/>
        <v/>
      </c>
      <c r="AI27" t="str">
        <f t="shared" si="11"/>
        <v>Resto</v>
      </c>
      <c r="AJ27">
        <f>SUMIFS('DATOS LIMPIOS'!$M$5:$M$493,'DATOS LIMPIOS'!$E$5:$E$493,B27,'DATOS LIMPIOS'!$T$5:$T$493,"Octubre")</f>
        <v>43.952852004911769</v>
      </c>
      <c r="AK27">
        <f>COUNTIFS('DATOS LIMPIOS'!$E$5:$E$493,B27,'DATOS LIMPIOS'!$T$5:$T$493,"Octubre")</f>
        <v>1</v>
      </c>
    </row>
    <row r="28" spans="1:37" x14ac:dyDescent="0.2">
      <c r="A28">
        <v>25</v>
      </c>
      <c r="B28" t="str">
        <f t="array" ref="B28">IFERROR(INDEX('DATOS LIMPIOS'!$E$5:$E$493,MATCH(0,COUNTIF($B$3:B27,'DATOS LIMPIOS'!$E$5:$E$493),0)),"")</f>
        <v>¡Oportunidad Única! Solo por hoy, tus favoritos a un clic</v>
      </c>
      <c r="C28">
        <f>COUNTIF('DATOS LIMPIOS'!$E$5:$E$493,B28)</f>
        <v>11</v>
      </c>
      <c r="D28">
        <f>AVERAGEIF('DATOS LIMPIOS'!$E$5:$E$493,B28,'DATOS LIMPIOS'!$M$5:$M$493)</f>
        <v>18.428686186240089</v>
      </c>
      <c r="E28">
        <f>AVERAGEIF('DATOS LIMPIOS'!$E$5:$E$493,B28,'DATOS LIMPIOS'!$N$5:$N$493)</f>
        <v>7.0116974908304908</v>
      </c>
      <c r="F28" t="str">
        <f>INDEX('DATOS LIMPIOS'!$B$5:$B$493,MATCH(B28,'DATOS LIMPIOS'!$E$5:$E$493,0))</f>
        <v>Exclusive Offers</v>
      </c>
      <c r="G28" t="str">
        <f>INDEX('DATOS LIMPIOS'!$AH$5:$AH$493,MATCH(B28,'DATOS LIMPIOS'!$E$5:$E$493,0))</f>
        <v>Sí</v>
      </c>
      <c r="H28" t="str">
        <f>INDEX('DATOS LIMPIOS'!$AN$5:$AN$493,MATCH(B28,'DATOS LIMPIOS'!$E$5:$E$493,0))</f>
        <v>No</v>
      </c>
      <c r="I28" t="str">
        <f>INDEX('DATOS LIMPIOS'!$AM$5:$AM$493,MATCH(B28,'DATOS LIMPIOS'!$E$5:$E$493,0))</f>
        <v>Sí</v>
      </c>
      <c r="J28" t="str">
        <f>INDEX('DATOS LIMPIOS'!$AJ$5:$AJ$493,MATCH(B28,'DATOS LIMPIOS'!$E$5:$E$493,0))</f>
        <v>Sí</v>
      </c>
      <c r="K28" t="str">
        <f>INDEX('DATOS LIMPIOS'!$AI$5:$AI$493,MATCH(B28,'DATOS LIMPIOS'!$E$5:$E$493,0))</f>
        <v>Sí</v>
      </c>
      <c r="L28" t="str">
        <f>INDEX('DATOS LIMPIOS'!$AR$5:$AR$493,MATCH(B28,'DATOS LIMPIOS'!$E$5:$E$493,0))</f>
        <v>No</v>
      </c>
      <c r="N28">
        <f>COUNTIFS('DATOS LIMPIOS'!$E$5:$E$493,B28,'DATOS LIMPIOS'!$T$5:$T$493,"&lt;&gt;Agosto")</f>
        <v>9</v>
      </c>
      <c r="O28">
        <f>IFERROR(AVERAGEIFS('DATOS LIMPIOS'!$M$5:$M$493,'DATOS LIMPIOS'!$E$5:$E$493,B28,'DATOS LIMPIOS'!$T$5:$T$493,"&lt;&gt;Agosto"),"")</f>
        <v>16.733905730231989</v>
      </c>
      <c r="P28" t="str">
        <f t="shared" si="0"/>
        <v>Sí</v>
      </c>
      <c r="Q28">
        <f t="shared" si="1"/>
        <v>18</v>
      </c>
      <c r="R28">
        <f t="shared" si="2"/>
        <v>4</v>
      </c>
      <c r="S28" t="str">
        <f t="shared" si="3"/>
        <v>5 peores</v>
      </c>
      <c r="T28">
        <f>SUMIFS('DATOS LIMPIOS'!$M$5:$M$493,'DATOS LIMPIOS'!$E$5:$E$493,B28,'DATOS LIMPIOS'!$T$5:$T$493,"Agosto")</f>
        <v>52.110396476553106</v>
      </c>
      <c r="U28">
        <f>COUNTIFS('DATOS LIMPIOS'!$E$5:$E$493,B28,'DATOS LIMPIOS'!$T$5:$T$493,"Agosto")</f>
        <v>2</v>
      </c>
      <c r="V28">
        <f>COUNTIFS('DATOS LIMPIOS'!$E$5:$E$493,B28,'DATOS LIMPIOS'!$T$5:$T$493,"&lt;&gt;Septiembre")</f>
        <v>8</v>
      </c>
      <c r="W28">
        <f>IFERROR(AVERAGEIFS('DATOS LIMPIOS'!$M$5:$M$493,'DATOS LIMPIOS'!$E$5:$E$493,B28,'DATOS LIMPIOS'!$T$5:$T$493,"&lt;&gt;Septiembre"),"")</f>
        <v>20.002727278461123</v>
      </c>
      <c r="X28" t="str">
        <f t="shared" si="4"/>
        <v>Sí</v>
      </c>
      <c r="Y28">
        <f t="shared" si="5"/>
        <v>22</v>
      </c>
      <c r="Z28">
        <f t="shared" si="6"/>
        <v>4</v>
      </c>
      <c r="AA28" t="str">
        <f t="shared" si="7"/>
        <v>5 peores</v>
      </c>
      <c r="AB28">
        <f>SUMIFS('DATOS LIMPIOS'!$M$5:$M$493,'DATOS LIMPIOS'!$E$5:$E$493,B28,'DATOS LIMPIOS'!$T$5:$T$493,"Septiembre")</f>
        <v>42.693729820952008</v>
      </c>
      <c r="AC28">
        <f>COUNTIFS('DATOS LIMPIOS'!$E$5:$E$493,B28,'DATOS LIMPIOS'!$T$5:$T$493,"Septiembre")</f>
        <v>3</v>
      </c>
      <c r="AD28">
        <f>COUNTIFS('DATOS LIMPIOS'!$E$5:$E$493,B28,'DATOS LIMPIOS'!$T$5:$T$493,"&lt;&gt;Octubre")</f>
        <v>5</v>
      </c>
      <c r="AE28">
        <f>IFERROR(AVERAGEIFS('DATOS LIMPIOS'!$M$5:$M$493,'DATOS LIMPIOS'!$E$5:$E$493,B28,'DATOS LIMPIOS'!$T$5:$T$493,"&lt;&gt;Octubre"),"")</f>
        <v>18.960825259501025</v>
      </c>
      <c r="AF28" t="str">
        <f t="shared" si="8"/>
        <v>Sí</v>
      </c>
      <c r="AG28">
        <f t="shared" si="9"/>
        <v>22</v>
      </c>
      <c r="AH28">
        <f t="shared" si="10"/>
        <v>4</v>
      </c>
      <c r="AI28" t="str">
        <f t="shared" si="11"/>
        <v>5 peores</v>
      </c>
      <c r="AJ28">
        <f>SUMIFS('DATOS LIMPIOS'!$M$5:$M$493,'DATOS LIMPIOS'!$E$5:$E$493,B28,'DATOS LIMPIOS'!$T$5:$T$493,"Octubre")</f>
        <v>107.91142175113588</v>
      </c>
      <c r="AK28">
        <f>COUNTIFS('DATOS LIMPIOS'!$E$5:$E$493,B28,'DATOS LIMPIOS'!$T$5:$T$493,"Octubre")</f>
        <v>6</v>
      </c>
    </row>
    <row r="29" spans="1:37" x14ac:dyDescent="0.2">
      <c r="A29">
        <v>26</v>
      </c>
      <c r="B29" t="str">
        <f t="array" ref="B29">IFERROR(INDEX('DATOS LIMPIOS'!$E$5:$E$493,MATCH(0,COUNTIF($B$3:B28,'DATOS LIMPIOS'!$E$5:$E$493),0)),"")</f>
        <v>¡Descubre tu oferta especial! Productos L'Oréal</v>
      </c>
      <c r="C29">
        <f>COUNTIF('DATOS LIMPIOS'!$E$5:$E$493,B29)</f>
        <v>1</v>
      </c>
      <c r="D29">
        <f>AVERAGEIF('DATOS LIMPIOS'!$E$5:$E$493,B29,'DATOS LIMPIOS'!$M$5:$M$493)</f>
        <v>46.204442111276663</v>
      </c>
      <c r="E29">
        <f>AVERAGEIF('DATOS LIMPIOS'!$E$5:$E$493,B29,'DATOS LIMPIOS'!$N$5:$N$493)</f>
        <v>10.043772629368577</v>
      </c>
      <c r="F29" t="str">
        <f>INDEX('DATOS LIMPIOS'!$B$5:$B$493,MATCH(B29,'DATOS LIMPIOS'!$E$5:$E$493,0))</f>
        <v>Exclusive Offers</v>
      </c>
      <c r="G29" t="str">
        <f>INDEX('DATOS LIMPIOS'!$AH$5:$AH$493,MATCH(B29,'DATOS LIMPIOS'!$E$5:$E$493,0))</f>
        <v>No</v>
      </c>
      <c r="H29" t="str">
        <f>INDEX('DATOS LIMPIOS'!$AN$5:$AN$493,MATCH(B29,'DATOS LIMPIOS'!$E$5:$E$493,0))</f>
        <v>No</v>
      </c>
      <c r="I29" t="str">
        <f>INDEX('DATOS LIMPIOS'!$AM$5:$AM$493,MATCH(B29,'DATOS LIMPIOS'!$E$5:$E$493,0))</f>
        <v>Sí</v>
      </c>
      <c r="J29" t="str">
        <f>INDEX('DATOS LIMPIOS'!$AJ$5:$AJ$493,MATCH(B29,'DATOS LIMPIOS'!$E$5:$E$493,0))</f>
        <v>No</v>
      </c>
      <c r="K29" t="str">
        <f>INDEX('DATOS LIMPIOS'!$AI$5:$AI$493,MATCH(B29,'DATOS LIMPIOS'!$E$5:$E$493,0))</f>
        <v>Sí</v>
      </c>
      <c r="L29" t="str">
        <f>INDEX('DATOS LIMPIOS'!$AR$5:$AR$493,MATCH(B29,'DATOS LIMPIOS'!$E$5:$E$493,0))</f>
        <v>Sí</v>
      </c>
      <c r="N29">
        <f>COUNTIFS('DATOS LIMPIOS'!$E$5:$E$493,B29,'DATOS LIMPIOS'!$T$5:$T$493,"&lt;&gt;Agosto")</f>
        <v>1</v>
      </c>
      <c r="O29">
        <f>IFERROR(AVERAGEIFS('DATOS LIMPIOS'!$M$5:$M$493,'DATOS LIMPIOS'!$E$5:$E$493,B29,'DATOS LIMPIOS'!$T$5:$T$493,"&lt;&gt;Agosto"),"")</f>
        <v>46.204442111276663</v>
      </c>
      <c r="P29" t="str">
        <f t="shared" si="0"/>
        <v>No</v>
      </c>
      <c r="Q29" t="str">
        <f t="shared" si="1"/>
        <v/>
      </c>
      <c r="R29" t="str">
        <f t="shared" si="2"/>
        <v/>
      </c>
      <c r="S29" t="str">
        <f t="shared" si="3"/>
        <v>Resto</v>
      </c>
      <c r="T29">
        <f>SUMIFS('DATOS LIMPIOS'!$M$5:$M$493,'DATOS LIMPIOS'!$E$5:$E$493,B29,'DATOS LIMPIOS'!$T$5:$T$493,"Agosto")</f>
        <v>0</v>
      </c>
      <c r="U29">
        <f>COUNTIFS('DATOS LIMPIOS'!$E$5:$E$493,B29,'DATOS LIMPIOS'!$T$5:$T$493,"Agosto")</f>
        <v>0</v>
      </c>
      <c r="V29">
        <f>COUNTIFS('DATOS LIMPIOS'!$E$5:$E$493,B29,'DATOS LIMPIOS'!$T$5:$T$493,"&lt;&gt;Septiembre")</f>
        <v>1</v>
      </c>
      <c r="W29">
        <f>IFERROR(AVERAGEIFS('DATOS LIMPIOS'!$M$5:$M$493,'DATOS LIMPIOS'!$E$5:$E$493,B29,'DATOS LIMPIOS'!$T$5:$T$493,"&lt;&gt;Septiembre"),"")</f>
        <v>46.204442111276663</v>
      </c>
      <c r="X29" t="str">
        <f t="shared" si="4"/>
        <v>No</v>
      </c>
      <c r="Y29" t="str">
        <f t="shared" si="5"/>
        <v/>
      </c>
      <c r="Z29" t="str">
        <f t="shared" si="6"/>
        <v/>
      </c>
      <c r="AA29" t="str">
        <f t="shared" si="7"/>
        <v>Resto</v>
      </c>
      <c r="AB29">
        <f>SUMIFS('DATOS LIMPIOS'!$M$5:$M$493,'DATOS LIMPIOS'!$E$5:$E$493,B29,'DATOS LIMPIOS'!$T$5:$T$493,"Septiembre")</f>
        <v>0</v>
      </c>
      <c r="AC29">
        <f>COUNTIFS('DATOS LIMPIOS'!$E$5:$E$493,B29,'DATOS LIMPIOS'!$T$5:$T$493,"Septiembre")</f>
        <v>0</v>
      </c>
      <c r="AD29">
        <f>COUNTIFS('DATOS LIMPIOS'!$E$5:$E$493,B29,'DATOS LIMPIOS'!$T$5:$T$493,"&lt;&gt;Octubre")</f>
        <v>0</v>
      </c>
      <c r="AE29" t="str">
        <f>IFERROR(AVERAGEIFS('DATOS LIMPIOS'!$M$5:$M$493,'DATOS LIMPIOS'!$E$5:$E$493,B29,'DATOS LIMPIOS'!$T$5:$T$493,"&lt;&gt;Octubre"),"")</f>
        <v/>
      </c>
      <c r="AF29" t="str">
        <f t="shared" si="8"/>
        <v>No</v>
      </c>
      <c r="AG29" t="str">
        <f t="shared" si="9"/>
        <v/>
      </c>
      <c r="AH29" t="str">
        <f t="shared" si="10"/>
        <v/>
      </c>
      <c r="AI29" t="str">
        <f t="shared" si="11"/>
        <v>Resto</v>
      </c>
      <c r="AJ29">
        <f>SUMIFS('DATOS LIMPIOS'!$M$5:$M$493,'DATOS LIMPIOS'!$E$5:$E$493,B29,'DATOS LIMPIOS'!$T$5:$T$493,"Octubre")</f>
        <v>46.204442111276663</v>
      </c>
      <c r="AK29">
        <f>COUNTIFS('DATOS LIMPIOS'!$E$5:$E$493,B29,'DATOS LIMPIOS'!$T$5:$T$493,"Octubre")</f>
        <v>1</v>
      </c>
    </row>
    <row r="30" spans="1:37" x14ac:dyDescent="0.2">
      <c r="A30">
        <v>27</v>
      </c>
      <c r="B30" t="str">
        <f t="array" ref="B30">IFERROR(INDEX('DATOS LIMPIOS'!$E$5:$E$493,MATCH(0,COUNTIF($B$3:B29,'DATOS LIMPIOS'!$E$5:$E$493),0)),"")</f>
        <v>¡Regalos perfectos te esperan! Descuentos de Lujo, L'Oréal</v>
      </c>
      <c r="C30">
        <f>COUNTIF('DATOS LIMPIOS'!$E$5:$E$493,B30)</f>
        <v>30</v>
      </c>
      <c r="D30">
        <f>AVERAGEIF('DATOS LIMPIOS'!$E$5:$E$493,B30,'DATOS LIMPIOS'!$M$5:$M$493)</f>
        <v>35.409886702202286</v>
      </c>
      <c r="E30">
        <f>AVERAGEIF('DATOS LIMPIOS'!$E$5:$E$493,B30,'DATOS LIMPIOS'!$N$5:$N$493)</f>
        <v>10.180271791541561</v>
      </c>
      <c r="F30" t="str">
        <f>INDEX('DATOS LIMPIOS'!$B$5:$B$493,MATCH(B30,'DATOS LIMPIOS'!$E$5:$E$493,0))</f>
        <v>Holiday Discounts</v>
      </c>
      <c r="G30" t="str">
        <f>INDEX('DATOS LIMPIOS'!$AH$5:$AH$493,MATCH(B30,'DATOS LIMPIOS'!$E$5:$E$493,0))</f>
        <v>No</v>
      </c>
      <c r="H30" t="str">
        <f>INDEX('DATOS LIMPIOS'!$AN$5:$AN$493,MATCH(B30,'DATOS LIMPIOS'!$E$5:$E$493,0))</f>
        <v>No</v>
      </c>
      <c r="I30" t="str">
        <f>INDEX('DATOS LIMPIOS'!$AM$5:$AM$493,MATCH(B30,'DATOS LIMPIOS'!$E$5:$E$493,0))</f>
        <v>Sí</v>
      </c>
      <c r="J30" t="str">
        <f>INDEX('DATOS LIMPIOS'!$AJ$5:$AJ$493,MATCH(B30,'DATOS LIMPIOS'!$E$5:$E$493,0))</f>
        <v>No</v>
      </c>
      <c r="K30" t="str">
        <f>INDEX('DATOS LIMPIOS'!$AI$5:$AI$493,MATCH(B30,'DATOS LIMPIOS'!$E$5:$E$493,0))</f>
        <v>Sí</v>
      </c>
      <c r="L30" t="str">
        <f>INDEX('DATOS LIMPIOS'!$AR$5:$AR$493,MATCH(B30,'DATOS LIMPIOS'!$E$5:$E$493,0))</f>
        <v>Sí</v>
      </c>
      <c r="N30">
        <f>COUNTIFS('DATOS LIMPIOS'!$E$5:$E$493,B30,'DATOS LIMPIOS'!$T$5:$T$493,"&lt;&gt;Agosto")</f>
        <v>19</v>
      </c>
      <c r="O30">
        <f>IFERROR(AVERAGEIFS('DATOS LIMPIOS'!$M$5:$M$493,'DATOS LIMPIOS'!$E$5:$E$493,B30,'DATOS LIMPIOS'!$T$5:$T$493,"&lt;&gt;Agosto"),"")</f>
        <v>34.647129581375758</v>
      </c>
      <c r="P30" t="str">
        <f t="shared" si="0"/>
        <v>Sí</v>
      </c>
      <c r="Q30">
        <f t="shared" si="1"/>
        <v>8</v>
      </c>
      <c r="R30">
        <f t="shared" si="2"/>
        <v>14</v>
      </c>
      <c r="S30" t="str">
        <f t="shared" si="3"/>
        <v>Resto</v>
      </c>
      <c r="T30">
        <f>SUMIFS('DATOS LIMPIOS'!$M$5:$M$493,'DATOS LIMPIOS'!$E$5:$E$493,B30,'DATOS LIMPIOS'!$T$5:$T$493,"Agosto")</f>
        <v>404.00113901992921</v>
      </c>
      <c r="U30">
        <f>COUNTIFS('DATOS LIMPIOS'!$E$5:$E$493,B30,'DATOS LIMPIOS'!$T$5:$T$493,"Agosto")</f>
        <v>11</v>
      </c>
      <c r="V30">
        <f>COUNTIFS('DATOS LIMPIOS'!$E$5:$E$493,B30,'DATOS LIMPIOS'!$T$5:$T$493,"&lt;&gt;Septiembre")</f>
        <v>19</v>
      </c>
      <c r="W30">
        <f>IFERROR(AVERAGEIFS('DATOS LIMPIOS'!$M$5:$M$493,'DATOS LIMPIOS'!$E$5:$E$493,B30,'DATOS LIMPIOS'!$T$5:$T$493,"&lt;&gt;Septiembre"),"")</f>
        <v>35.664551461931786</v>
      </c>
      <c r="X30" t="str">
        <f t="shared" si="4"/>
        <v>Sí</v>
      </c>
      <c r="Y30">
        <f t="shared" si="5"/>
        <v>8</v>
      </c>
      <c r="Z30">
        <f t="shared" si="6"/>
        <v>18</v>
      </c>
      <c r="AA30" t="str">
        <f t="shared" si="7"/>
        <v>Resto</v>
      </c>
      <c r="AB30">
        <f>SUMIFS('DATOS LIMPIOS'!$M$5:$M$493,'DATOS LIMPIOS'!$E$5:$E$493,B30,'DATOS LIMPIOS'!$T$5:$T$493,"Septiembre")</f>
        <v>384.67012328936448</v>
      </c>
      <c r="AC30">
        <f>COUNTIFS('DATOS LIMPIOS'!$E$5:$E$493,B30,'DATOS LIMPIOS'!$T$5:$T$493,"Septiembre")</f>
        <v>11</v>
      </c>
      <c r="AD30">
        <f>COUNTIFS('DATOS LIMPIOS'!$E$5:$E$493,B30,'DATOS LIMPIOS'!$T$5:$T$493,"&lt;&gt;Octubre")</f>
        <v>22</v>
      </c>
      <c r="AE30">
        <f>IFERROR(AVERAGEIFS('DATOS LIMPIOS'!$M$5:$M$493,'DATOS LIMPIOS'!$E$5:$E$493,B30,'DATOS LIMPIOS'!$T$5:$T$493,"&lt;&gt;Octubre"),"")</f>
        <v>35.848693741331537</v>
      </c>
      <c r="AF30" t="str">
        <f t="shared" si="8"/>
        <v>Sí</v>
      </c>
      <c r="AG30">
        <f t="shared" si="9"/>
        <v>6</v>
      </c>
      <c r="AH30">
        <f t="shared" si="10"/>
        <v>20</v>
      </c>
      <c r="AI30" t="str">
        <f t="shared" si="11"/>
        <v>Resto</v>
      </c>
      <c r="AJ30">
        <f>SUMIFS('DATOS LIMPIOS'!$M$5:$M$493,'DATOS LIMPIOS'!$E$5:$E$493,B30,'DATOS LIMPIOS'!$T$5:$T$493,"Octubre")</f>
        <v>273.6253387567748</v>
      </c>
      <c r="AK30">
        <f>COUNTIFS('DATOS LIMPIOS'!$E$5:$E$493,B30,'DATOS LIMPIOS'!$T$5:$T$493,"Octubre")</f>
        <v>8</v>
      </c>
    </row>
    <row r="31" spans="1:37" x14ac:dyDescent="0.2">
      <c r="A31">
        <v>28</v>
      </c>
      <c r="B31" t="str">
        <f t="array" ref="B31">IFERROR(INDEX('DATOS LIMPIOS'!$E$5:$E$493,MATCH(0,COUNTIF($B$3:B30,'DATOS LIMPIOS'!$E$5:$E$493),0)),"")</f>
        <v>¡Aprovecha los descuentos! Temporada de Fiestas, belleza y más</v>
      </c>
      <c r="C31">
        <f>COUNTIF('DATOS LIMPIOS'!$E$5:$E$493,B31)</f>
        <v>2</v>
      </c>
      <c r="D31">
        <f>AVERAGEIF('DATOS LIMPIOS'!$E$5:$E$493,B31,'DATOS LIMPIOS'!$M$5:$M$493)</f>
        <v>34.834213314430471</v>
      </c>
      <c r="E31">
        <f>AVERAGEIF('DATOS LIMPIOS'!$E$5:$E$493,B31,'DATOS LIMPIOS'!$N$5:$N$493)</f>
        <v>12.39631906251528</v>
      </c>
      <c r="F31" t="str">
        <f>INDEX('DATOS LIMPIOS'!$B$5:$B$493,MATCH(B31,'DATOS LIMPIOS'!$E$5:$E$493,0))</f>
        <v>Holiday Discounts</v>
      </c>
      <c r="G31" t="str">
        <f>INDEX('DATOS LIMPIOS'!$AH$5:$AH$493,MATCH(B31,'DATOS LIMPIOS'!$E$5:$E$493,0))</f>
        <v>No</v>
      </c>
      <c r="H31" t="str">
        <f>INDEX('DATOS LIMPIOS'!$AN$5:$AN$493,MATCH(B31,'DATOS LIMPIOS'!$E$5:$E$493,0))</f>
        <v>No</v>
      </c>
      <c r="I31" t="str">
        <f>INDEX('DATOS LIMPIOS'!$AM$5:$AM$493,MATCH(B31,'DATOS LIMPIOS'!$E$5:$E$493,0))</f>
        <v>Sí</v>
      </c>
      <c r="J31" t="str">
        <f>INDEX('DATOS LIMPIOS'!$AJ$5:$AJ$493,MATCH(B31,'DATOS LIMPIOS'!$E$5:$E$493,0))</f>
        <v>No</v>
      </c>
      <c r="K31" t="str">
        <f>INDEX('DATOS LIMPIOS'!$AI$5:$AI$493,MATCH(B31,'DATOS LIMPIOS'!$E$5:$E$493,0))</f>
        <v>Sí</v>
      </c>
      <c r="L31" t="str">
        <f>INDEX('DATOS LIMPIOS'!$AR$5:$AR$493,MATCH(B31,'DATOS LIMPIOS'!$E$5:$E$493,0))</f>
        <v>No</v>
      </c>
      <c r="N31">
        <f>COUNTIFS('DATOS LIMPIOS'!$E$5:$E$493,B31,'DATOS LIMPIOS'!$T$5:$T$493,"&lt;&gt;Agosto")</f>
        <v>2</v>
      </c>
      <c r="O31">
        <f>IFERROR(AVERAGEIFS('DATOS LIMPIOS'!$M$5:$M$493,'DATOS LIMPIOS'!$E$5:$E$493,B31,'DATOS LIMPIOS'!$T$5:$T$493,"&lt;&gt;Agosto"),"")</f>
        <v>34.834213314430471</v>
      </c>
      <c r="P31" t="str">
        <f t="shared" si="0"/>
        <v>No</v>
      </c>
      <c r="Q31" t="str">
        <f t="shared" si="1"/>
        <v/>
      </c>
      <c r="R31" t="str">
        <f t="shared" si="2"/>
        <v/>
      </c>
      <c r="S31" t="str">
        <f t="shared" si="3"/>
        <v>Resto</v>
      </c>
      <c r="T31">
        <f>SUMIFS('DATOS LIMPIOS'!$M$5:$M$493,'DATOS LIMPIOS'!$E$5:$E$493,B31,'DATOS LIMPIOS'!$T$5:$T$493,"Agosto")</f>
        <v>0</v>
      </c>
      <c r="U31">
        <f>COUNTIFS('DATOS LIMPIOS'!$E$5:$E$493,B31,'DATOS LIMPIOS'!$T$5:$T$493,"Agosto")</f>
        <v>0</v>
      </c>
      <c r="V31">
        <f>COUNTIFS('DATOS LIMPIOS'!$E$5:$E$493,B31,'DATOS LIMPIOS'!$T$5:$T$493,"&lt;&gt;Septiembre")</f>
        <v>1</v>
      </c>
      <c r="W31">
        <f>IFERROR(AVERAGEIFS('DATOS LIMPIOS'!$M$5:$M$493,'DATOS LIMPIOS'!$E$5:$E$493,B31,'DATOS LIMPIOS'!$T$5:$T$493,"&lt;&gt;Septiembre"),"")</f>
        <v>28.826144263820332</v>
      </c>
      <c r="X31" t="str">
        <f t="shared" si="4"/>
        <v>No</v>
      </c>
      <c r="Y31" t="str">
        <f t="shared" si="5"/>
        <v/>
      </c>
      <c r="Z31" t="str">
        <f t="shared" si="6"/>
        <v/>
      </c>
      <c r="AA31" t="str">
        <f t="shared" si="7"/>
        <v>Resto</v>
      </c>
      <c r="AB31">
        <f>SUMIFS('DATOS LIMPIOS'!$M$5:$M$493,'DATOS LIMPIOS'!$E$5:$E$493,B31,'DATOS LIMPIOS'!$T$5:$T$493,"Septiembre")</f>
        <v>40.842282365040617</v>
      </c>
      <c r="AC31">
        <f>COUNTIFS('DATOS LIMPIOS'!$E$5:$E$493,B31,'DATOS LIMPIOS'!$T$5:$T$493,"Septiembre")</f>
        <v>1</v>
      </c>
      <c r="AD31">
        <f>COUNTIFS('DATOS LIMPIOS'!$E$5:$E$493,B31,'DATOS LIMPIOS'!$T$5:$T$493,"&lt;&gt;Octubre")</f>
        <v>1</v>
      </c>
      <c r="AE31">
        <f>IFERROR(AVERAGEIFS('DATOS LIMPIOS'!$M$5:$M$493,'DATOS LIMPIOS'!$E$5:$E$493,B31,'DATOS LIMPIOS'!$T$5:$T$493,"&lt;&gt;Octubre"),"")</f>
        <v>40.842282365040617</v>
      </c>
      <c r="AF31" t="str">
        <f t="shared" si="8"/>
        <v>No</v>
      </c>
      <c r="AG31" t="str">
        <f t="shared" si="9"/>
        <v/>
      </c>
      <c r="AH31" t="str">
        <f t="shared" si="10"/>
        <v/>
      </c>
      <c r="AI31" t="str">
        <f t="shared" si="11"/>
        <v>Resto</v>
      </c>
      <c r="AJ31">
        <f>SUMIFS('DATOS LIMPIOS'!$M$5:$M$493,'DATOS LIMPIOS'!$E$5:$E$493,B31,'DATOS LIMPIOS'!$T$5:$T$493,"Octubre")</f>
        <v>28.826144263820332</v>
      </c>
      <c r="AK31">
        <f>COUNTIFS('DATOS LIMPIOS'!$E$5:$E$493,B31,'DATOS LIMPIOS'!$T$5:$T$493,"Octubre")</f>
        <v>1</v>
      </c>
    </row>
    <row r="32" spans="1:37" x14ac:dyDescent="0.2">
      <c r="A32">
        <v>29</v>
      </c>
      <c r="B32" t="str">
        <f t="array" ref="B32">IFERROR(INDEX('DATOS LIMPIOS'!$E$5:$E$493,MATCH(0,COUNTIF($B$3:B31,'DATOS LIMPIOS'!$E$5:$E$493),0)),"")</f>
        <v>Descubre las últimas tendencias en belleza y cuidado personal</v>
      </c>
      <c r="C32">
        <f>COUNTIF('DATOS LIMPIOS'!$E$5:$E$493,B32)</f>
        <v>2</v>
      </c>
      <c r="D32">
        <f>AVERAGEIF('DATOS LIMPIOS'!$E$5:$E$493,B32,'DATOS LIMPIOS'!$M$5:$M$493)</f>
        <v>32.57726336512259</v>
      </c>
      <c r="E32">
        <f>AVERAGEIF('DATOS LIMPIOS'!$E$5:$E$493,B32,'DATOS LIMPIOS'!$N$5:$N$493)</f>
        <v>7.3383072172222956</v>
      </c>
      <c r="F32" t="str">
        <f>INDEX('DATOS LIMPIOS'!$B$5:$B$493,MATCH(B32,'DATOS LIMPIOS'!$E$5:$E$493,0))</f>
        <v>Newsletter</v>
      </c>
      <c r="G32" t="str">
        <f>INDEX('DATOS LIMPIOS'!$AH$5:$AH$493,MATCH(B32,'DATOS LIMPIOS'!$E$5:$E$493,0))</f>
        <v>No</v>
      </c>
      <c r="H32" t="str">
        <f>INDEX('DATOS LIMPIOS'!$AN$5:$AN$493,MATCH(B32,'DATOS LIMPIOS'!$E$5:$E$493,0))</f>
        <v>No</v>
      </c>
      <c r="I32" t="str">
        <f>INDEX('DATOS LIMPIOS'!$AM$5:$AM$493,MATCH(B32,'DATOS LIMPIOS'!$E$5:$E$493,0))</f>
        <v>Sí</v>
      </c>
      <c r="J32" t="str">
        <f>INDEX('DATOS LIMPIOS'!$AJ$5:$AJ$493,MATCH(B32,'DATOS LIMPIOS'!$E$5:$E$493,0))</f>
        <v>No</v>
      </c>
      <c r="K32" t="str">
        <f>INDEX('DATOS LIMPIOS'!$AI$5:$AI$493,MATCH(B32,'DATOS LIMPIOS'!$E$5:$E$493,0))</f>
        <v>No</v>
      </c>
      <c r="L32" t="str">
        <f>INDEX('DATOS LIMPIOS'!$AR$5:$AR$493,MATCH(B32,'DATOS LIMPIOS'!$E$5:$E$493,0))</f>
        <v>No</v>
      </c>
      <c r="N32">
        <f>COUNTIFS('DATOS LIMPIOS'!$E$5:$E$493,B32,'DATOS LIMPIOS'!$T$5:$T$493,"&lt;&gt;Agosto")</f>
        <v>1</v>
      </c>
      <c r="O32">
        <f>IFERROR(AVERAGEIFS('DATOS LIMPIOS'!$M$5:$M$493,'DATOS LIMPIOS'!$E$5:$E$493,B32,'DATOS LIMPIOS'!$T$5:$T$493,"&lt;&gt;Agosto"),"")</f>
        <v>27.957931638913237</v>
      </c>
      <c r="P32" t="str">
        <f t="shared" si="0"/>
        <v>No</v>
      </c>
      <c r="Q32" t="str">
        <f t="shared" si="1"/>
        <v/>
      </c>
      <c r="R32" t="str">
        <f t="shared" si="2"/>
        <v/>
      </c>
      <c r="S32" t="str">
        <f t="shared" si="3"/>
        <v>Resto</v>
      </c>
      <c r="T32">
        <f>SUMIFS('DATOS LIMPIOS'!$M$5:$M$493,'DATOS LIMPIOS'!$E$5:$E$493,B32,'DATOS LIMPIOS'!$T$5:$T$493,"Agosto")</f>
        <v>37.196595091331936</v>
      </c>
      <c r="U32">
        <f>COUNTIFS('DATOS LIMPIOS'!$E$5:$E$493,B32,'DATOS LIMPIOS'!$T$5:$T$493,"Agosto")</f>
        <v>1</v>
      </c>
      <c r="V32">
        <f>COUNTIFS('DATOS LIMPIOS'!$E$5:$E$493,B32,'DATOS LIMPIOS'!$T$5:$T$493,"&lt;&gt;Septiembre")</f>
        <v>2</v>
      </c>
      <c r="W32">
        <f>IFERROR(AVERAGEIFS('DATOS LIMPIOS'!$M$5:$M$493,'DATOS LIMPIOS'!$E$5:$E$493,B32,'DATOS LIMPIOS'!$T$5:$T$493,"&lt;&gt;Septiembre"),"")</f>
        <v>32.57726336512259</v>
      </c>
      <c r="X32" t="str">
        <f t="shared" si="4"/>
        <v>No</v>
      </c>
      <c r="Y32" t="str">
        <f t="shared" si="5"/>
        <v/>
      </c>
      <c r="Z32" t="str">
        <f t="shared" si="6"/>
        <v/>
      </c>
      <c r="AA32" t="str">
        <f t="shared" si="7"/>
        <v>Resto</v>
      </c>
      <c r="AB32">
        <f>SUMIFS('DATOS LIMPIOS'!$M$5:$M$493,'DATOS LIMPIOS'!$E$5:$E$493,B32,'DATOS LIMPIOS'!$T$5:$T$493,"Septiembre")</f>
        <v>0</v>
      </c>
      <c r="AC32">
        <f>COUNTIFS('DATOS LIMPIOS'!$E$5:$E$493,B32,'DATOS LIMPIOS'!$T$5:$T$493,"Septiembre")</f>
        <v>0</v>
      </c>
      <c r="AD32">
        <f>COUNTIFS('DATOS LIMPIOS'!$E$5:$E$493,B32,'DATOS LIMPIOS'!$T$5:$T$493,"&lt;&gt;Octubre")</f>
        <v>1</v>
      </c>
      <c r="AE32">
        <f>IFERROR(AVERAGEIFS('DATOS LIMPIOS'!$M$5:$M$493,'DATOS LIMPIOS'!$E$5:$E$493,B32,'DATOS LIMPIOS'!$T$5:$T$493,"&lt;&gt;Octubre"),"")</f>
        <v>37.196595091331936</v>
      </c>
      <c r="AF32" t="str">
        <f t="shared" si="8"/>
        <v>No</v>
      </c>
      <c r="AG32" t="str">
        <f t="shared" si="9"/>
        <v/>
      </c>
      <c r="AH32" t="str">
        <f t="shared" si="10"/>
        <v/>
      </c>
      <c r="AI32" t="str">
        <f t="shared" si="11"/>
        <v>Resto</v>
      </c>
      <c r="AJ32">
        <f>SUMIFS('DATOS LIMPIOS'!$M$5:$M$493,'DATOS LIMPIOS'!$E$5:$E$493,B32,'DATOS LIMPIOS'!$T$5:$T$493,"Octubre")</f>
        <v>27.957931638913237</v>
      </c>
      <c r="AK32">
        <f>COUNTIFS('DATOS LIMPIOS'!$E$5:$E$493,B32,'DATOS LIMPIOS'!$T$5:$T$493,"Octubre")</f>
        <v>1</v>
      </c>
    </row>
    <row r="33" spans="1:37" x14ac:dyDescent="0.2">
      <c r="A33">
        <v>30</v>
      </c>
      <c r="B33" t="str">
        <f t="array" ref="B33">IFERROR(INDEX('DATOS LIMPIOS'!$E$5:$E$493,MATCH(0,COUNTIF($B$3:B32,'DATOS LIMPIOS'!$E$5:$E$493),0)),"")</f>
        <v>¡Solo un clic te separa de estas ofertas! L'Oréal Paris</v>
      </c>
      <c r="C33">
        <f>COUNTIF('DATOS LIMPIOS'!$E$5:$E$493,B33)</f>
        <v>15</v>
      </c>
      <c r="D33">
        <f>AVERAGEIF('DATOS LIMPIOS'!$E$5:$E$493,B33,'DATOS LIMPIOS'!$M$5:$M$493)</f>
        <v>38.720231784441999</v>
      </c>
      <c r="E33">
        <f>AVERAGEIF('DATOS LIMPIOS'!$E$5:$E$493,B33,'DATOS LIMPIOS'!$N$5:$N$493)</f>
        <v>13.442773238180321</v>
      </c>
      <c r="F33" t="str">
        <f>INDEX('DATOS LIMPIOS'!$B$5:$B$493,MATCH(B33,'DATOS LIMPIOS'!$E$5:$E$493,0))</f>
        <v>Exclusive Offers</v>
      </c>
      <c r="G33" t="str">
        <f>INDEX('DATOS LIMPIOS'!$AH$5:$AH$493,MATCH(B33,'DATOS LIMPIOS'!$E$5:$E$493,0))</f>
        <v>No</v>
      </c>
      <c r="H33" t="str">
        <f>INDEX('DATOS LIMPIOS'!$AN$5:$AN$493,MATCH(B33,'DATOS LIMPIOS'!$E$5:$E$493,0))</f>
        <v>No</v>
      </c>
      <c r="I33" t="str">
        <f>INDEX('DATOS LIMPIOS'!$AM$5:$AM$493,MATCH(B33,'DATOS LIMPIOS'!$E$5:$E$493,0))</f>
        <v>No</v>
      </c>
      <c r="J33" t="str">
        <f>INDEX('DATOS LIMPIOS'!$AJ$5:$AJ$493,MATCH(B33,'DATOS LIMPIOS'!$E$5:$E$493,0))</f>
        <v>No</v>
      </c>
      <c r="K33" t="str">
        <f>INDEX('DATOS LIMPIOS'!$AI$5:$AI$493,MATCH(B33,'DATOS LIMPIOS'!$E$5:$E$493,0))</f>
        <v>Sí</v>
      </c>
      <c r="L33" t="str">
        <f>INDEX('DATOS LIMPIOS'!$AR$5:$AR$493,MATCH(B33,'DATOS LIMPIOS'!$E$5:$E$493,0))</f>
        <v>No</v>
      </c>
      <c r="N33">
        <f>COUNTIFS('DATOS LIMPIOS'!$E$5:$E$493,B33,'DATOS LIMPIOS'!$T$5:$T$493,"&lt;&gt;Agosto")</f>
        <v>9</v>
      </c>
      <c r="O33">
        <f>IFERROR(AVERAGEIFS('DATOS LIMPIOS'!$M$5:$M$493,'DATOS LIMPIOS'!$E$5:$E$493,B33,'DATOS LIMPIOS'!$T$5:$T$493,"&lt;&gt;Agosto"),"")</f>
        <v>37.406358705536704</v>
      </c>
      <c r="P33" t="str">
        <f t="shared" si="0"/>
        <v>Sí</v>
      </c>
      <c r="Q33">
        <f t="shared" si="1"/>
        <v>5</v>
      </c>
      <c r="R33">
        <f t="shared" si="2"/>
        <v>17</v>
      </c>
      <c r="S33" t="str">
        <f t="shared" si="3"/>
        <v>5 mejores</v>
      </c>
      <c r="T33">
        <f>SUMIFS('DATOS LIMPIOS'!$M$5:$M$493,'DATOS LIMPIOS'!$E$5:$E$493,B33,'DATOS LIMPIOS'!$T$5:$T$493,"Agosto")</f>
        <v>244.14624841679966</v>
      </c>
      <c r="U33">
        <f>COUNTIFS('DATOS LIMPIOS'!$E$5:$E$493,B33,'DATOS LIMPIOS'!$T$5:$T$493,"Agosto")</f>
        <v>6</v>
      </c>
      <c r="V33">
        <f>COUNTIFS('DATOS LIMPIOS'!$E$5:$E$493,B33,'DATOS LIMPIOS'!$T$5:$T$493,"&lt;&gt;Septiembre")</f>
        <v>12</v>
      </c>
      <c r="W33">
        <f>IFERROR(AVERAGEIFS('DATOS LIMPIOS'!$M$5:$M$493,'DATOS LIMPIOS'!$E$5:$E$493,B33,'DATOS LIMPIOS'!$T$5:$T$493,"&lt;&gt;Septiembre"),"")</f>
        <v>39.461414913803402</v>
      </c>
      <c r="X33" t="str">
        <f t="shared" si="4"/>
        <v>Sí</v>
      </c>
      <c r="Y33">
        <f t="shared" si="5"/>
        <v>4</v>
      </c>
      <c r="Z33">
        <f t="shared" si="6"/>
        <v>22</v>
      </c>
      <c r="AA33" t="str">
        <f t="shared" si="7"/>
        <v>5 mejores</v>
      </c>
      <c r="AB33">
        <f>SUMIFS('DATOS LIMPIOS'!$M$5:$M$493,'DATOS LIMPIOS'!$E$5:$E$493,B33,'DATOS LIMPIOS'!$T$5:$T$493,"Septiembre")</f>
        <v>107.26649780098909</v>
      </c>
      <c r="AC33">
        <f>COUNTIFS('DATOS LIMPIOS'!$E$5:$E$493,B33,'DATOS LIMPIOS'!$T$5:$T$493,"Septiembre")</f>
        <v>3</v>
      </c>
      <c r="AD33">
        <f>COUNTIFS('DATOS LIMPIOS'!$E$5:$E$493,B33,'DATOS LIMPIOS'!$T$5:$T$493,"&lt;&gt;Octubre")</f>
        <v>9</v>
      </c>
      <c r="AE33">
        <f>IFERROR(AVERAGEIFS('DATOS LIMPIOS'!$M$5:$M$493,'DATOS LIMPIOS'!$E$5:$E$493,B33,'DATOS LIMPIOS'!$T$5:$T$493,"&lt;&gt;Octubre"),"")</f>
        <v>39.04586069086541</v>
      </c>
      <c r="AF33" t="str">
        <f t="shared" si="8"/>
        <v>Sí</v>
      </c>
      <c r="AG33">
        <f t="shared" si="9"/>
        <v>3</v>
      </c>
      <c r="AH33">
        <f t="shared" si="10"/>
        <v>23</v>
      </c>
      <c r="AI33" t="str">
        <f t="shared" si="11"/>
        <v>5 mejores</v>
      </c>
      <c r="AJ33">
        <f>SUMIFS('DATOS LIMPIOS'!$M$5:$M$493,'DATOS LIMPIOS'!$E$5:$E$493,B33,'DATOS LIMPIOS'!$T$5:$T$493,"Octubre")</f>
        <v>229.39073054884122</v>
      </c>
      <c r="AK33">
        <f>COUNTIFS('DATOS LIMPIOS'!$E$5:$E$493,B33,'DATOS LIMPIOS'!$T$5:$T$493,"Octubre")</f>
        <v>6</v>
      </c>
    </row>
    <row r="34" spans="1:37" x14ac:dyDescent="0.2">
      <c r="A34">
        <v>31</v>
      </c>
      <c r="B34" t="str">
        <f t="array" ref="B34">IFERROR(INDEX('DATOS LIMPIOS'!$E$5:$E$493,MATCH(0,COUNTIF($B$3:B33,'DATOS LIMPIOS'!$E$5:$E$493),0)),"")</f>
        <v>¡Oferta Express! No parpadees, tus productos favoritos te esperan</v>
      </c>
      <c r="C34">
        <f>COUNTIF('DATOS LIMPIOS'!$E$5:$E$493,B34)</f>
        <v>1</v>
      </c>
      <c r="D34">
        <f>AVERAGEIF('DATOS LIMPIOS'!$E$5:$E$493,B34,'DATOS LIMPIOS'!$M$5:$M$493)</f>
        <v>38.629986941941709</v>
      </c>
      <c r="E34">
        <f>AVERAGEIF('DATOS LIMPIOS'!$E$5:$E$493,B34,'DATOS LIMPIOS'!$N$5:$N$493)</f>
        <v>11.8568804114821</v>
      </c>
      <c r="F34" t="str">
        <f>INDEX('DATOS LIMPIOS'!$B$5:$B$493,MATCH(B34,'DATOS LIMPIOS'!$E$5:$E$493,0))</f>
        <v>Flash Sale</v>
      </c>
      <c r="G34" t="str">
        <f>INDEX('DATOS LIMPIOS'!$AH$5:$AH$493,MATCH(B34,'DATOS LIMPIOS'!$E$5:$E$493,0))</f>
        <v>No</v>
      </c>
      <c r="H34" t="str">
        <f>INDEX('DATOS LIMPIOS'!$AN$5:$AN$493,MATCH(B34,'DATOS LIMPIOS'!$E$5:$E$493,0))</f>
        <v>No</v>
      </c>
      <c r="I34" t="str">
        <f>INDEX('DATOS LIMPIOS'!$AM$5:$AM$493,MATCH(B34,'DATOS LIMPIOS'!$E$5:$E$493,0))</f>
        <v>Sí</v>
      </c>
      <c r="J34" t="str">
        <f>INDEX('DATOS LIMPIOS'!$AJ$5:$AJ$493,MATCH(B34,'DATOS LIMPIOS'!$E$5:$E$493,0))</f>
        <v>Sí</v>
      </c>
      <c r="K34" t="str">
        <f>INDEX('DATOS LIMPIOS'!$AI$5:$AI$493,MATCH(B34,'DATOS LIMPIOS'!$E$5:$E$493,0))</f>
        <v>Sí</v>
      </c>
      <c r="L34" t="str">
        <f>INDEX('DATOS LIMPIOS'!$AR$5:$AR$493,MATCH(B34,'DATOS LIMPIOS'!$E$5:$E$493,0))</f>
        <v>No</v>
      </c>
      <c r="N34">
        <f>COUNTIFS('DATOS LIMPIOS'!$E$5:$E$493,B34,'DATOS LIMPIOS'!$T$5:$T$493,"&lt;&gt;Agosto")</f>
        <v>1</v>
      </c>
      <c r="O34">
        <f>IFERROR(AVERAGEIFS('DATOS LIMPIOS'!$M$5:$M$493,'DATOS LIMPIOS'!$E$5:$E$493,B34,'DATOS LIMPIOS'!$T$5:$T$493,"&lt;&gt;Agosto"),"")</f>
        <v>38.629986941941709</v>
      </c>
      <c r="P34" t="str">
        <f t="shared" si="0"/>
        <v>No</v>
      </c>
      <c r="Q34" t="str">
        <f t="shared" si="1"/>
        <v/>
      </c>
      <c r="R34" t="str">
        <f t="shared" si="2"/>
        <v/>
      </c>
      <c r="S34" t="str">
        <f t="shared" si="3"/>
        <v>Resto</v>
      </c>
      <c r="T34">
        <f>SUMIFS('DATOS LIMPIOS'!$M$5:$M$493,'DATOS LIMPIOS'!$E$5:$E$493,B34,'DATOS LIMPIOS'!$T$5:$T$493,"Agosto")</f>
        <v>0</v>
      </c>
      <c r="U34">
        <f>COUNTIFS('DATOS LIMPIOS'!$E$5:$E$493,B34,'DATOS LIMPIOS'!$T$5:$T$493,"Agosto")</f>
        <v>0</v>
      </c>
      <c r="V34">
        <f>COUNTIFS('DATOS LIMPIOS'!$E$5:$E$493,B34,'DATOS LIMPIOS'!$T$5:$T$493,"&lt;&gt;Septiembre")</f>
        <v>0</v>
      </c>
      <c r="W34" t="str">
        <f>IFERROR(AVERAGEIFS('DATOS LIMPIOS'!$M$5:$M$493,'DATOS LIMPIOS'!$E$5:$E$493,B34,'DATOS LIMPIOS'!$T$5:$T$493,"&lt;&gt;Septiembre"),"")</f>
        <v/>
      </c>
      <c r="X34" t="str">
        <f t="shared" si="4"/>
        <v>No</v>
      </c>
      <c r="Y34" t="str">
        <f t="shared" si="5"/>
        <v/>
      </c>
      <c r="Z34" t="str">
        <f t="shared" si="6"/>
        <v/>
      </c>
      <c r="AA34" t="str">
        <f t="shared" si="7"/>
        <v>Resto</v>
      </c>
      <c r="AB34">
        <f>SUMIFS('DATOS LIMPIOS'!$M$5:$M$493,'DATOS LIMPIOS'!$E$5:$E$493,B34,'DATOS LIMPIOS'!$T$5:$T$493,"Septiembre")</f>
        <v>38.629986941941709</v>
      </c>
      <c r="AC34">
        <f>COUNTIFS('DATOS LIMPIOS'!$E$5:$E$493,B34,'DATOS LIMPIOS'!$T$5:$T$493,"Septiembre")</f>
        <v>1</v>
      </c>
      <c r="AD34">
        <f>COUNTIFS('DATOS LIMPIOS'!$E$5:$E$493,B34,'DATOS LIMPIOS'!$T$5:$T$493,"&lt;&gt;Octubre")</f>
        <v>1</v>
      </c>
      <c r="AE34">
        <f>IFERROR(AVERAGEIFS('DATOS LIMPIOS'!$M$5:$M$493,'DATOS LIMPIOS'!$E$5:$E$493,B34,'DATOS LIMPIOS'!$T$5:$T$493,"&lt;&gt;Octubre"),"")</f>
        <v>38.629986941941709</v>
      </c>
      <c r="AF34" t="str">
        <f t="shared" si="8"/>
        <v>No</v>
      </c>
      <c r="AG34" t="str">
        <f t="shared" si="9"/>
        <v/>
      </c>
      <c r="AH34" t="str">
        <f t="shared" si="10"/>
        <v/>
      </c>
      <c r="AI34" t="str">
        <f t="shared" si="11"/>
        <v>Resto</v>
      </c>
      <c r="AJ34">
        <f>SUMIFS('DATOS LIMPIOS'!$M$5:$M$493,'DATOS LIMPIOS'!$E$5:$E$493,B34,'DATOS LIMPIOS'!$T$5:$T$493,"Octubre")</f>
        <v>0</v>
      </c>
      <c r="AK34">
        <f>COUNTIFS('DATOS LIMPIOS'!$E$5:$E$493,B34,'DATOS LIMPIOS'!$T$5:$T$493,"Octubre")</f>
        <v>0</v>
      </c>
    </row>
    <row r="35" spans="1:37" x14ac:dyDescent="0.2">
      <c r="A35">
        <v>32</v>
      </c>
      <c r="B35" t="str">
        <f t="array" ref="B35">IFERROR(INDEX('DATOS LIMPIOS'!$E$5:$E$493,MATCH(0,COUNTIF($B$3:B34,'DATOS LIMPIOS'!$E$5:$E$493),0)),"")</f>
        <v>¡No te quedes fuera! Ofertas que vuelan</v>
      </c>
      <c r="C35">
        <f>COUNTIF('DATOS LIMPIOS'!$E$5:$E$493,B35)</f>
        <v>1</v>
      </c>
      <c r="D35">
        <f>AVERAGEIF('DATOS LIMPIOS'!$E$5:$E$493,B35,'DATOS LIMPIOS'!$M$5:$M$493)</f>
        <v>23.640072209305281</v>
      </c>
      <c r="E35">
        <f>AVERAGEIF('DATOS LIMPIOS'!$E$5:$E$493,B35,'DATOS LIMPIOS'!$N$5:$N$493)</f>
        <v>12.840034918114762</v>
      </c>
      <c r="F35" t="str">
        <f>INDEX('DATOS LIMPIOS'!$B$5:$B$493,MATCH(B35,'DATOS LIMPIOS'!$E$5:$E$493,0))</f>
        <v>Exclusive Offers</v>
      </c>
      <c r="G35" t="str">
        <f>INDEX('DATOS LIMPIOS'!$AH$5:$AH$493,MATCH(B35,'DATOS LIMPIOS'!$E$5:$E$493,0))</f>
        <v>No</v>
      </c>
      <c r="H35" t="str">
        <f>INDEX('DATOS LIMPIOS'!$AN$5:$AN$493,MATCH(B35,'DATOS LIMPIOS'!$E$5:$E$493,0))</f>
        <v>Sí</v>
      </c>
      <c r="I35" t="str">
        <f>INDEX('DATOS LIMPIOS'!$AM$5:$AM$493,MATCH(B35,'DATOS LIMPIOS'!$E$5:$E$493,0))</f>
        <v>No</v>
      </c>
      <c r="J35" t="str">
        <f>INDEX('DATOS LIMPIOS'!$AJ$5:$AJ$493,MATCH(B35,'DATOS LIMPIOS'!$E$5:$E$493,0))</f>
        <v>No</v>
      </c>
      <c r="K35" t="str">
        <f>INDEX('DATOS LIMPIOS'!$AI$5:$AI$493,MATCH(B35,'DATOS LIMPIOS'!$E$5:$E$493,0))</f>
        <v>Sí</v>
      </c>
      <c r="L35" t="str">
        <f>INDEX('DATOS LIMPIOS'!$AR$5:$AR$493,MATCH(B35,'DATOS LIMPIOS'!$E$5:$E$493,0))</f>
        <v>Sí</v>
      </c>
      <c r="N35">
        <f>COUNTIFS('DATOS LIMPIOS'!$E$5:$E$493,B35,'DATOS LIMPIOS'!$T$5:$T$493,"&lt;&gt;Agosto")</f>
        <v>0</v>
      </c>
      <c r="O35" t="str">
        <f>IFERROR(AVERAGEIFS('DATOS LIMPIOS'!$M$5:$M$493,'DATOS LIMPIOS'!$E$5:$E$493,B35,'DATOS LIMPIOS'!$T$5:$T$493,"&lt;&gt;Agosto"),"")</f>
        <v/>
      </c>
      <c r="P35" t="str">
        <f t="shared" si="0"/>
        <v>No</v>
      </c>
      <c r="Q35" t="str">
        <f t="shared" si="1"/>
        <v/>
      </c>
      <c r="R35" t="str">
        <f t="shared" si="2"/>
        <v/>
      </c>
      <c r="S35" t="str">
        <f t="shared" si="3"/>
        <v>Resto</v>
      </c>
      <c r="T35">
        <f>SUMIFS('DATOS LIMPIOS'!$M$5:$M$493,'DATOS LIMPIOS'!$E$5:$E$493,B35,'DATOS LIMPIOS'!$T$5:$T$493,"Agosto")</f>
        <v>23.640072209305281</v>
      </c>
      <c r="U35">
        <f>COUNTIFS('DATOS LIMPIOS'!$E$5:$E$493,B35,'DATOS LIMPIOS'!$T$5:$T$493,"Agosto")</f>
        <v>1</v>
      </c>
      <c r="V35">
        <f>COUNTIFS('DATOS LIMPIOS'!$E$5:$E$493,B35,'DATOS LIMPIOS'!$T$5:$T$493,"&lt;&gt;Septiembre")</f>
        <v>1</v>
      </c>
      <c r="W35">
        <f>IFERROR(AVERAGEIFS('DATOS LIMPIOS'!$M$5:$M$493,'DATOS LIMPIOS'!$E$5:$E$493,B35,'DATOS LIMPIOS'!$T$5:$T$493,"&lt;&gt;Septiembre"),"")</f>
        <v>23.640072209305281</v>
      </c>
      <c r="X35" t="str">
        <f t="shared" si="4"/>
        <v>No</v>
      </c>
      <c r="Y35" t="str">
        <f t="shared" si="5"/>
        <v/>
      </c>
      <c r="Z35" t="str">
        <f t="shared" si="6"/>
        <v/>
      </c>
      <c r="AA35" t="str">
        <f t="shared" si="7"/>
        <v>Resto</v>
      </c>
      <c r="AB35">
        <f>SUMIFS('DATOS LIMPIOS'!$M$5:$M$493,'DATOS LIMPIOS'!$E$5:$E$493,B35,'DATOS LIMPIOS'!$T$5:$T$493,"Septiembre")</f>
        <v>0</v>
      </c>
      <c r="AC35">
        <f>COUNTIFS('DATOS LIMPIOS'!$E$5:$E$493,B35,'DATOS LIMPIOS'!$T$5:$T$493,"Septiembre")</f>
        <v>0</v>
      </c>
      <c r="AD35">
        <f>COUNTIFS('DATOS LIMPIOS'!$E$5:$E$493,B35,'DATOS LIMPIOS'!$T$5:$T$493,"&lt;&gt;Octubre")</f>
        <v>1</v>
      </c>
      <c r="AE35">
        <f>IFERROR(AVERAGEIFS('DATOS LIMPIOS'!$M$5:$M$493,'DATOS LIMPIOS'!$E$5:$E$493,B35,'DATOS LIMPIOS'!$T$5:$T$493,"&lt;&gt;Octubre"),"")</f>
        <v>23.640072209305281</v>
      </c>
      <c r="AF35" t="str">
        <f t="shared" si="8"/>
        <v>No</v>
      </c>
      <c r="AG35" t="str">
        <f t="shared" si="9"/>
        <v/>
      </c>
      <c r="AH35" t="str">
        <f t="shared" si="10"/>
        <v/>
      </c>
      <c r="AI35" t="str">
        <f t="shared" si="11"/>
        <v>Resto</v>
      </c>
      <c r="AJ35">
        <f>SUMIFS('DATOS LIMPIOS'!$M$5:$M$493,'DATOS LIMPIOS'!$E$5:$E$493,B35,'DATOS LIMPIOS'!$T$5:$T$493,"Octubre")</f>
        <v>0</v>
      </c>
      <c r="AK35">
        <f>COUNTIFS('DATOS LIMPIOS'!$E$5:$E$493,B35,'DATOS LIMPIOS'!$T$5:$T$493,"Octubre")</f>
        <v>0</v>
      </c>
    </row>
    <row r="36" spans="1:37" x14ac:dyDescent="0.2">
      <c r="A36">
        <v>33</v>
      </c>
      <c r="B36" t="str">
        <f t="array" ref="B36">IFERROR(INDEX('DATOS LIMPIOS'!$E$5:$E$493,MATCH(0,COUNTIF($B$3:B35,'DATOS LIMPIOS'!$E$5:$E$493),0)),"")</f>
        <v>¡Un gesto de gratitud de L'Oréal! Tu belleza, nuestra pasión</v>
      </c>
      <c r="C36">
        <f>COUNTIF('DATOS LIMPIOS'!$E$5:$E$493,B36)</f>
        <v>5</v>
      </c>
      <c r="D36">
        <f>AVERAGEIF('DATOS LIMPIOS'!$E$5:$E$493,B36,'DATOS LIMPIOS'!$M$5:$M$493)</f>
        <v>29.881859851946338</v>
      </c>
      <c r="E36">
        <f>AVERAGEIF('DATOS LIMPIOS'!$E$5:$E$493,B36,'DATOS LIMPIOS'!$N$5:$N$493)</f>
        <v>11.453434564155456</v>
      </c>
      <c r="F36" t="str">
        <f>INDEX('DATOS LIMPIOS'!$B$5:$B$493,MATCH(B36,'DATOS LIMPIOS'!$E$5:$E$493,0))</f>
        <v>Customer Appreciation</v>
      </c>
      <c r="G36" t="str">
        <f>INDEX('DATOS LIMPIOS'!$AH$5:$AH$493,MATCH(B36,'DATOS LIMPIOS'!$E$5:$E$493,0))</f>
        <v>No</v>
      </c>
      <c r="H36" t="str">
        <f>INDEX('DATOS LIMPIOS'!$AN$5:$AN$493,MATCH(B36,'DATOS LIMPIOS'!$E$5:$E$493,0))</f>
        <v>Sí</v>
      </c>
      <c r="I36" t="str">
        <f>INDEX('DATOS LIMPIOS'!$AM$5:$AM$493,MATCH(B36,'DATOS LIMPIOS'!$E$5:$E$493,0))</f>
        <v>Sí</v>
      </c>
      <c r="J36" t="str">
        <f>INDEX('DATOS LIMPIOS'!$AJ$5:$AJ$493,MATCH(B36,'DATOS LIMPIOS'!$E$5:$E$493,0))</f>
        <v>No</v>
      </c>
      <c r="K36" t="str">
        <f>INDEX('DATOS LIMPIOS'!$AI$5:$AI$493,MATCH(B36,'DATOS LIMPIOS'!$E$5:$E$493,0))</f>
        <v>No</v>
      </c>
      <c r="L36" t="str">
        <f>INDEX('DATOS LIMPIOS'!$AR$5:$AR$493,MATCH(B36,'DATOS LIMPIOS'!$E$5:$E$493,0))</f>
        <v>No</v>
      </c>
      <c r="N36">
        <f>COUNTIFS('DATOS LIMPIOS'!$E$5:$E$493,B36,'DATOS LIMPIOS'!$T$5:$T$493,"&lt;&gt;Agosto")</f>
        <v>4</v>
      </c>
      <c r="O36">
        <f>IFERROR(AVERAGEIFS('DATOS LIMPIOS'!$M$5:$M$493,'DATOS LIMPIOS'!$E$5:$E$493,B36,'DATOS LIMPIOS'!$T$5:$T$493,"&lt;&gt;Agosto"),"")</f>
        <v>28.900723595071828</v>
      </c>
      <c r="P36" t="str">
        <f t="shared" ref="P36:P69" si="12">IF(N36&gt;=5,"Sí","No")</f>
        <v>No</v>
      </c>
      <c r="Q36" t="str">
        <f t="shared" ref="Q36:Q67" si="13">IF(P36="Sí",SUMPRODUCT(($P$4:$P$69="Sí")*($O$4:$O$69&gt;O36))+1,"")</f>
        <v/>
      </c>
      <c r="R36" t="str">
        <f t="shared" ref="R36:R69" si="14">IF(P36="Sí",SUMPRODUCT(($P$4:$P$69="Sí")*($O$4:$O$69&lt;O36))+1,"")</f>
        <v/>
      </c>
      <c r="S36" t="str">
        <f t="shared" ref="S36:S67" si="15">IF(P36&lt;&gt;"Sí","Resto",IF(Q36&lt;=5,"5 mejores",IF(R36&lt;=5,"5 peores","Resto")))</f>
        <v>Resto</v>
      </c>
      <c r="T36">
        <f>SUMIFS('DATOS LIMPIOS'!$M$5:$M$493,'DATOS LIMPIOS'!$E$5:$E$493,B36,'DATOS LIMPIOS'!$T$5:$T$493,"Agosto")</f>
        <v>33.806404879444365</v>
      </c>
      <c r="U36">
        <f>COUNTIFS('DATOS LIMPIOS'!$E$5:$E$493,B36,'DATOS LIMPIOS'!$T$5:$T$493,"Agosto")</f>
        <v>1</v>
      </c>
      <c r="V36">
        <f>COUNTIFS('DATOS LIMPIOS'!$E$5:$E$493,B36,'DATOS LIMPIOS'!$T$5:$T$493,"&lt;&gt;Septiembre")</f>
        <v>5</v>
      </c>
      <c r="W36">
        <f>IFERROR(AVERAGEIFS('DATOS LIMPIOS'!$M$5:$M$493,'DATOS LIMPIOS'!$E$5:$E$493,B36,'DATOS LIMPIOS'!$T$5:$T$493,"&lt;&gt;Septiembre"),"")</f>
        <v>29.881859851946338</v>
      </c>
      <c r="X36" t="str">
        <f t="shared" ref="X36:X69" si="16">IF(V36&gt;=5,"Sí","No")</f>
        <v>Sí</v>
      </c>
      <c r="Y36">
        <f t="shared" ref="Y36:Y67" si="17">IF(X36="Sí",SUMPRODUCT(($X$4:$X$69="Sí")*($W$4:$W$69&gt;W36))+1,"")</f>
        <v>12</v>
      </c>
      <c r="Z36">
        <f t="shared" ref="Z36:Z69" si="18">IF(X36="Sí",SUMPRODUCT(($X$4:$X$69="Sí")*($W$4:$W$69&lt;W36))+1,"")</f>
        <v>14</v>
      </c>
      <c r="AA36" t="str">
        <f t="shared" ref="AA36:AA67" si="19">IF(X36&lt;&gt;"Sí","Resto",IF(Y36&lt;=5,"5 mejores",IF(Z36&lt;=5,"5 peores","Resto")))</f>
        <v>Resto</v>
      </c>
      <c r="AB36">
        <f>SUMIFS('DATOS LIMPIOS'!$M$5:$M$493,'DATOS LIMPIOS'!$E$5:$E$493,B36,'DATOS LIMPIOS'!$T$5:$T$493,"Septiembre")</f>
        <v>0</v>
      </c>
      <c r="AC36">
        <f>COUNTIFS('DATOS LIMPIOS'!$E$5:$E$493,B36,'DATOS LIMPIOS'!$T$5:$T$493,"Septiembre")</f>
        <v>0</v>
      </c>
      <c r="AD36">
        <f>COUNTIFS('DATOS LIMPIOS'!$E$5:$E$493,B36,'DATOS LIMPIOS'!$T$5:$T$493,"&lt;&gt;Octubre")</f>
        <v>1</v>
      </c>
      <c r="AE36">
        <f>IFERROR(AVERAGEIFS('DATOS LIMPIOS'!$M$5:$M$493,'DATOS LIMPIOS'!$E$5:$E$493,B36,'DATOS LIMPIOS'!$T$5:$T$493,"&lt;&gt;Octubre"),"")</f>
        <v>33.806404879444365</v>
      </c>
      <c r="AF36" t="str">
        <f t="shared" ref="AF36:AF69" si="20">IF(AD36&gt;=5,"Sí","No")</f>
        <v>No</v>
      </c>
      <c r="AG36" t="str">
        <f t="shared" ref="AG36:AG67" si="21">IF(AF36="Sí",SUMPRODUCT(($AF$4:$AF$69="Sí")*($AE$4:$AE$69&gt;AE36))+1,"")</f>
        <v/>
      </c>
      <c r="AH36" t="str">
        <f t="shared" ref="AH36:AH69" si="22">IF(AF36="Sí",SUMPRODUCT(($AF$4:$AF$69="Sí")*($AE$4:$AE$69&lt;AE36))+1,"")</f>
        <v/>
      </c>
      <c r="AI36" t="str">
        <f t="shared" ref="AI36:AI67" si="23">IF(AF36&lt;&gt;"Sí","Resto",IF(AG36&lt;=5,"5 mejores",IF(AH36&lt;=5,"5 peores","Resto")))</f>
        <v>Resto</v>
      </c>
      <c r="AJ36">
        <f>SUMIFS('DATOS LIMPIOS'!$M$5:$M$493,'DATOS LIMPIOS'!$E$5:$E$493,B36,'DATOS LIMPIOS'!$T$5:$T$493,"Octubre")</f>
        <v>115.60289438028731</v>
      </c>
      <c r="AK36">
        <f>COUNTIFS('DATOS LIMPIOS'!$E$5:$E$493,B36,'DATOS LIMPIOS'!$T$5:$T$493,"Octubre")</f>
        <v>4</v>
      </c>
    </row>
    <row r="37" spans="1:37" x14ac:dyDescent="0.2">
      <c r="A37">
        <v>34</v>
      </c>
      <c r="B37" t="str">
        <f t="array" ref="B37">IFERROR(INDEX('DATOS LIMPIOS'!$E$5:$E$493,MATCH(0,COUNTIF($B$3:B36,'DATOS LIMPIOS'!$E$5:$E$493),0)),"")</f>
        <v>¡Oportunidades de ahorro! Descúbrelas, solo para ti</v>
      </c>
      <c r="C37">
        <f>COUNTIF('DATOS LIMPIOS'!$E$5:$E$493,B37)</f>
        <v>8</v>
      </c>
      <c r="D37">
        <f>AVERAGEIF('DATOS LIMPIOS'!$E$5:$E$493,B37,'DATOS LIMPIOS'!$M$5:$M$493)</f>
        <v>10.717211021745861</v>
      </c>
      <c r="E37">
        <f>AVERAGEIF('DATOS LIMPIOS'!$E$5:$E$493,B37,'DATOS LIMPIOS'!$N$5:$N$493)</f>
        <v>7.8528886139407827</v>
      </c>
      <c r="F37" t="str">
        <f>INDEX('DATOS LIMPIOS'!$B$5:$B$493,MATCH(B37,'DATOS LIMPIOS'!$E$5:$E$493,0))</f>
        <v>Exclusive Offers</v>
      </c>
      <c r="G37" t="str">
        <f>INDEX('DATOS LIMPIOS'!$AH$5:$AH$493,MATCH(B37,'DATOS LIMPIOS'!$E$5:$E$493,0))</f>
        <v>Sí</v>
      </c>
      <c r="H37" t="str">
        <f>INDEX('DATOS LIMPIOS'!$AN$5:$AN$493,MATCH(B37,'DATOS LIMPIOS'!$E$5:$E$493,0))</f>
        <v>Sí</v>
      </c>
      <c r="I37" t="str">
        <f>INDEX('DATOS LIMPIOS'!$AM$5:$AM$493,MATCH(B37,'DATOS LIMPIOS'!$E$5:$E$493,0))</f>
        <v>No</v>
      </c>
      <c r="J37" t="str">
        <f>INDEX('DATOS LIMPIOS'!$AJ$5:$AJ$493,MATCH(B37,'DATOS LIMPIOS'!$E$5:$E$493,0))</f>
        <v>No</v>
      </c>
      <c r="K37" t="str">
        <f>INDEX('DATOS LIMPIOS'!$AI$5:$AI$493,MATCH(B37,'DATOS LIMPIOS'!$E$5:$E$493,0))</f>
        <v>Sí</v>
      </c>
      <c r="L37" t="str">
        <f>INDEX('DATOS LIMPIOS'!$AR$5:$AR$493,MATCH(B37,'DATOS LIMPIOS'!$E$5:$E$493,0))</f>
        <v>Sí</v>
      </c>
      <c r="N37">
        <f>COUNTIFS('DATOS LIMPIOS'!$E$5:$E$493,B37,'DATOS LIMPIOS'!$T$5:$T$493,"&lt;&gt;Agosto")</f>
        <v>7</v>
      </c>
      <c r="O37">
        <f>IFERROR(AVERAGEIFS('DATOS LIMPIOS'!$M$5:$M$493,'DATOS LIMPIOS'!$E$5:$E$493,B37,'DATOS LIMPIOS'!$T$5:$T$493,"&lt;&gt;Agosto"),"")</f>
        <v>11.183760750278399</v>
      </c>
      <c r="P37" t="str">
        <f t="shared" si="12"/>
        <v>Sí</v>
      </c>
      <c r="Q37">
        <f t="shared" si="13"/>
        <v>21</v>
      </c>
      <c r="R37">
        <f t="shared" si="14"/>
        <v>1</v>
      </c>
      <c r="S37" t="str">
        <f t="shared" si="15"/>
        <v>5 peores</v>
      </c>
      <c r="T37">
        <f>SUMIFS('DATOS LIMPIOS'!$M$5:$M$493,'DATOS LIMPIOS'!$E$5:$E$493,B37,'DATOS LIMPIOS'!$T$5:$T$493,"Agosto")</f>
        <v>7.4513629220180997</v>
      </c>
      <c r="U37">
        <f>COUNTIFS('DATOS LIMPIOS'!$E$5:$E$493,B37,'DATOS LIMPIOS'!$T$5:$T$493,"Agosto")</f>
        <v>1</v>
      </c>
      <c r="V37">
        <f>COUNTIFS('DATOS LIMPIOS'!$E$5:$E$493,B37,'DATOS LIMPIOS'!$T$5:$T$493,"&lt;&gt;Septiembre")</f>
        <v>3</v>
      </c>
      <c r="W37">
        <f>IFERROR(AVERAGEIFS('DATOS LIMPIOS'!$M$5:$M$493,'DATOS LIMPIOS'!$E$5:$E$493,B37,'DATOS LIMPIOS'!$T$5:$T$493,"&lt;&gt;Septiembre"),"")</f>
        <v>10.756416210460541</v>
      </c>
      <c r="X37" t="str">
        <f t="shared" si="16"/>
        <v>No</v>
      </c>
      <c r="Y37" t="str">
        <f t="shared" si="17"/>
        <v/>
      </c>
      <c r="Z37" t="str">
        <f t="shared" si="18"/>
        <v/>
      </c>
      <c r="AA37" t="str">
        <f t="shared" si="19"/>
        <v>Resto</v>
      </c>
      <c r="AB37">
        <f>SUMIFS('DATOS LIMPIOS'!$M$5:$M$493,'DATOS LIMPIOS'!$E$5:$E$493,B37,'DATOS LIMPIOS'!$T$5:$T$493,"Septiembre")</f>
        <v>53.468439542585266</v>
      </c>
      <c r="AC37">
        <f>COUNTIFS('DATOS LIMPIOS'!$E$5:$E$493,B37,'DATOS LIMPIOS'!$T$5:$T$493,"Septiembre")</f>
        <v>5</v>
      </c>
      <c r="AD37">
        <f>COUNTIFS('DATOS LIMPIOS'!$E$5:$E$493,B37,'DATOS LIMPIOS'!$T$5:$T$493,"&lt;&gt;Octubre")</f>
        <v>6</v>
      </c>
      <c r="AE37">
        <f>IFERROR(AVERAGEIFS('DATOS LIMPIOS'!$M$5:$M$493,'DATOS LIMPIOS'!$E$5:$E$493,B37,'DATOS LIMPIOS'!$T$5:$T$493,"&lt;&gt;Octubre"),"")</f>
        <v>10.153300410767228</v>
      </c>
      <c r="AF37" t="str">
        <f t="shared" si="20"/>
        <v>Sí</v>
      </c>
      <c r="AG37">
        <f t="shared" si="21"/>
        <v>25</v>
      </c>
      <c r="AH37">
        <f t="shared" si="22"/>
        <v>1</v>
      </c>
      <c r="AI37" t="str">
        <f t="shared" si="23"/>
        <v>5 peores</v>
      </c>
      <c r="AJ37">
        <f>SUMIFS('DATOS LIMPIOS'!$M$5:$M$493,'DATOS LIMPIOS'!$E$5:$E$493,B37,'DATOS LIMPIOS'!$T$5:$T$493,"Octubre")</f>
        <v>24.817885709363523</v>
      </c>
      <c r="AK37">
        <f>COUNTIFS('DATOS LIMPIOS'!$E$5:$E$493,B37,'DATOS LIMPIOS'!$T$5:$T$493,"Octubre")</f>
        <v>2</v>
      </c>
    </row>
    <row r="38" spans="1:37" x14ac:dyDescent="0.2">
      <c r="A38">
        <v>35</v>
      </c>
      <c r="B38" t="str">
        <f t="array" ref="B38">IFERROR(INDEX('DATOS LIMPIOS'!$E$5:$E$493,MATCH(0,COUNTIF($B$3:B37,'DATOS LIMPIOS'!$E$5:$E$493),0)),"")</f>
        <v>Tu resumen semanal de belleza: Tendencias y más</v>
      </c>
      <c r="C38">
        <f>COUNTIF('DATOS LIMPIOS'!$E$5:$E$493,B38)</f>
        <v>1</v>
      </c>
      <c r="D38">
        <f>AVERAGEIF('DATOS LIMPIOS'!$E$5:$E$493,B38,'DATOS LIMPIOS'!$M$5:$M$493)</f>
        <v>21.589774983795131</v>
      </c>
      <c r="E38">
        <f>AVERAGEIF('DATOS LIMPIOS'!$E$5:$E$493,B38,'DATOS LIMPIOS'!$N$5:$N$493)</f>
        <v>16.550574629860176</v>
      </c>
      <c r="F38" t="str">
        <f>INDEX('DATOS LIMPIOS'!$B$5:$B$493,MATCH(B38,'DATOS LIMPIOS'!$E$5:$E$493,0))</f>
        <v>Newsletter</v>
      </c>
      <c r="G38" t="str">
        <f>INDEX('DATOS LIMPIOS'!$AH$5:$AH$493,MATCH(B38,'DATOS LIMPIOS'!$E$5:$E$493,0))</f>
        <v>Sí</v>
      </c>
      <c r="H38" t="str">
        <f>INDEX('DATOS LIMPIOS'!$AN$5:$AN$493,MATCH(B38,'DATOS LIMPIOS'!$E$5:$E$493,0))</f>
        <v>No</v>
      </c>
      <c r="I38" t="str">
        <f>INDEX('DATOS LIMPIOS'!$AM$5:$AM$493,MATCH(B38,'DATOS LIMPIOS'!$E$5:$E$493,0))</f>
        <v>Sí</v>
      </c>
      <c r="J38" t="str">
        <f>INDEX('DATOS LIMPIOS'!$AJ$5:$AJ$493,MATCH(B38,'DATOS LIMPIOS'!$E$5:$E$493,0))</f>
        <v>No</v>
      </c>
      <c r="K38" t="str">
        <f>INDEX('DATOS LIMPIOS'!$AI$5:$AI$493,MATCH(B38,'DATOS LIMPIOS'!$E$5:$E$493,0))</f>
        <v>No</v>
      </c>
      <c r="L38" t="str">
        <f>INDEX('DATOS LIMPIOS'!$AR$5:$AR$493,MATCH(B38,'DATOS LIMPIOS'!$E$5:$E$493,0))</f>
        <v>Sí</v>
      </c>
      <c r="N38">
        <f>COUNTIFS('DATOS LIMPIOS'!$E$5:$E$493,B38,'DATOS LIMPIOS'!$T$5:$T$493,"&lt;&gt;Agosto")</f>
        <v>0</v>
      </c>
      <c r="O38" t="str">
        <f>IFERROR(AVERAGEIFS('DATOS LIMPIOS'!$M$5:$M$493,'DATOS LIMPIOS'!$E$5:$E$493,B38,'DATOS LIMPIOS'!$T$5:$T$493,"&lt;&gt;Agosto"),"")</f>
        <v/>
      </c>
      <c r="P38" t="str">
        <f t="shared" si="12"/>
        <v>No</v>
      </c>
      <c r="Q38" t="str">
        <f t="shared" si="13"/>
        <v/>
      </c>
      <c r="R38" t="str">
        <f t="shared" si="14"/>
        <v/>
      </c>
      <c r="S38" t="str">
        <f t="shared" si="15"/>
        <v>Resto</v>
      </c>
      <c r="T38">
        <f>SUMIFS('DATOS LIMPIOS'!$M$5:$M$493,'DATOS LIMPIOS'!$E$5:$E$493,B38,'DATOS LIMPIOS'!$T$5:$T$493,"Agosto")</f>
        <v>21.589774983795131</v>
      </c>
      <c r="U38">
        <f>COUNTIFS('DATOS LIMPIOS'!$E$5:$E$493,B38,'DATOS LIMPIOS'!$T$5:$T$493,"Agosto")</f>
        <v>1</v>
      </c>
      <c r="V38">
        <f>COUNTIFS('DATOS LIMPIOS'!$E$5:$E$493,B38,'DATOS LIMPIOS'!$T$5:$T$493,"&lt;&gt;Septiembre")</f>
        <v>1</v>
      </c>
      <c r="W38">
        <f>IFERROR(AVERAGEIFS('DATOS LIMPIOS'!$M$5:$M$493,'DATOS LIMPIOS'!$E$5:$E$493,B38,'DATOS LIMPIOS'!$T$5:$T$493,"&lt;&gt;Septiembre"),"")</f>
        <v>21.589774983795131</v>
      </c>
      <c r="X38" t="str">
        <f t="shared" si="16"/>
        <v>No</v>
      </c>
      <c r="Y38" t="str">
        <f t="shared" si="17"/>
        <v/>
      </c>
      <c r="Z38" t="str">
        <f t="shared" si="18"/>
        <v/>
      </c>
      <c r="AA38" t="str">
        <f t="shared" si="19"/>
        <v>Resto</v>
      </c>
      <c r="AB38">
        <f>SUMIFS('DATOS LIMPIOS'!$M$5:$M$493,'DATOS LIMPIOS'!$E$5:$E$493,B38,'DATOS LIMPIOS'!$T$5:$T$493,"Septiembre")</f>
        <v>0</v>
      </c>
      <c r="AC38">
        <f>COUNTIFS('DATOS LIMPIOS'!$E$5:$E$493,B38,'DATOS LIMPIOS'!$T$5:$T$493,"Septiembre")</f>
        <v>0</v>
      </c>
      <c r="AD38">
        <f>COUNTIFS('DATOS LIMPIOS'!$E$5:$E$493,B38,'DATOS LIMPIOS'!$T$5:$T$493,"&lt;&gt;Octubre")</f>
        <v>1</v>
      </c>
      <c r="AE38">
        <f>IFERROR(AVERAGEIFS('DATOS LIMPIOS'!$M$5:$M$493,'DATOS LIMPIOS'!$E$5:$E$493,B38,'DATOS LIMPIOS'!$T$5:$T$493,"&lt;&gt;Octubre"),"")</f>
        <v>21.589774983795131</v>
      </c>
      <c r="AF38" t="str">
        <f t="shared" si="20"/>
        <v>No</v>
      </c>
      <c r="AG38" t="str">
        <f t="shared" si="21"/>
        <v/>
      </c>
      <c r="AH38" t="str">
        <f t="shared" si="22"/>
        <v/>
      </c>
      <c r="AI38" t="str">
        <f t="shared" si="23"/>
        <v>Resto</v>
      </c>
      <c r="AJ38">
        <f>SUMIFS('DATOS LIMPIOS'!$M$5:$M$493,'DATOS LIMPIOS'!$E$5:$E$493,B38,'DATOS LIMPIOS'!$T$5:$T$493,"Octubre")</f>
        <v>0</v>
      </c>
      <c r="AK38">
        <f>COUNTIFS('DATOS LIMPIOS'!$E$5:$E$493,B38,'DATOS LIMPIOS'!$T$5:$T$493,"Octubre")</f>
        <v>0</v>
      </c>
    </row>
    <row r="39" spans="1:37" x14ac:dyDescent="0.2">
      <c r="A39">
        <v>36</v>
      </c>
      <c r="B39" t="str">
        <f t="array" ref="B39">IFERROR(INDEX('DATOS LIMPIOS'!$E$5:$E$493,MATCH(0,COUNTIF($B$3:B38,'DATOS LIMPIOS'!$E$5:$E$493),0)),"")</f>
        <v>¡Aprovecha antes de que se acabe! Oferta Flash, productos top</v>
      </c>
      <c r="C39">
        <f>COUNTIF('DATOS LIMPIOS'!$E$5:$E$493,B39)</f>
        <v>20</v>
      </c>
      <c r="D39">
        <f>AVERAGEIF('DATOS LIMPIOS'!$E$5:$E$493,B39,'DATOS LIMPIOS'!$M$5:$M$493)</f>
        <v>22.775066640377752</v>
      </c>
      <c r="E39">
        <f>AVERAGEIF('DATOS LIMPIOS'!$E$5:$E$493,B39,'DATOS LIMPIOS'!$N$5:$N$493)</f>
        <v>7.6719520838610986</v>
      </c>
      <c r="F39" t="str">
        <f>INDEX('DATOS LIMPIOS'!$B$5:$B$493,MATCH(B39,'DATOS LIMPIOS'!$E$5:$E$493,0))</f>
        <v>Flash Sale</v>
      </c>
      <c r="G39" t="str">
        <f>INDEX('DATOS LIMPIOS'!$AH$5:$AH$493,MATCH(B39,'DATOS LIMPIOS'!$E$5:$E$493,0))</f>
        <v>No</v>
      </c>
      <c r="H39" t="str">
        <f>INDEX('DATOS LIMPIOS'!$AN$5:$AN$493,MATCH(B39,'DATOS LIMPIOS'!$E$5:$E$493,0))</f>
        <v>No</v>
      </c>
      <c r="I39" t="str">
        <f>INDEX('DATOS LIMPIOS'!$AM$5:$AM$493,MATCH(B39,'DATOS LIMPIOS'!$E$5:$E$493,0))</f>
        <v>Sí</v>
      </c>
      <c r="J39" t="str">
        <f>INDEX('DATOS LIMPIOS'!$AJ$5:$AJ$493,MATCH(B39,'DATOS LIMPIOS'!$E$5:$E$493,0))</f>
        <v>Sí</v>
      </c>
      <c r="K39" t="str">
        <f>INDEX('DATOS LIMPIOS'!$AI$5:$AI$493,MATCH(B39,'DATOS LIMPIOS'!$E$5:$E$493,0))</f>
        <v>Sí</v>
      </c>
      <c r="L39" t="str">
        <f>INDEX('DATOS LIMPIOS'!$AR$5:$AR$493,MATCH(B39,'DATOS LIMPIOS'!$E$5:$E$493,0))</f>
        <v>No</v>
      </c>
      <c r="N39">
        <f>COUNTIFS('DATOS LIMPIOS'!$E$5:$E$493,B39,'DATOS LIMPIOS'!$T$5:$T$493,"&lt;&gt;Agosto")</f>
        <v>12</v>
      </c>
      <c r="O39">
        <f>IFERROR(AVERAGEIFS('DATOS LIMPIOS'!$M$5:$M$493,'DATOS LIMPIOS'!$E$5:$E$493,B39,'DATOS LIMPIOS'!$T$5:$T$493,"&lt;&gt;Agosto"),"")</f>
        <v>23.811506082043948</v>
      </c>
      <c r="P39" t="str">
        <f t="shared" si="12"/>
        <v>Sí</v>
      </c>
      <c r="Q39">
        <f t="shared" si="13"/>
        <v>13</v>
      </c>
      <c r="R39">
        <f t="shared" si="14"/>
        <v>9</v>
      </c>
      <c r="S39" t="str">
        <f t="shared" si="15"/>
        <v>Resto</v>
      </c>
      <c r="T39">
        <f>SUMIFS('DATOS LIMPIOS'!$M$5:$M$493,'DATOS LIMPIOS'!$E$5:$E$493,B39,'DATOS LIMPIOS'!$T$5:$T$493,"Agosto")</f>
        <v>169.76325982302765</v>
      </c>
      <c r="U39">
        <f>COUNTIFS('DATOS LIMPIOS'!$E$5:$E$493,B39,'DATOS LIMPIOS'!$T$5:$T$493,"Agosto")</f>
        <v>8</v>
      </c>
      <c r="V39">
        <f>COUNTIFS('DATOS LIMPIOS'!$E$5:$E$493,B39,'DATOS LIMPIOS'!$T$5:$T$493,"&lt;&gt;Septiembre")</f>
        <v>15</v>
      </c>
      <c r="W39">
        <f>IFERROR(AVERAGEIFS('DATOS LIMPIOS'!$M$5:$M$493,'DATOS LIMPIOS'!$E$5:$E$493,B39,'DATOS LIMPIOS'!$T$5:$T$493,"&lt;&gt;Septiembre"),"")</f>
        <v>23.190909919207048</v>
      </c>
      <c r="X39" t="str">
        <f t="shared" si="16"/>
        <v>Sí</v>
      </c>
      <c r="Y39">
        <f t="shared" si="17"/>
        <v>17</v>
      </c>
      <c r="Z39">
        <f t="shared" si="18"/>
        <v>9</v>
      </c>
      <c r="AA39" t="str">
        <f t="shared" si="19"/>
        <v>Resto</v>
      </c>
      <c r="AB39">
        <f>SUMIFS('DATOS LIMPIOS'!$M$5:$M$493,'DATOS LIMPIOS'!$E$5:$E$493,B39,'DATOS LIMPIOS'!$T$5:$T$493,"Septiembre")</f>
        <v>107.63768401944934</v>
      </c>
      <c r="AC39">
        <f>COUNTIFS('DATOS LIMPIOS'!$E$5:$E$493,B39,'DATOS LIMPIOS'!$T$5:$T$493,"Septiembre")</f>
        <v>5</v>
      </c>
      <c r="AD39">
        <f>COUNTIFS('DATOS LIMPIOS'!$E$5:$E$493,B39,'DATOS LIMPIOS'!$T$5:$T$493,"&lt;&gt;Octubre")</f>
        <v>13</v>
      </c>
      <c r="AE39">
        <f>IFERROR(AVERAGEIFS('DATOS LIMPIOS'!$M$5:$M$493,'DATOS LIMPIOS'!$E$5:$E$493,B39,'DATOS LIMPIOS'!$T$5:$T$493,"&lt;&gt;Octubre"),"")</f>
        <v>21.338534141729003</v>
      </c>
      <c r="AF39" t="str">
        <f t="shared" si="20"/>
        <v>Sí</v>
      </c>
      <c r="AG39">
        <f t="shared" si="21"/>
        <v>17</v>
      </c>
      <c r="AH39">
        <f t="shared" si="22"/>
        <v>9</v>
      </c>
      <c r="AI39" t="str">
        <f t="shared" si="23"/>
        <v>Resto</v>
      </c>
      <c r="AJ39">
        <f>SUMIFS('DATOS LIMPIOS'!$M$5:$M$493,'DATOS LIMPIOS'!$E$5:$E$493,B39,'DATOS LIMPIOS'!$T$5:$T$493,"Octubre")</f>
        <v>178.10038896507803</v>
      </c>
      <c r="AK39">
        <f>COUNTIFS('DATOS LIMPIOS'!$E$5:$E$493,B39,'DATOS LIMPIOS'!$T$5:$T$493,"Octubre")</f>
        <v>7</v>
      </c>
    </row>
    <row r="40" spans="1:37" x14ac:dyDescent="0.2">
      <c r="A40">
        <v>37</v>
      </c>
      <c r="B40" t="str">
        <f t="array" ref="B40">IFERROR(INDEX('DATOS LIMPIOS'!$E$5:$E$493,MATCH(0,COUNTIF($B$3:B39,'DATOS LIMPIOS'!$E$5:$E$493),0)),"")</f>
        <v>Lo último en L'Oréal: Mantente informad@ de las novedades</v>
      </c>
      <c r="C40">
        <f>COUNTIF('DATOS LIMPIOS'!$E$5:$E$493,B40)</f>
        <v>19</v>
      </c>
      <c r="D40">
        <f>AVERAGEIF('DATOS LIMPIOS'!$E$5:$E$493,B40,'DATOS LIMPIOS'!$M$5:$M$493)</f>
        <v>36.827379346292652</v>
      </c>
      <c r="E40">
        <f>AVERAGEIF('DATOS LIMPIOS'!$E$5:$E$493,B40,'DATOS LIMPIOS'!$N$5:$N$493)</f>
        <v>11.21179435454512</v>
      </c>
      <c r="F40" t="str">
        <f>INDEX('DATOS LIMPIOS'!$B$5:$B$493,MATCH(B40,'DATOS LIMPIOS'!$E$5:$E$493,0))</f>
        <v>Newsletter</v>
      </c>
      <c r="G40" t="str">
        <f>INDEX('DATOS LIMPIOS'!$AH$5:$AH$493,MATCH(B40,'DATOS LIMPIOS'!$E$5:$E$493,0))</f>
        <v>No</v>
      </c>
      <c r="H40" t="str">
        <f>INDEX('DATOS LIMPIOS'!$AN$5:$AN$493,MATCH(B40,'DATOS LIMPIOS'!$E$5:$E$493,0))</f>
        <v>No</v>
      </c>
      <c r="I40" t="str">
        <f>INDEX('DATOS LIMPIOS'!$AM$5:$AM$493,MATCH(B40,'DATOS LIMPIOS'!$E$5:$E$493,0))</f>
        <v>No</v>
      </c>
      <c r="J40" t="str">
        <f>INDEX('DATOS LIMPIOS'!$AJ$5:$AJ$493,MATCH(B40,'DATOS LIMPIOS'!$E$5:$E$493,0))</f>
        <v>No</v>
      </c>
      <c r="K40" t="str">
        <f>INDEX('DATOS LIMPIOS'!$AI$5:$AI$493,MATCH(B40,'DATOS LIMPIOS'!$E$5:$E$493,0))</f>
        <v>No</v>
      </c>
      <c r="L40" t="str">
        <f>INDEX('DATOS LIMPIOS'!$AR$5:$AR$493,MATCH(B40,'DATOS LIMPIOS'!$E$5:$E$493,0))</f>
        <v>Sí</v>
      </c>
      <c r="N40">
        <f>COUNTIFS('DATOS LIMPIOS'!$E$5:$E$493,B40,'DATOS LIMPIOS'!$T$5:$T$493,"&lt;&gt;Agosto")</f>
        <v>13</v>
      </c>
      <c r="O40">
        <f>IFERROR(AVERAGEIFS('DATOS LIMPIOS'!$M$5:$M$493,'DATOS LIMPIOS'!$E$5:$E$493,B40,'DATOS LIMPIOS'!$T$5:$T$493,"&lt;&gt;Agosto"),"")</f>
        <v>35.384048630238652</v>
      </c>
      <c r="P40" t="str">
        <f t="shared" si="12"/>
        <v>Sí</v>
      </c>
      <c r="Q40">
        <f t="shared" si="13"/>
        <v>7</v>
      </c>
      <c r="R40">
        <f t="shared" si="14"/>
        <v>15</v>
      </c>
      <c r="S40" t="str">
        <f t="shared" si="15"/>
        <v>Resto</v>
      </c>
      <c r="T40">
        <f>SUMIFS('DATOS LIMPIOS'!$M$5:$M$493,'DATOS LIMPIOS'!$E$5:$E$493,B40,'DATOS LIMPIOS'!$T$5:$T$493,"Agosto")</f>
        <v>239.72757538645794</v>
      </c>
      <c r="U40">
        <f>COUNTIFS('DATOS LIMPIOS'!$E$5:$E$493,B40,'DATOS LIMPIOS'!$T$5:$T$493,"Agosto")</f>
        <v>6</v>
      </c>
      <c r="V40">
        <f>COUNTIFS('DATOS LIMPIOS'!$E$5:$E$493,B40,'DATOS LIMPIOS'!$T$5:$T$493,"&lt;&gt;Septiembre")</f>
        <v>13</v>
      </c>
      <c r="W40">
        <f>IFERROR(AVERAGEIFS('DATOS LIMPIOS'!$M$5:$M$493,'DATOS LIMPIOS'!$E$5:$E$493,B40,'DATOS LIMPIOS'!$T$5:$T$493,"&lt;&gt;Septiembre"),"")</f>
        <v>37.281388063716861</v>
      </c>
      <c r="X40" t="str">
        <f t="shared" si="16"/>
        <v>Sí</v>
      </c>
      <c r="Y40">
        <f t="shared" si="17"/>
        <v>5</v>
      </c>
      <c r="Z40">
        <f t="shared" si="18"/>
        <v>21</v>
      </c>
      <c r="AA40" t="str">
        <f t="shared" si="19"/>
        <v>5 mejores</v>
      </c>
      <c r="AB40">
        <f>SUMIFS('DATOS LIMPIOS'!$M$5:$M$493,'DATOS LIMPIOS'!$E$5:$E$493,B40,'DATOS LIMPIOS'!$T$5:$T$493,"Septiembre")</f>
        <v>215.06216275124117</v>
      </c>
      <c r="AC40">
        <f>COUNTIFS('DATOS LIMPIOS'!$E$5:$E$493,B40,'DATOS LIMPIOS'!$T$5:$T$493,"Septiembre")</f>
        <v>6</v>
      </c>
      <c r="AD40">
        <f>COUNTIFS('DATOS LIMPIOS'!$E$5:$E$493,B40,'DATOS LIMPIOS'!$T$5:$T$493,"&lt;&gt;Octubre")</f>
        <v>12</v>
      </c>
      <c r="AE40">
        <f>IFERROR(AVERAGEIFS('DATOS LIMPIOS'!$M$5:$M$493,'DATOS LIMPIOS'!$E$5:$E$493,B40,'DATOS LIMPIOS'!$T$5:$T$493,"&lt;&gt;Octubre"),"")</f>
        <v>37.899144844808269</v>
      </c>
      <c r="AF40" t="str">
        <f t="shared" si="20"/>
        <v>Sí</v>
      </c>
      <c r="AG40">
        <f t="shared" si="21"/>
        <v>5</v>
      </c>
      <c r="AH40">
        <f t="shared" si="22"/>
        <v>21</v>
      </c>
      <c r="AI40" t="str">
        <f t="shared" si="23"/>
        <v>5 mejores</v>
      </c>
      <c r="AJ40">
        <f>SUMIFS('DATOS LIMPIOS'!$M$5:$M$493,'DATOS LIMPIOS'!$E$5:$E$493,B40,'DATOS LIMPIOS'!$T$5:$T$493,"Octubre")</f>
        <v>244.93046944186131</v>
      </c>
      <c r="AK40">
        <f>COUNTIFS('DATOS LIMPIOS'!$E$5:$E$493,B40,'DATOS LIMPIOS'!$T$5:$T$493,"Octubre")</f>
        <v>7</v>
      </c>
    </row>
    <row r="41" spans="1:37" x14ac:dyDescent="0.2">
      <c r="A41">
        <v>38</v>
      </c>
      <c r="B41" t="str">
        <f t="array" ref="B41">IFERROR(INDEX('DATOS LIMPIOS'!$E$5:$E$493,MATCH(0,COUNTIF($B$3:B40,'DATOS LIMPIOS'!$E$5:$E$493),0)),"")</f>
        <v>¡Es hora de celebrar! Descuentos exclusivos, regalos ideales</v>
      </c>
      <c r="C41">
        <f>COUNTIF('DATOS LIMPIOS'!$E$5:$E$493,B41)</f>
        <v>1</v>
      </c>
      <c r="D41">
        <f>AVERAGEIF('DATOS LIMPIOS'!$E$5:$E$493,B41,'DATOS LIMPIOS'!$M$5:$M$493)</f>
        <v>23.078179936700817</v>
      </c>
      <c r="E41">
        <f>AVERAGEIF('DATOS LIMPIOS'!$E$5:$E$493,B41,'DATOS LIMPIOS'!$N$5:$N$493)</f>
        <v>11.098940777543111</v>
      </c>
      <c r="F41" t="str">
        <f>INDEX('DATOS LIMPIOS'!$B$5:$B$493,MATCH(B41,'DATOS LIMPIOS'!$E$5:$E$493,0))</f>
        <v>Holiday Discounts</v>
      </c>
      <c r="G41" t="str">
        <f>INDEX('DATOS LIMPIOS'!$AH$5:$AH$493,MATCH(B41,'DATOS LIMPIOS'!$E$5:$E$493,0))</f>
        <v>Sí</v>
      </c>
      <c r="H41" t="str">
        <f>INDEX('DATOS LIMPIOS'!$AN$5:$AN$493,MATCH(B41,'DATOS LIMPIOS'!$E$5:$E$493,0))</f>
        <v>No</v>
      </c>
      <c r="I41" t="str">
        <f>INDEX('DATOS LIMPIOS'!$AM$5:$AM$493,MATCH(B41,'DATOS LIMPIOS'!$E$5:$E$493,0))</f>
        <v>Sí</v>
      </c>
      <c r="J41" t="str">
        <f>INDEX('DATOS LIMPIOS'!$AJ$5:$AJ$493,MATCH(B41,'DATOS LIMPIOS'!$E$5:$E$493,0))</f>
        <v>No</v>
      </c>
      <c r="K41" t="str">
        <f>INDEX('DATOS LIMPIOS'!$AI$5:$AI$493,MATCH(B41,'DATOS LIMPIOS'!$E$5:$E$493,0))</f>
        <v>Sí</v>
      </c>
      <c r="L41" t="str">
        <f>INDEX('DATOS LIMPIOS'!$AR$5:$AR$493,MATCH(B41,'DATOS LIMPIOS'!$E$5:$E$493,0))</f>
        <v>Sí</v>
      </c>
      <c r="N41">
        <f>COUNTIFS('DATOS LIMPIOS'!$E$5:$E$493,B41,'DATOS LIMPIOS'!$T$5:$T$493,"&lt;&gt;Agosto")</f>
        <v>0</v>
      </c>
      <c r="O41" t="str">
        <f>IFERROR(AVERAGEIFS('DATOS LIMPIOS'!$M$5:$M$493,'DATOS LIMPIOS'!$E$5:$E$493,B41,'DATOS LIMPIOS'!$T$5:$T$493,"&lt;&gt;Agosto"),"")</f>
        <v/>
      </c>
      <c r="P41" t="str">
        <f t="shared" si="12"/>
        <v>No</v>
      </c>
      <c r="Q41" t="str">
        <f t="shared" si="13"/>
        <v/>
      </c>
      <c r="R41" t="str">
        <f t="shared" si="14"/>
        <v/>
      </c>
      <c r="S41" t="str">
        <f t="shared" si="15"/>
        <v>Resto</v>
      </c>
      <c r="T41">
        <f>SUMIFS('DATOS LIMPIOS'!$M$5:$M$493,'DATOS LIMPIOS'!$E$5:$E$493,B41,'DATOS LIMPIOS'!$T$5:$T$493,"Agosto")</f>
        <v>23.078179936700817</v>
      </c>
      <c r="U41">
        <f>COUNTIFS('DATOS LIMPIOS'!$E$5:$E$493,B41,'DATOS LIMPIOS'!$T$5:$T$493,"Agosto")</f>
        <v>1</v>
      </c>
      <c r="V41">
        <f>COUNTIFS('DATOS LIMPIOS'!$E$5:$E$493,B41,'DATOS LIMPIOS'!$T$5:$T$493,"&lt;&gt;Septiembre")</f>
        <v>1</v>
      </c>
      <c r="W41">
        <f>IFERROR(AVERAGEIFS('DATOS LIMPIOS'!$M$5:$M$493,'DATOS LIMPIOS'!$E$5:$E$493,B41,'DATOS LIMPIOS'!$T$5:$T$493,"&lt;&gt;Septiembre"),"")</f>
        <v>23.078179936700817</v>
      </c>
      <c r="X41" t="str">
        <f t="shared" si="16"/>
        <v>No</v>
      </c>
      <c r="Y41" t="str">
        <f t="shared" si="17"/>
        <v/>
      </c>
      <c r="Z41" t="str">
        <f t="shared" si="18"/>
        <v/>
      </c>
      <c r="AA41" t="str">
        <f t="shared" si="19"/>
        <v>Resto</v>
      </c>
      <c r="AB41">
        <f>SUMIFS('DATOS LIMPIOS'!$M$5:$M$493,'DATOS LIMPIOS'!$E$5:$E$493,B41,'DATOS LIMPIOS'!$T$5:$T$493,"Septiembre")</f>
        <v>0</v>
      </c>
      <c r="AC41">
        <f>COUNTIFS('DATOS LIMPIOS'!$E$5:$E$493,B41,'DATOS LIMPIOS'!$T$5:$T$493,"Septiembre")</f>
        <v>0</v>
      </c>
      <c r="AD41">
        <f>COUNTIFS('DATOS LIMPIOS'!$E$5:$E$493,B41,'DATOS LIMPIOS'!$T$5:$T$493,"&lt;&gt;Octubre")</f>
        <v>1</v>
      </c>
      <c r="AE41">
        <f>IFERROR(AVERAGEIFS('DATOS LIMPIOS'!$M$5:$M$493,'DATOS LIMPIOS'!$E$5:$E$493,B41,'DATOS LIMPIOS'!$T$5:$T$493,"&lt;&gt;Octubre"),"")</f>
        <v>23.078179936700817</v>
      </c>
      <c r="AF41" t="str">
        <f t="shared" si="20"/>
        <v>No</v>
      </c>
      <c r="AG41" t="str">
        <f t="shared" si="21"/>
        <v/>
      </c>
      <c r="AH41" t="str">
        <f t="shared" si="22"/>
        <v/>
      </c>
      <c r="AI41" t="str">
        <f t="shared" si="23"/>
        <v>Resto</v>
      </c>
      <c r="AJ41">
        <f>SUMIFS('DATOS LIMPIOS'!$M$5:$M$493,'DATOS LIMPIOS'!$E$5:$E$493,B41,'DATOS LIMPIOS'!$T$5:$T$493,"Octubre")</f>
        <v>0</v>
      </c>
      <c r="AK41">
        <f>COUNTIFS('DATOS LIMPIOS'!$E$5:$E$493,B41,'DATOS LIMPIOS'!$T$5:$T$493,"Octubre")</f>
        <v>0</v>
      </c>
    </row>
    <row r="42" spans="1:37" x14ac:dyDescent="0.2">
      <c r="A42">
        <v>39</v>
      </c>
      <c r="B42" t="str">
        <f t="array" ref="B42">IFERROR(INDEX('DATOS LIMPIOS'!$E$5:$E$493,MATCH(0,COUNTIF($B$3:B41,'DATOS LIMPIOS'!$E$5:$E$493),0)),"")</f>
        <v>¡Tu lealtad tiene recompensa! Descúbrela, sorpresas para ti</v>
      </c>
      <c r="C42">
        <f>COUNTIF('DATOS LIMPIOS'!$E$5:$E$493,B42)</f>
        <v>16</v>
      </c>
      <c r="D42">
        <f>AVERAGEIF('DATOS LIMPIOS'!$E$5:$E$493,B42,'DATOS LIMPIOS'!$M$5:$M$493)</f>
        <v>40.72142758959253</v>
      </c>
      <c r="E42">
        <f>AVERAGEIF('DATOS LIMPIOS'!$E$5:$E$493,B42,'DATOS LIMPIOS'!$N$5:$N$493)</f>
        <v>10.084078499747937</v>
      </c>
      <c r="F42" t="str">
        <f>INDEX('DATOS LIMPIOS'!$B$5:$B$493,MATCH(B42,'DATOS LIMPIOS'!$E$5:$E$493,0))</f>
        <v>Customer Appreciation</v>
      </c>
      <c r="G42" t="str">
        <f>INDEX('DATOS LIMPIOS'!$AH$5:$AH$493,MATCH(B42,'DATOS LIMPIOS'!$E$5:$E$493,0))</f>
        <v>No</v>
      </c>
      <c r="H42" t="str">
        <f>INDEX('DATOS LIMPIOS'!$AN$5:$AN$493,MATCH(B42,'DATOS LIMPIOS'!$E$5:$E$493,0))</f>
        <v>No</v>
      </c>
      <c r="I42" t="str">
        <f>INDEX('DATOS LIMPIOS'!$AM$5:$AM$493,MATCH(B42,'DATOS LIMPIOS'!$E$5:$E$493,0))</f>
        <v>No</v>
      </c>
      <c r="J42" t="str">
        <f>INDEX('DATOS LIMPIOS'!$AJ$5:$AJ$493,MATCH(B42,'DATOS LIMPIOS'!$E$5:$E$493,0))</f>
        <v>No</v>
      </c>
      <c r="K42" t="str">
        <f>INDEX('DATOS LIMPIOS'!$AI$5:$AI$493,MATCH(B42,'DATOS LIMPIOS'!$E$5:$E$493,0))</f>
        <v>Sí</v>
      </c>
      <c r="L42" t="str">
        <f>INDEX('DATOS LIMPIOS'!$AR$5:$AR$493,MATCH(B42,'DATOS LIMPIOS'!$E$5:$E$493,0))</f>
        <v>Sí</v>
      </c>
      <c r="N42">
        <f>COUNTIFS('DATOS LIMPIOS'!$E$5:$E$493,B42,'DATOS LIMPIOS'!$T$5:$T$493,"&lt;&gt;Agosto")</f>
        <v>13</v>
      </c>
      <c r="O42">
        <f>IFERROR(AVERAGEIFS('DATOS LIMPIOS'!$M$5:$M$493,'DATOS LIMPIOS'!$E$5:$E$493,B42,'DATOS LIMPIOS'!$T$5:$T$493,"&lt;&gt;Agosto"),"")</f>
        <v>41.43100839708886</v>
      </c>
      <c r="P42" t="str">
        <f t="shared" si="12"/>
        <v>Sí</v>
      </c>
      <c r="Q42">
        <f t="shared" si="13"/>
        <v>2</v>
      </c>
      <c r="R42">
        <f t="shared" si="14"/>
        <v>20</v>
      </c>
      <c r="S42" t="str">
        <f t="shared" si="15"/>
        <v>5 mejores</v>
      </c>
      <c r="T42">
        <f>SUMIFS('DATOS LIMPIOS'!$M$5:$M$493,'DATOS LIMPIOS'!$E$5:$E$493,B42,'DATOS LIMPIOS'!$T$5:$T$493,"Agosto")</f>
        <v>112.93973227132528</v>
      </c>
      <c r="U42">
        <f>COUNTIFS('DATOS LIMPIOS'!$E$5:$E$493,B42,'DATOS LIMPIOS'!$T$5:$T$493,"Agosto")</f>
        <v>3</v>
      </c>
      <c r="V42">
        <f>COUNTIFS('DATOS LIMPIOS'!$E$5:$E$493,B42,'DATOS LIMPIOS'!$T$5:$T$493,"&lt;&gt;Septiembre")</f>
        <v>7</v>
      </c>
      <c r="W42">
        <f>IFERROR(AVERAGEIFS('DATOS LIMPIOS'!$M$5:$M$493,'DATOS LIMPIOS'!$E$5:$E$493,B42,'DATOS LIMPIOS'!$T$5:$T$493,"&lt;&gt;Septiembre"),"")</f>
        <v>39.635816859336977</v>
      </c>
      <c r="X42" t="str">
        <f t="shared" si="16"/>
        <v>Sí</v>
      </c>
      <c r="Y42">
        <f t="shared" si="17"/>
        <v>3</v>
      </c>
      <c r="Z42">
        <f t="shared" si="18"/>
        <v>23</v>
      </c>
      <c r="AA42" t="str">
        <f t="shared" si="19"/>
        <v>5 mejores</v>
      </c>
      <c r="AB42">
        <f>SUMIFS('DATOS LIMPIOS'!$M$5:$M$493,'DATOS LIMPIOS'!$E$5:$E$493,B42,'DATOS LIMPIOS'!$T$5:$T$493,"Septiembre")</f>
        <v>374.09212341812167</v>
      </c>
      <c r="AC42">
        <f>COUNTIFS('DATOS LIMPIOS'!$E$5:$E$493,B42,'DATOS LIMPIOS'!$T$5:$T$493,"Septiembre")</f>
        <v>9</v>
      </c>
      <c r="AD42">
        <f>COUNTIFS('DATOS LIMPIOS'!$E$5:$E$493,B42,'DATOS LIMPIOS'!$T$5:$T$493,"&lt;&gt;Octubre")</f>
        <v>12</v>
      </c>
      <c r="AE42">
        <f>IFERROR(AVERAGEIFS('DATOS LIMPIOS'!$M$5:$M$493,'DATOS LIMPIOS'!$E$5:$E$493,B42,'DATOS LIMPIOS'!$T$5:$T$493,"&lt;&gt;Octubre"),"")</f>
        <v>40.585987974120577</v>
      </c>
      <c r="AF42" t="str">
        <f t="shared" si="20"/>
        <v>Sí</v>
      </c>
      <c r="AG42">
        <f t="shared" si="21"/>
        <v>2</v>
      </c>
      <c r="AH42">
        <f t="shared" si="22"/>
        <v>24</v>
      </c>
      <c r="AI42" t="str">
        <f t="shared" si="23"/>
        <v>5 mejores</v>
      </c>
      <c r="AJ42">
        <f>SUMIFS('DATOS LIMPIOS'!$M$5:$M$493,'DATOS LIMPIOS'!$E$5:$E$493,B42,'DATOS LIMPIOS'!$T$5:$T$493,"Octubre")</f>
        <v>164.51098574403355</v>
      </c>
      <c r="AK42">
        <f>COUNTIFS('DATOS LIMPIOS'!$E$5:$E$493,B42,'DATOS LIMPIOS'!$T$5:$T$493,"Octubre")</f>
        <v>4</v>
      </c>
    </row>
    <row r="43" spans="1:37" x14ac:dyDescent="0.2">
      <c r="A43">
        <v>40</v>
      </c>
      <c r="B43" t="str">
        <f t="array" ref="B43">IFERROR(INDEX('DATOS LIMPIOS'!$E$5:$E$493,MATCH(0,COUNTIF($B$3:B42,'DATOS LIMPIOS'!$E$5:$E$493),0)),"")</f>
        <v>¡Solo para ti! Una sorpresa de L'Oréal que te encantará</v>
      </c>
      <c r="C43">
        <f>COUNTIF('DATOS LIMPIOS'!$E$5:$E$493,B43)</f>
        <v>1</v>
      </c>
      <c r="D43">
        <f>AVERAGEIF('DATOS LIMPIOS'!$E$5:$E$493,B43,'DATOS LIMPIOS'!$M$5:$M$493)</f>
        <v>27.573837984927597</v>
      </c>
      <c r="E43">
        <f>AVERAGEIF('DATOS LIMPIOS'!$E$5:$E$493,B43,'DATOS LIMPIOS'!$N$5:$N$493)</f>
        <v>13.388463339429441</v>
      </c>
      <c r="F43" t="str">
        <f>INDEX('DATOS LIMPIOS'!$B$5:$B$493,MATCH(B43,'DATOS LIMPIOS'!$E$5:$E$493,0))</f>
        <v>Customer Appreciation</v>
      </c>
      <c r="G43" t="str">
        <f>INDEX('DATOS LIMPIOS'!$AH$5:$AH$493,MATCH(B43,'DATOS LIMPIOS'!$E$5:$E$493,0))</f>
        <v>No</v>
      </c>
      <c r="H43" t="str">
        <f>INDEX('DATOS LIMPIOS'!$AN$5:$AN$493,MATCH(B43,'DATOS LIMPIOS'!$E$5:$E$493,0))</f>
        <v>No</v>
      </c>
      <c r="I43" t="str">
        <f>INDEX('DATOS LIMPIOS'!$AM$5:$AM$493,MATCH(B43,'DATOS LIMPIOS'!$E$5:$E$493,0))</f>
        <v>No</v>
      </c>
      <c r="J43" t="str">
        <f>INDEX('DATOS LIMPIOS'!$AJ$5:$AJ$493,MATCH(B43,'DATOS LIMPIOS'!$E$5:$E$493,0))</f>
        <v>No</v>
      </c>
      <c r="K43" t="str">
        <f>INDEX('DATOS LIMPIOS'!$AI$5:$AI$493,MATCH(B43,'DATOS LIMPIOS'!$E$5:$E$493,0))</f>
        <v>Sí</v>
      </c>
      <c r="L43" t="str">
        <f>INDEX('DATOS LIMPIOS'!$AR$5:$AR$493,MATCH(B43,'DATOS LIMPIOS'!$E$5:$E$493,0))</f>
        <v>No</v>
      </c>
      <c r="N43">
        <f>COUNTIFS('DATOS LIMPIOS'!$E$5:$E$493,B43,'DATOS LIMPIOS'!$T$5:$T$493,"&lt;&gt;Agosto")</f>
        <v>1</v>
      </c>
      <c r="O43">
        <f>IFERROR(AVERAGEIFS('DATOS LIMPIOS'!$M$5:$M$493,'DATOS LIMPIOS'!$E$5:$E$493,B43,'DATOS LIMPIOS'!$T$5:$T$493,"&lt;&gt;Agosto"),"")</f>
        <v>27.573837984927597</v>
      </c>
      <c r="P43" t="str">
        <f t="shared" si="12"/>
        <v>No</v>
      </c>
      <c r="Q43" t="str">
        <f t="shared" si="13"/>
        <v/>
      </c>
      <c r="R43" t="str">
        <f t="shared" si="14"/>
        <v/>
      </c>
      <c r="S43" t="str">
        <f t="shared" si="15"/>
        <v>Resto</v>
      </c>
      <c r="T43">
        <f>SUMIFS('DATOS LIMPIOS'!$M$5:$M$493,'DATOS LIMPIOS'!$E$5:$E$493,B43,'DATOS LIMPIOS'!$T$5:$T$493,"Agosto")</f>
        <v>0</v>
      </c>
      <c r="U43">
        <f>COUNTIFS('DATOS LIMPIOS'!$E$5:$E$493,B43,'DATOS LIMPIOS'!$T$5:$T$493,"Agosto")</f>
        <v>0</v>
      </c>
      <c r="V43">
        <f>COUNTIFS('DATOS LIMPIOS'!$E$5:$E$493,B43,'DATOS LIMPIOS'!$T$5:$T$493,"&lt;&gt;Septiembre")</f>
        <v>0</v>
      </c>
      <c r="W43" t="str">
        <f>IFERROR(AVERAGEIFS('DATOS LIMPIOS'!$M$5:$M$493,'DATOS LIMPIOS'!$E$5:$E$493,B43,'DATOS LIMPIOS'!$T$5:$T$493,"&lt;&gt;Septiembre"),"")</f>
        <v/>
      </c>
      <c r="X43" t="str">
        <f t="shared" si="16"/>
        <v>No</v>
      </c>
      <c r="Y43" t="str">
        <f t="shared" si="17"/>
        <v/>
      </c>
      <c r="Z43" t="str">
        <f t="shared" si="18"/>
        <v/>
      </c>
      <c r="AA43" t="str">
        <f t="shared" si="19"/>
        <v>Resto</v>
      </c>
      <c r="AB43">
        <f>SUMIFS('DATOS LIMPIOS'!$M$5:$M$493,'DATOS LIMPIOS'!$E$5:$E$493,B43,'DATOS LIMPIOS'!$T$5:$T$493,"Septiembre")</f>
        <v>27.573837984927597</v>
      </c>
      <c r="AC43">
        <f>COUNTIFS('DATOS LIMPIOS'!$E$5:$E$493,B43,'DATOS LIMPIOS'!$T$5:$T$493,"Septiembre")</f>
        <v>1</v>
      </c>
      <c r="AD43">
        <f>COUNTIFS('DATOS LIMPIOS'!$E$5:$E$493,B43,'DATOS LIMPIOS'!$T$5:$T$493,"&lt;&gt;Octubre")</f>
        <v>1</v>
      </c>
      <c r="AE43">
        <f>IFERROR(AVERAGEIFS('DATOS LIMPIOS'!$M$5:$M$493,'DATOS LIMPIOS'!$E$5:$E$493,B43,'DATOS LIMPIOS'!$T$5:$T$493,"&lt;&gt;Octubre"),"")</f>
        <v>27.573837984927597</v>
      </c>
      <c r="AF43" t="str">
        <f t="shared" si="20"/>
        <v>No</v>
      </c>
      <c r="AG43" t="str">
        <f t="shared" si="21"/>
        <v/>
      </c>
      <c r="AH43" t="str">
        <f t="shared" si="22"/>
        <v/>
      </c>
      <c r="AI43" t="str">
        <f t="shared" si="23"/>
        <v>Resto</v>
      </c>
      <c r="AJ43">
        <f>SUMIFS('DATOS LIMPIOS'!$M$5:$M$493,'DATOS LIMPIOS'!$E$5:$E$493,B43,'DATOS LIMPIOS'!$T$5:$T$493,"Octubre")</f>
        <v>0</v>
      </c>
      <c r="AK43">
        <f>COUNTIFS('DATOS LIMPIOS'!$E$5:$E$493,B43,'DATOS LIMPIOS'!$T$5:$T$493,"Octubre")</f>
        <v>0</v>
      </c>
    </row>
    <row r="44" spans="1:37" x14ac:dyDescent="0.2">
      <c r="A44">
        <v>41</v>
      </c>
      <c r="B44" t="str">
        <f t="array" ref="B44">IFERROR(INDEX('DATOS LIMPIOS'!$E$5:$E$493,MATCH(0,COUNTIF($B$3:B43,'DATOS LIMPIOS'!$E$5:$E$493),0)),"")</f>
        <v>¡Tu dosis de belleza semanal ha llegado! Tips y tendencias</v>
      </c>
      <c r="C44">
        <f>COUNTIF('DATOS LIMPIOS'!$E$5:$E$493,B44)</f>
        <v>1</v>
      </c>
      <c r="D44">
        <f>AVERAGEIF('DATOS LIMPIOS'!$E$5:$E$493,B44,'DATOS LIMPIOS'!$M$5:$M$493)</f>
        <v>27.827683174503981</v>
      </c>
      <c r="E44">
        <f>AVERAGEIF('DATOS LIMPIOS'!$E$5:$E$493,B44,'DATOS LIMPIOS'!$N$5:$N$493)</f>
        <v>18.979456334947663</v>
      </c>
      <c r="F44" t="str">
        <f>INDEX('DATOS LIMPIOS'!$B$5:$B$493,MATCH(B44,'DATOS LIMPIOS'!$E$5:$E$493,0))</f>
        <v>Newsletter</v>
      </c>
      <c r="G44" t="str">
        <f>INDEX('DATOS LIMPIOS'!$AH$5:$AH$493,MATCH(B44,'DATOS LIMPIOS'!$E$5:$E$493,0))</f>
        <v>No</v>
      </c>
      <c r="H44" t="str">
        <f>INDEX('DATOS LIMPIOS'!$AN$5:$AN$493,MATCH(B44,'DATOS LIMPIOS'!$E$5:$E$493,0))</f>
        <v>No</v>
      </c>
      <c r="I44" t="str">
        <f>INDEX('DATOS LIMPIOS'!$AM$5:$AM$493,MATCH(B44,'DATOS LIMPIOS'!$E$5:$E$493,0))</f>
        <v>Sí</v>
      </c>
      <c r="J44" t="str">
        <f>INDEX('DATOS LIMPIOS'!$AJ$5:$AJ$493,MATCH(B44,'DATOS LIMPIOS'!$E$5:$E$493,0))</f>
        <v>No</v>
      </c>
      <c r="K44" t="str">
        <f>INDEX('DATOS LIMPIOS'!$AI$5:$AI$493,MATCH(B44,'DATOS LIMPIOS'!$E$5:$E$493,0))</f>
        <v>No</v>
      </c>
      <c r="L44" t="str">
        <f>INDEX('DATOS LIMPIOS'!$AR$5:$AR$493,MATCH(B44,'DATOS LIMPIOS'!$E$5:$E$493,0))</f>
        <v>No</v>
      </c>
      <c r="N44">
        <f>COUNTIFS('DATOS LIMPIOS'!$E$5:$E$493,B44,'DATOS LIMPIOS'!$T$5:$T$493,"&lt;&gt;Agosto")</f>
        <v>1</v>
      </c>
      <c r="O44">
        <f>IFERROR(AVERAGEIFS('DATOS LIMPIOS'!$M$5:$M$493,'DATOS LIMPIOS'!$E$5:$E$493,B44,'DATOS LIMPIOS'!$T$5:$T$493,"&lt;&gt;Agosto"),"")</f>
        <v>27.827683174503981</v>
      </c>
      <c r="P44" t="str">
        <f t="shared" si="12"/>
        <v>No</v>
      </c>
      <c r="Q44" t="str">
        <f t="shared" si="13"/>
        <v/>
      </c>
      <c r="R44" t="str">
        <f t="shared" si="14"/>
        <v/>
      </c>
      <c r="S44" t="str">
        <f t="shared" si="15"/>
        <v>Resto</v>
      </c>
      <c r="T44">
        <f>SUMIFS('DATOS LIMPIOS'!$M$5:$M$493,'DATOS LIMPIOS'!$E$5:$E$493,B44,'DATOS LIMPIOS'!$T$5:$T$493,"Agosto")</f>
        <v>0</v>
      </c>
      <c r="U44">
        <f>COUNTIFS('DATOS LIMPIOS'!$E$5:$E$493,B44,'DATOS LIMPIOS'!$T$5:$T$493,"Agosto")</f>
        <v>0</v>
      </c>
      <c r="V44">
        <f>COUNTIFS('DATOS LIMPIOS'!$E$5:$E$493,B44,'DATOS LIMPIOS'!$T$5:$T$493,"&lt;&gt;Septiembre")</f>
        <v>0</v>
      </c>
      <c r="W44" t="str">
        <f>IFERROR(AVERAGEIFS('DATOS LIMPIOS'!$M$5:$M$493,'DATOS LIMPIOS'!$E$5:$E$493,B44,'DATOS LIMPIOS'!$T$5:$T$493,"&lt;&gt;Septiembre"),"")</f>
        <v/>
      </c>
      <c r="X44" t="str">
        <f t="shared" si="16"/>
        <v>No</v>
      </c>
      <c r="Y44" t="str">
        <f t="shared" si="17"/>
        <v/>
      </c>
      <c r="Z44" t="str">
        <f t="shared" si="18"/>
        <v/>
      </c>
      <c r="AA44" t="str">
        <f t="shared" si="19"/>
        <v>Resto</v>
      </c>
      <c r="AB44">
        <f>SUMIFS('DATOS LIMPIOS'!$M$5:$M$493,'DATOS LIMPIOS'!$E$5:$E$493,B44,'DATOS LIMPIOS'!$T$5:$T$493,"Septiembre")</f>
        <v>27.827683174503981</v>
      </c>
      <c r="AC44">
        <f>COUNTIFS('DATOS LIMPIOS'!$E$5:$E$493,B44,'DATOS LIMPIOS'!$T$5:$T$493,"Septiembre")</f>
        <v>1</v>
      </c>
      <c r="AD44">
        <f>COUNTIFS('DATOS LIMPIOS'!$E$5:$E$493,B44,'DATOS LIMPIOS'!$T$5:$T$493,"&lt;&gt;Octubre")</f>
        <v>1</v>
      </c>
      <c r="AE44">
        <f>IFERROR(AVERAGEIFS('DATOS LIMPIOS'!$M$5:$M$493,'DATOS LIMPIOS'!$E$5:$E$493,B44,'DATOS LIMPIOS'!$T$5:$T$493,"&lt;&gt;Octubre"),"")</f>
        <v>27.827683174503981</v>
      </c>
      <c r="AF44" t="str">
        <f t="shared" si="20"/>
        <v>No</v>
      </c>
      <c r="AG44" t="str">
        <f t="shared" si="21"/>
        <v/>
      </c>
      <c r="AH44" t="str">
        <f t="shared" si="22"/>
        <v/>
      </c>
      <c r="AI44" t="str">
        <f t="shared" si="23"/>
        <v>Resto</v>
      </c>
      <c r="AJ44">
        <f>SUMIFS('DATOS LIMPIOS'!$M$5:$M$493,'DATOS LIMPIOS'!$E$5:$E$493,B44,'DATOS LIMPIOS'!$T$5:$T$493,"Octubre")</f>
        <v>0</v>
      </c>
      <c r="AK44">
        <f>COUNTIFS('DATOS LIMPIOS'!$E$5:$E$493,B44,'DATOS LIMPIOS'!$T$5:$T$493,"Octubre")</f>
        <v>0</v>
      </c>
    </row>
    <row r="45" spans="1:37" x14ac:dyDescent="0.2">
      <c r="A45">
        <v>42</v>
      </c>
      <c r="B45" t="str">
        <f t="array" ref="B45">IFERROR(INDEX('DATOS LIMPIOS'!$E$5:$E$493,MATCH(0,COUNTIF($B$3:B44,'DATOS LIMPIOS'!$E$5:$E$493),0)),"")</f>
        <v>Novedades L'Oréal: No te pierdas nada de lo nuevo</v>
      </c>
      <c r="C45">
        <f>COUNTIF('DATOS LIMPIOS'!$E$5:$E$493,B45)</f>
        <v>1</v>
      </c>
      <c r="D45">
        <f>AVERAGEIF('DATOS LIMPIOS'!$E$5:$E$493,B45,'DATOS LIMPIOS'!$M$5:$M$493)</f>
        <v>25.911019297626847</v>
      </c>
      <c r="E45">
        <f>AVERAGEIF('DATOS LIMPIOS'!$E$5:$E$493,B45,'DATOS LIMPIOS'!$N$5:$N$493)</f>
        <v>17.570010580944224</v>
      </c>
      <c r="F45" t="str">
        <f>INDEX('DATOS LIMPIOS'!$B$5:$B$493,MATCH(B45,'DATOS LIMPIOS'!$E$5:$E$493,0))</f>
        <v>Newsletter</v>
      </c>
      <c r="G45" t="str">
        <f>INDEX('DATOS LIMPIOS'!$AH$5:$AH$493,MATCH(B45,'DATOS LIMPIOS'!$E$5:$E$493,0))</f>
        <v>Sí</v>
      </c>
      <c r="H45" t="str">
        <f>INDEX('DATOS LIMPIOS'!$AN$5:$AN$493,MATCH(B45,'DATOS LIMPIOS'!$E$5:$E$493,0))</f>
        <v>No</v>
      </c>
      <c r="I45" t="str">
        <f>INDEX('DATOS LIMPIOS'!$AM$5:$AM$493,MATCH(B45,'DATOS LIMPIOS'!$E$5:$E$493,0))</f>
        <v>No</v>
      </c>
      <c r="J45" t="str">
        <f>INDEX('DATOS LIMPIOS'!$AJ$5:$AJ$493,MATCH(B45,'DATOS LIMPIOS'!$E$5:$E$493,0))</f>
        <v>No</v>
      </c>
      <c r="K45" t="str">
        <f>INDEX('DATOS LIMPIOS'!$AI$5:$AI$493,MATCH(B45,'DATOS LIMPIOS'!$E$5:$E$493,0))</f>
        <v>No</v>
      </c>
      <c r="L45" t="str">
        <f>INDEX('DATOS LIMPIOS'!$AR$5:$AR$493,MATCH(B45,'DATOS LIMPIOS'!$E$5:$E$493,0))</f>
        <v>Sí</v>
      </c>
      <c r="N45">
        <f>COUNTIFS('DATOS LIMPIOS'!$E$5:$E$493,B45,'DATOS LIMPIOS'!$T$5:$T$493,"&lt;&gt;Agosto")</f>
        <v>0</v>
      </c>
      <c r="O45" t="str">
        <f>IFERROR(AVERAGEIFS('DATOS LIMPIOS'!$M$5:$M$493,'DATOS LIMPIOS'!$E$5:$E$493,B45,'DATOS LIMPIOS'!$T$5:$T$493,"&lt;&gt;Agosto"),"")</f>
        <v/>
      </c>
      <c r="P45" t="str">
        <f t="shared" si="12"/>
        <v>No</v>
      </c>
      <c r="Q45" t="str">
        <f t="shared" si="13"/>
        <v/>
      </c>
      <c r="R45" t="str">
        <f t="shared" si="14"/>
        <v/>
      </c>
      <c r="S45" t="str">
        <f t="shared" si="15"/>
        <v>Resto</v>
      </c>
      <c r="T45">
        <f>SUMIFS('DATOS LIMPIOS'!$M$5:$M$493,'DATOS LIMPIOS'!$E$5:$E$493,B45,'DATOS LIMPIOS'!$T$5:$T$493,"Agosto")</f>
        <v>25.911019297626847</v>
      </c>
      <c r="U45">
        <f>COUNTIFS('DATOS LIMPIOS'!$E$5:$E$493,B45,'DATOS LIMPIOS'!$T$5:$T$493,"Agosto")</f>
        <v>1</v>
      </c>
      <c r="V45">
        <f>COUNTIFS('DATOS LIMPIOS'!$E$5:$E$493,B45,'DATOS LIMPIOS'!$T$5:$T$493,"&lt;&gt;Septiembre")</f>
        <v>1</v>
      </c>
      <c r="W45">
        <f>IFERROR(AVERAGEIFS('DATOS LIMPIOS'!$M$5:$M$493,'DATOS LIMPIOS'!$E$5:$E$493,B45,'DATOS LIMPIOS'!$T$5:$T$493,"&lt;&gt;Septiembre"),"")</f>
        <v>25.911019297626847</v>
      </c>
      <c r="X45" t="str">
        <f t="shared" si="16"/>
        <v>No</v>
      </c>
      <c r="Y45" t="str">
        <f t="shared" si="17"/>
        <v/>
      </c>
      <c r="Z45" t="str">
        <f t="shared" si="18"/>
        <v/>
      </c>
      <c r="AA45" t="str">
        <f t="shared" si="19"/>
        <v>Resto</v>
      </c>
      <c r="AB45">
        <f>SUMIFS('DATOS LIMPIOS'!$M$5:$M$493,'DATOS LIMPIOS'!$E$5:$E$493,B45,'DATOS LIMPIOS'!$T$5:$T$493,"Septiembre")</f>
        <v>0</v>
      </c>
      <c r="AC45">
        <f>COUNTIFS('DATOS LIMPIOS'!$E$5:$E$493,B45,'DATOS LIMPIOS'!$T$5:$T$493,"Septiembre")</f>
        <v>0</v>
      </c>
      <c r="AD45">
        <f>COUNTIFS('DATOS LIMPIOS'!$E$5:$E$493,B45,'DATOS LIMPIOS'!$T$5:$T$493,"&lt;&gt;Octubre")</f>
        <v>1</v>
      </c>
      <c r="AE45">
        <f>IFERROR(AVERAGEIFS('DATOS LIMPIOS'!$M$5:$M$493,'DATOS LIMPIOS'!$E$5:$E$493,B45,'DATOS LIMPIOS'!$T$5:$T$493,"&lt;&gt;Octubre"),"")</f>
        <v>25.911019297626847</v>
      </c>
      <c r="AF45" t="str">
        <f t="shared" si="20"/>
        <v>No</v>
      </c>
      <c r="AG45" t="str">
        <f t="shared" si="21"/>
        <v/>
      </c>
      <c r="AH45" t="str">
        <f t="shared" si="22"/>
        <v/>
      </c>
      <c r="AI45" t="str">
        <f t="shared" si="23"/>
        <v>Resto</v>
      </c>
      <c r="AJ45">
        <f>SUMIFS('DATOS LIMPIOS'!$M$5:$M$493,'DATOS LIMPIOS'!$E$5:$E$493,B45,'DATOS LIMPIOS'!$T$5:$T$493,"Octubre")</f>
        <v>0</v>
      </c>
      <c r="AK45">
        <f>COUNTIFS('DATOS LIMPIOS'!$E$5:$E$493,B45,'DATOS LIMPIOS'!$T$5:$T$493,"Octubre")</f>
        <v>0</v>
      </c>
    </row>
    <row r="46" spans="1:37" x14ac:dyDescent="0.2">
      <c r="A46">
        <v>43</v>
      </c>
      <c r="B46" t="str">
        <f t="array" ref="B46">IFERROR(INDEX('DATOS LIMPIOS'!$E$5:$E$493,MATCH(0,COUNTIF($B$3:B45,'DATOS LIMPIOS'!$E$5:$E$493),0)),"")</f>
        <v>¡Ofertas que te harán sonreír! Flash Sale en tus favoritos</v>
      </c>
      <c r="C46">
        <f>COUNTIF('DATOS LIMPIOS'!$E$5:$E$493,B46)</f>
        <v>4</v>
      </c>
      <c r="D46">
        <f>AVERAGEIF('DATOS LIMPIOS'!$E$5:$E$493,B46,'DATOS LIMPIOS'!$M$5:$M$493)</f>
        <v>31.964920766647268</v>
      </c>
      <c r="E46">
        <f>AVERAGEIF('DATOS LIMPIOS'!$E$5:$E$493,B46,'DATOS LIMPIOS'!$N$5:$N$493)</f>
        <v>12.939708880391272</v>
      </c>
      <c r="F46" t="str">
        <f>INDEX('DATOS LIMPIOS'!$B$5:$B$493,MATCH(B46,'DATOS LIMPIOS'!$E$5:$E$493,0))</f>
        <v>Flash Sale</v>
      </c>
      <c r="G46" t="str">
        <f>INDEX('DATOS LIMPIOS'!$AH$5:$AH$493,MATCH(B46,'DATOS LIMPIOS'!$E$5:$E$493,0))</f>
        <v>No</v>
      </c>
      <c r="H46" t="str">
        <f>INDEX('DATOS LIMPIOS'!$AN$5:$AN$493,MATCH(B46,'DATOS LIMPIOS'!$E$5:$E$493,0))</f>
        <v>No</v>
      </c>
      <c r="I46" t="str">
        <f>INDEX('DATOS LIMPIOS'!$AM$5:$AM$493,MATCH(B46,'DATOS LIMPIOS'!$E$5:$E$493,0))</f>
        <v>Sí</v>
      </c>
      <c r="J46" t="str">
        <f>INDEX('DATOS LIMPIOS'!$AJ$5:$AJ$493,MATCH(B46,'DATOS LIMPIOS'!$E$5:$E$493,0))</f>
        <v>No</v>
      </c>
      <c r="K46" t="str">
        <f>INDEX('DATOS LIMPIOS'!$AI$5:$AI$493,MATCH(B46,'DATOS LIMPIOS'!$E$5:$E$493,0))</f>
        <v>Sí</v>
      </c>
      <c r="L46" t="str">
        <f>INDEX('DATOS LIMPIOS'!$AR$5:$AR$493,MATCH(B46,'DATOS LIMPIOS'!$E$5:$E$493,0))</f>
        <v>No</v>
      </c>
      <c r="N46">
        <f>COUNTIFS('DATOS LIMPIOS'!$E$5:$E$493,B46,'DATOS LIMPIOS'!$T$5:$T$493,"&lt;&gt;Agosto")</f>
        <v>3</v>
      </c>
      <c r="O46">
        <f>IFERROR(AVERAGEIFS('DATOS LIMPIOS'!$M$5:$M$493,'DATOS LIMPIOS'!$E$5:$E$493,B46,'DATOS LIMPIOS'!$T$5:$T$493,"&lt;&gt;Agosto"),"")</f>
        <v>32.682372832432335</v>
      </c>
      <c r="P46" t="str">
        <f t="shared" si="12"/>
        <v>No</v>
      </c>
      <c r="Q46" t="str">
        <f t="shared" si="13"/>
        <v/>
      </c>
      <c r="R46" t="str">
        <f t="shared" si="14"/>
        <v/>
      </c>
      <c r="S46" t="str">
        <f t="shared" si="15"/>
        <v>Resto</v>
      </c>
      <c r="T46">
        <f>SUMIFS('DATOS LIMPIOS'!$M$5:$M$493,'DATOS LIMPIOS'!$E$5:$E$493,B46,'DATOS LIMPIOS'!$T$5:$T$493,"Agosto")</f>
        <v>29.812564569292078</v>
      </c>
      <c r="U46">
        <f>COUNTIFS('DATOS LIMPIOS'!$E$5:$E$493,B46,'DATOS LIMPIOS'!$T$5:$T$493,"Agosto")</f>
        <v>1</v>
      </c>
      <c r="V46">
        <f>COUNTIFS('DATOS LIMPIOS'!$E$5:$E$493,B46,'DATOS LIMPIOS'!$T$5:$T$493,"&lt;&gt;Septiembre")</f>
        <v>4</v>
      </c>
      <c r="W46">
        <f>IFERROR(AVERAGEIFS('DATOS LIMPIOS'!$M$5:$M$493,'DATOS LIMPIOS'!$E$5:$E$493,B46,'DATOS LIMPIOS'!$T$5:$T$493,"&lt;&gt;Septiembre"),"")</f>
        <v>31.964920766647268</v>
      </c>
      <c r="X46" t="str">
        <f t="shared" si="16"/>
        <v>No</v>
      </c>
      <c r="Y46" t="str">
        <f t="shared" si="17"/>
        <v/>
      </c>
      <c r="Z46" t="str">
        <f t="shared" si="18"/>
        <v/>
      </c>
      <c r="AA46" t="str">
        <f t="shared" si="19"/>
        <v>Resto</v>
      </c>
      <c r="AB46">
        <f>SUMIFS('DATOS LIMPIOS'!$M$5:$M$493,'DATOS LIMPIOS'!$E$5:$E$493,B46,'DATOS LIMPIOS'!$T$5:$T$493,"Septiembre")</f>
        <v>0</v>
      </c>
      <c r="AC46">
        <f>COUNTIFS('DATOS LIMPIOS'!$E$5:$E$493,B46,'DATOS LIMPIOS'!$T$5:$T$493,"Septiembre")</f>
        <v>0</v>
      </c>
      <c r="AD46">
        <f>COUNTIFS('DATOS LIMPIOS'!$E$5:$E$493,B46,'DATOS LIMPIOS'!$T$5:$T$493,"&lt;&gt;Octubre")</f>
        <v>1</v>
      </c>
      <c r="AE46">
        <f>IFERROR(AVERAGEIFS('DATOS LIMPIOS'!$M$5:$M$493,'DATOS LIMPIOS'!$E$5:$E$493,B46,'DATOS LIMPIOS'!$T$5:$T$493,"&lt;&gt;Octubre"),"")</f>
        <v>29.812564569292078</v>
      </c>
      <c r="AF46" t="str">
        <f t="shared" si="20"/>
        <v>No</v>
      </c>
      <c r="AG46" t="str">
        <f t="shared" si="21"/>
        <v/>
      </c>
      <c r="AH46" t="str">
        <f t="shared" si="22"/>
        <v/>
      </c>
      <c r="AI46" t="str">
        <f t="shared" si="23"/>
        <v>Resto</v>
      </c>
      <c r="AJ46">
        <f>SUMIFS('DATOS LIMPIOS'!$M$5:$M$493,'DATOS LIMPIOS'!$E$5:$E$493,B46,'DATOS LIMPIOS'!$T$5:$T$493,"Octubre")</f>
        <v>98.047118497297006</v>
      </c>
      <c r="AK46">
        <f>COUNTIFS('DATOS LIMPIOS'!$E$5:$E$493,B46,'DATOS LIMPIOS'!$T$5:$T$493,"Octubre")</f>
        <v>3</v>
      </c>
    </row>
    <row r="47" spans="1:37" x14ac:dyDescent="0.2">
      <c r="A47">
        <v>44</v>
      </c>
      <c r="B47" t="str">
        <f t="array" ref="B47">IFERROR(INDEX('DATOS LIMPIOS'!$E$5:$E$493,MATCH(0,COUNTIF($B$3:B46,'DATOS LIMPIOS'!$E$5:$E$493),0)),"")</f>
        <v>¡Es para ti! Un regalo de L'Oréal por tu fidelidad</v>
      </c>
      <c r="C47">
        <f>COUNTIF('DATOS LIMPIOS'!$E$5:$E$493,B47)</f>
        <v>1</v>
      </c>
      <c r="D47">
        <f>AVERAGEIF('DATOS LIMPIOS'!$E$5:$E$493,B47,'DATOS LIMPIOS'!$M$5:$M$493)</f>
        <v>28.367775719806183</v>
      </c>
      <c r="E47">
        <f>AVERAGEIF('DATOS LIMPIOS'!$E$5:$E$493,B47,'DATOS LIMPIOS'!$N$5:$N$493)</f>
        <v>14.508107262585721</v>
      </c>
      <c r="F47" t="str">
        <f>INDEX('DATOS LIMPIOS'!$B$5:$B$493,MATCH(B47,'DATOS LIMPIOS'!$E$5:$E$493,0))</f>
        <v>Customer Appreciation</v>
      </c>
      <c r="G47" t="str">
        <f>INDEX('DATOS LIMPIOS'!$AH$5:$AH$493,MATCH(B47,'DATOS LIMPIOS'!$E$5:$E$493,0))</f>
        <v>No</v>
      </c>
      <c r="H47" t="str">
        <f>INDEX('DATOS LIMPIOS'!$AN$5:$AN$493,MATCH(B47,'DATOS LIMPIOS'!$E$5:$E$493,0))</f>
        <v>Sí</v>
      </c>
      <c r="I47" t="str">
        <f>INDEX('DATOS LIMPIOS'!$AM$5:$AM$493,MATCH(B47,'DATOS LIMPIOS'!$E$5:$E$493,0))</f>
        <v>Sí</v>
      </c>
      <c r="J47" t="str">
        <f>INDEX('DATOS LIMPIOS'!$AJ$5:$AJ$493,MATCH(B47,'DATOS LIMPIOS'!$E$5:$E$493,0))</f>
        <v>No</v>
      </c>
      <c r="K47" t="str">
        <f>INDEX('DATOS LIMPIOS'!$AI$5:$AI$493,MATCH(B47,'DATOS LIMPIOS'!$E$5:$E$493,0))</f>
        <v>Sí</v>
      </c>
      <c r="L47" t="str">
        <f>INDEX('DATOS LIMPIOS'!$AR$5:$AR$493,MATCH(B47,'DATOS LIMPIOS'!$E$5:$E$493,0))</f>
        <v>No</v>
      </c>
      <c r="N47">
        <f>COUNTIFS('DATOS LIMPIOS'!$E$5:$E$493,B47,'DATOS LIMPIOS'!$T$5:$T$493,"&lt;&gt;Agosto")</f>
        <v>1</v>
      </c>
      <c r="O47">
        <f>IFERROR(AVERAGEIFS('DATOS LIMPIOS'!$M$5:$M$493,'DATOS LIMPIOS'!$E$5:$E$493,B47,'DATOS LIMPIOS'!$T$5:$T$493,"&lt;&gt;Agosto"),"")</f>
        <v>28.367775719806183</v>
      </c>
      <c r="P47" t="str">
        <f t="shared" si="12"/>
        <v>No</v>
      </c>
      <c r="Q47" t="str">
        <f t="shared" si="13"/>
        <v/>
      </c>
      <c r="R47" t="str">
        <f t="shared" si="14"/>
        <v/>
      </c>
      <c r="S47" t="str">
        <f t="shared" si="15"/>
        <v>Resto</v>
      </c>
      <c r="T47">
        <f>SUMIFS('DATOS LIMPIOS'!$M$5:$M$493,'DATOS LIMPIOS'!$E$5:$E$493,B47,'DATOS LIMPIOS'!$T$5:$T$493,"Agosto")</f>
        <v>0</v>
      </c>
      <c r="U47">
        <f>COUNTIFS('DATOS LIMPIOS'!$E$5:$E$493,B47,'DATOS LIMPIOS'!$T$5:$T$493,"Agosto")</f>
        <v>0</v>
      </c>
      <c r="V47">
        <f>COUNTIFS('DATOS LIMPIOS'!$E$5:$E$493,B47,'DATOS LIMPIOS'!$T$5:$T$493,"&lt;&gt;Septiembre")</f>
        <v>0</v>
      </c>
      <c r="W47" t="str">
        <f>IFERROR(AVERAGEIFS('DATOS LIMPIOS'!$M$5:$M$493,'DATOS LIMPIOS'!$E$5:$E$493,B47,'DATOS LIMPIOS'!$T$5:$T$493,"&lt;&gt;Septiembre"),"")</f>
        <v/>
      </c>
      <c r="X47" t="str">
        <f t="shared" si="16"/>
        <v>No</v>
      </c>
      <c r="Y47" t="str">
        <f t="shared" si="17"/>
        <v/>
      </c>
      <c r="Z47" t="str">
        <f t="shared" si="18"/>
        <v/>
      </c>
      <c r="AA47" t="str">
        <f t="shared" si="19"/>
        <v>Resto</v>
      </c>
      <c r="AB47">
        <f>SUMIFS('DATOS LIMPIOS'!$M$5:$M$493,'DATOS LIMPIOS'!$E$5:$E$493,B47,'DATOS LIMPIOS'!$T$5:$T$493,"Septiembre")</f>
        <v>28.367775719806183</v>
      </c>
      <c r="AC47">
        <f>COUNTIFS('DATOS LIMPIOS'!$E$5:$E$493,B47,'DATOS LIMPIOS'!$T$5:$T$493,"Septiembre")</f>
        <v>1</v>
      </c>
      <c r="AD47">
        <f>COUNTIFS('DATOS LIMPIOS'!$E$5:$E$493,B47,'DATOS LIMPIOS'!$T$5:$T$493,"&lt;&gt;Octubre")</f>
        <v>1</v>
      </c>
      <c r="AE47">
        <f>IFERROR(AVERAGEIFS('DATOS LIMPIOS'!$M$5:$M$493,'DATOS LIMPIOS'!$E$5:$E$493,B47,'DATOS LIMPIOS'!$T$5:$T$493,"&lt;&gt;Octubre"),"")</f>
        <v>28.367775719806183</v>
      </c>
      <c r="AF47" t="str">
        <f t="shared" si="20"/>
        <v>No</v>
      </c>
      <c r="AG47" t="str">
        <f t="shared" si="21"/>
        <v/>
      </c>
      <c r="AH47" t="str">
        <f t="shared" si="22"/>
        <v/>
      </c>
      <c r="AI47" t="str">
        <f t="shared" si="23"/>
        <v>Resto</v>
      </c>
      <c r="AJ47">
        <f>SUMIFS('DATOS LIMPIOS'!$M$5:$M$493,'DATOS LIMPIOS'!$E$5:$E$493,B47,'DATOS LIMPIOS'!$T$5:$T$493,"Octubre")</f>
        <v>0</v>
      </c>
      <c r="AK47">
        <f>COUNTIFS('DATOS LIMPIOS'!$E$5:$E$493,B47,'DATOS LIMPIOS'!$T$5:$T$493,"Octubre")</f>
        <v>0</v>
      </c>
    </row>
    <row r="48" spans="1:37" x14ac:dyDescent="0.2">
      <c r="A48">
        <v>45</v>
      </c>
      <c r="B48" t="str">
        <f t="array" ref="B48">IFERROR(INDEX('DATOS LIMPIOS'!$E$5:$E$493,MATCH(0,COUNTIF($B$3:B47,'DATOS LIMPIOS'!$E$5:$E$493),0)),"")</f>
        <v>Descubre el futuro de la belleza con L'Oréal ¡Innovación!</v>
      </c>
      <c r="C48">
        <f>COUNTIF('DATOS LIMPIOS'!$E$5:$E$493,B48)</f>
        <v>1</v>
      </c>
      <c r="D48">
        <f>AVERAGEIF('DATOS LIMPIOS'!$E$5:$E$493,B48,'DATOS LIMPIOS'!$M$5:$M$493)</f>
        <v>14.962143577040635</v>
      </c>
      <c r="E48">
        <f>AVERAGEIF('DATOS LIMPIOS'!$E$5:$E$493,B48,'DATOS LIMPIOS'!$N$5:$N$493)</f>
        <v>4.1500635746239762</v>
      </c>
      <c r="F48" t="str">
        <f>INDEX('DATOS LIMPIOS'!$B$5:$B$493,MATCH(B48,'DATOS LIMPIOS'!$E$5:$E$493,0))</f>
        <v>New Product Launch</v>
      </c>
      <c r="G48" t="str">
        <f>INDEX('DATOS LIMPIOS'!$AH$5:$AH$493,MATCH(B48,'DATOS LIMPIOS'!$E$5:$E$493,0))</f>
        <v>No</v>
      </c>
      <c r="H48" t="str">
        <f>INDEX('DATOS LIMPIOS'!$AN$5:$AN$493,MATCH(B48,'DATOS LIMPIOS'!$E$5:$E$493,0))</f>
        <v>No</v>
      </c>
      <c r="I48" t="str">
        <f>INDEX('DATOS LIMPIOS'!$AM$5:$AM$493,MATCH(B48,'DATOS LIMPIOS'!$E$5:$E$493,0))</f>
        <v>Sí</v>
      </c>
      <c r="J48" t="str">
        <f>INDEX('DATOS LIMPIOS'!$AJ$5:$AJ$493,MATCH(B48,'DATOS LIMPIOS'!$E$5:$E$493,0))</f>
        <v>No</v>
      </c>
      <c r="K48" t="str">
        <f>INDEX('DATOS LIMPIOS'!$AI$5:$AI$493,MATCH(B48,'DATOS LIMPIOS'!$E$5:$E$493,0))</f>
        <v>No</v>
      </c>
      <c r="L48" t="str">
        <f>INDEX('DATOS LIMPIOS'!$AR$5:$AR$493,MATCH(B48,'DATOS LIMPIOS'!$E$5:$E$493,0))</f>
        <v>Sí</v>
      </c>
      <c r="N48">
        <f>COUNTIFS('DATOS LIMPIOS'!$E$5:$E$493,B48,'DATOS LIMPIOS'!$T$5:$T$493,"&lt;&gt;Agosto")</f>
        <v>1</v>
      </c>
      <c r="O48">
        <f>IFERROR(AVERAGEIFS('DATOS LIMPIOS'!$M$5:$M$493,'DATOS LIMPIOS'!$E$5:$E$493,B48,'DATOS LIMPIOS'!$T$5:$T$493,"&lt;&gt;Agosto"),"")</f>
        <v>14.962143577040635</v>
      </c>
      <c r="P48" t="str">
        <f t="shared" si="12"/>
        <v>No</v>
      </c>
      <c r="Q48" t="str">
        <f t="shared" si="13"/>
        <v/>
      </c>
      <c r="R48" t="str">
        <f t="shared" si="14"/>
        <v/>
      </c>
      <c r="S48" t="str">
        <f t="shared" si="15"/>
        <v>Resto</v>
      </c>
      <c r="T48">
        <f>SUMIFS('DATOS LIMPIOS'!$M$5:$M$493,'DATOS LIMPIOS'!$E$5:$E$493,B48,'DATOS LIMPIOS'!$T$5:$T$493,"Agosto")</f>
        <v>0</v>
      </c>
      <c r="U48">
        <f>COUNTIFS('DATOS LIMPIOS'!$E$5:$E$493,B48,'DATOS LIMPIOS'!$T$5:$T$493,"Agosto")</f>
        <v>0</v>
      </c>
      <c r="V48">
        <f>COUNTIFS('DATOS LIMPIOS'!$E$5:$E$493,B48,'DATOS LIMPIOS'!$T$5:$T$493,"&lt;&gt;Septiembre")</f>
        <v>1</v>
      </c>
      <c r="W48">
        <f>IFERROR(AVERAGEIFS('DATOS LIMPIOS'!$M$5:$M$493,'DATOS LIMPIOS'!$E$5:$E$493,B48,'DATOS LIMPIOS'!$T$5:$T$493,"&lt;&gt;Septiembre"),"")</f>
        <v>14.962143577040635</v>
      </c>
      <c r="X48" t="str">
        <f t="shared" si="16"/>
        <v>No</v>
      </c>
      <c r="Y48" t="str">
        <f t="shared" si="17"/>
        <v/>
      </c>
      <c r="Z48" t="str">
        <f t="shared" si="18"/>
        <v/>
      </c>
      <c r="AA48" t="str">
        <f t="shared" si="19"/>
        <v>Resto</v>
      </c>
      <c r="AB48">
        <f>SUMIFS('DATOS LIMPIOS'!$M$5:$M$493,'DATOS LIMPIOS'!$E$5:$E$493,B48,'DATOS LIMPIOS'!$T$5:$T$493,"Septiembre")</f>
        <v>0</v>
      </c>
      <c r="AC48">
        <f>COUNTIFS('DATOS LIMPIOS'!$E$5:$E$493,B48,'DATOS LIMPIOS'!$T$5:$T$493,"Septiembre")</f>
        <v>0</v>
      </c>
      <c r="AD48">
        <f>COUNTIFS('DATOS LIMPIOS'!$E$5:$E$493,B48,'DATOS LIMPIOS'!$T$5:$T$493,"&lt;&gt;Octubre")</f>
        <v>0</v>
      </c>
      <c r="AE48" t="str">
        <f>IFERROR(AVERAGEIFS('DATOS LIMPIOS'!$M$5:$M$493,'DATOS LIMPIOS'!$E$5:$E$493,B48,'DATOS LIMPIOS'!$T$5:$T$493,"&lt;&gt;Octubre"),"")</f>
        <v/>
      </c>
      <c r="AF48" t="str">
        <f t="shared" si="20"/>
        <v>No</v>
      </c>
      <c r="AG48" t="str">
        <f t="shared" si="21"/>
        <v/>
      </c>
      <c r="AH48" t="str">
        <f t="shared" si="22"/>
        <v/>
      </c>
      <c r="AI48" t="str">
        <f t="shared" si="23"/>
        <v>Resto</v>
      </c>
      <c r="AJ48">
        <f>SUMIFS('DATOS LIMPIOS'!$M$5:$M$493,'DATOS LIMPIOS'!$E$5:$E$493,B48,'DATOS LIMPIOS'!$T$5:$T$493,"Octubre")</f>
        <v>14.962143577040635</v>
      </c>
      <c r="AK48">
        <f>COUNTIFS('DATOS LIMPIOS'!$E$5:$E$493,B48,'DATOS LIMPIOS'!$T$5:$T$493,"Octubre")</f>
        <v>1</v>
      </c>
    </row>
    <row r="49" spans="1:37" x14ac:dyDescent="0.2">
      <c r="A49">
        <v>46</v>
      </c>
      <c r="B49" t="str">
        <f t="array" ref="B49">IFERROR(INDEX('DATOS LIMPIOS'!$E$5:$E$493,MATCH(0,COUNTIF($B$3:B48,'DATOS LIMPIOS'!$E$5:$E$493),0)),"")</f>
        <v>¡Tu oportunidad de conseguirlo! Ofertas VIP, solo por hoy</v>
      </c>
      <c r="C49">
        <f>COUNTIF('DATOS LIMPIOS'!$E$5:$E$493,B49)</f>
        <v>3</v>
      </c>
      <c r="D49">
        <f>AVERAGEIF('DATOS LIMPIOS'!$E$5:$E$493,B49,'DATOS LIMPIOS'!$M$5:$M$493)</f>
        <v>16.495238452924411</v>
      </c>
      <c r="E49">
        <f>AVERAGEIF('DATOS LIMPIOS'!$E$5:$E$493,B49,'DATOS LIMPIOS'!$N$5:$N$493)</f>
        <v>6.5081125342841446</v>
      </c>
      <c r="F49" t="str">
        <f>INDEX('DATOS LIMPIOS'!$B$5:$B$493,MATCH(B49,'DATOS LIMPIOS'!$E$5:$E$493,0))</f>
        <v>Exclusive Offers</v>
      </c>
      <c r="G49" t="str">
        <f>INDEX('DATOS LIMPIOS'!$AH$5:$AH$493,MATCH(B49,'DATOS LIMPIOS'!$E$5:$E$493,0))</f>
        <v>Sí</v>
      </c>
      <c r="H49" t="str">
        <f>INDEX('DATOS LIMPIOS'!$AN$5:$AN$493,MATCH(B49,'DATOS LIMPIOS'!$E$5:$E$493,0))</f>
        <v>No</v>
      </c>
      <c r="I49" t="str">
        <f>INDEX('DATOS LIMPIOS'!$AM$5:$AM$493,MATCH(B49,'DATOS LIMPIOS'!$E$5:$E$493,0))</f>
        <v>No</v>
      </c>
      <c r="J49" t="str">
        <f>INDEX('DATOS LIMPIOS'!$AJ$5:$AJ$493,MATCH(B49,'DATOS LIMPIOS'!$E$5:$E$493,0))</f>
        <v>Sí</v>
      </c>
      <c r="K49" t="str">
        <f>INDEX('DATOS LIMPIOS'!$AI$5:$AI$493,MATCH(B49,'DATOS LIMPIOS'!$E$5:$E$493,0))</f>
        <v>Sí</v>
      </c>
      <c r="L49" t="str">
        <f>INDEX('DATOS LIMPIOS'!$AR$5:$AR$493,MATCH(B49,'DATOS LIMPIOS'!$E$5:$E$493,0))</f>
        <v>Sí</v>
      </c>
      <c r="N49">
        <f>COUNTIFS('DATOS LIMPIOS'!$E$5:$E$493,B49,'DATOS LIMPIOS'!$T$5:$T$493,"&lt;&gt;Agosto")</f>
        <v>3</v>
      </c>
      <c r="O49">
        <f>IFERROR(AVERAGEIFS('DATOS LIMPIOS'!$M$5:$M$493,'DATOS LIMPIOS'!$E$5:$E$493,B49,'DATOS LIMPIOS'!$T$5:$T$493,"&lt;&gt;Agosto"),"")</f>
        <v>16.495238452924411</v>
      </c>
      <c r="P49" t="str">
        <f t="shared" si="12"/>
        <v>No</v>
      </c>
      <c r="Q49" t="str">
        <f t="shared" si="13"/>
        <v/>
      </c>
      <c r="R49" t="str">
        <f t="shared" si="14"/>
        <v/>
      </c>
      <c r="S49" t="str">
        <f t="shared" si="15"/>
        <v>Resto</v>
      </c>
      <c r="T49">
        <f>SUMIFS('DATOS LIMPIOS'!$M$5:$M$493,'DATOS LIMPIOS'!$E$5:$E$493,B49,'DATOS LIMPIOS'!$T$5:$T$493,"Agosto")</f>
        <v>0</v>
      </c>
      <c r="U49">
        <f>COUNTIFS('DATOS LIMPIOS'!$E$5:$E$493,B49,'DATOS LIMPIOS'!$T$5:$T$493,"Agosto")</f>
        <v>0</v>
      </c>
      <c r="V49">
        <f>COUNTIFS('DATOS LIMPIOS'!$E$5:$E$493,B49,'DATOS LIMPIOS'!$T$5:$T$493,"&lt;&gt;Septiembre")</f>
        <v>0</v>
      </c>
      <c r="W49" t="str">
        <f>IFERROR(AVERAGEIFS('DATOS LIMPIOS'!$M$5:$M$493,'DATOS LIMPIOS'!$E$5:$E$493,B49,'DATOS LIMPIOS'!$T$5:$T$493,"&lt;&gt;Septiembre"),"")</f>
        <v/>
      </c>
      <c r="X49" t="str">
        <f t="shared" si="16"/>
        <v>No</v>
      </c>
      <c r="Y49" t="str">
        <f t="shared" si="17"/>
        <v/>
      </c>
      <c r="Z49" t="str">
        <f t="shared" si="18"/>
        <v/>
      </c>
      <c r="AA49" t="str">
        <f t="shared" si="19"/>
        <v>Resto</v>
      </c>
      <c r="AB49">
        <f>SUMIFS('DATOS LIMPIOS'!$M$5:$M$493,'DATOS LIMPIOS'!$E$5:$E$493,B49,'DATOS LIMPIOS'!$T$5:$T$493,"Septiembre")</f>
        <v>49.485715358773234</v>
      </c>
      <c r="AC49">
        <f>COUNTIFS('DATOS LIMPIOS'!$E$5:$E$493,B49,'DATOS LIMPIOS'!$T$5:$T$493,"Septiembre")</f>
        <v>3</v>
      </c>
      <c r="AD49">
        <f>COUNTIFS('DATOS LIMPIOS'!$E$5:$E$493,B49,'DATOS LIMPIOS'!$T$5:$T$493,"&lt;&gt;Octubre")</f>
        <v>3</v>
      </c>
      <c r="AE49">
        <f>IFERROR(AVERAGEIFS('DATOS LIMPIOS'!$M$5:$M$493,'DATOS LIMPIOS'!$E$5:$E$493,B49,'DATOS LIMPIOS'!$T$5:$T$493,"&lt;&gt;Octubre"),"")</f>
        <v>16.495238452924411</v>
      </c>
      <c r="AF49" t="str">
        <f t="shared" si="20"/>
        <v>No</v>
      </c>
      <c r="AG49" t="str">
        <f t="shared" si="21"/>
        <v/>
      </c>
      <c r="AH49" t="str">
        <f t="shared" si="22"/>
        <v/>
      </c>
      <c r="AI49" t="str">
        <f t="shared" si="23"/>
        <v>Resto</v>
      </c>
      <c r="AJ49">
        <f>SUMIFS('DATOS LIMPIOS'!$M$5:$M$493,'DATOS LIMPIOS'!$E$5:$E$493,B49,'DATOS LIMPIOS'!$T$5:$T$493,"Octubre")</f>
        <v>0</v>
      </c>
      <c r="AK49">
        <f>COUNTIFS('DATOS LIMPIOS'!$E$5:$E$493,B49,'DATOS LIMPIOS'!$T$5:$T$493,"Octubre")</f>
        <v>0</v>
      </c>
    </row>
    <row r="50" spans="1:37" x14ac:dyDescent="0.2">
      <c r="A50">
        <v>47</v>
      </c>
      <c r="B50" t="str">
        <f t="array" ref="B50">IFERROR(INDEX('DATOS LIMPIOS'!$E$5:$E$493,MATCH(0,COUNTIF($B$3:B49,'DATOS LIMPIOS'!$E$5:$E$493),0)),"")</f>
        <v>¡Ahorra en grande! Oferta Relámpago, últimas unidades</v>
      </c>
      <c r="C50">
        <f>COUNTIF('DATOS LIMPIOS'!$E$5:$E$493,B50)</f>
        <v>7</v>
      </c>
      <c r="D50">
        <f>AVERAGEIF('DATOS LIMPIOS'!$E$5:$E$493,B50,'DATOS LIMPIOS'!$M$5:$M$493)</f>
        <v>20.679461560319073</v>
      </c>
      <c r="E50">
        <f>AVERAGEIF('DATOS LIMPIOS'!$E$5:$E$493,B50,'DATOS LIMPIOS'!$N$5:$N$493)</f>
        <v>6.6841708047908428</v>
      </c>
      <c r="F50" t="str">
        <f>INDEX('DATOS LIMPIOS'!$B$5:$B$493,MATCH(B50,'DATOS LIMPIOS'!$E$5:$E$493,0))</f>
        <v>Flash Sale</v>
      </c>
      <c r="G50" t="str">
        <f>INDEX('DATOS LIMPIOS'!$AH$5:$AH$493,MATCH(B50,'DATOS LIMPIOS'!$E$5:$E$493,0))</f>
        <v>No</v>
      </c>
      <c r="H50" t="str">
        <f>INDEX('DATOS LIMPIOS'!$AN$5:$AN$493,MATCH(B50,'DATOS LIMPIOS'!$E$5:$E$493,0))</f>
        <v>No</v>
      </c>
      <c r="I50" t="str">
        <f>INDEX('DATOS LIMPIOS'!$AM$5:$AM$493,MATCH(B50,'DATOS LIMPIOS'!$E$5:$E$493,0))</f>
        <v>No</v>
      </c>
      <c r="J50" t="str">
        <f>INDEX('DATOS LIMPIOS'!$AJ$5:$AJ$493,MATCH(B50,'DATOS LIMPIOS'!$E$5:$E$493,0))</f>
        <v>Sí</v>
      </c>
      <c r="K50" t="str">
        <f>INDEX('DATOS LIMPIOS'!$AI$5:$AI$493,MATCH(B50,'DATOS LIMPIOS'!$E$5:$E$493,0))</f>
        <v>Sí</v>
      </c>
      <c r="L50" t="str">
        <f>INDEX('DATOS LIMPIOS'!$AR$5:$AR$493,MATCH(B50,'DATOS LIMPIOS'!$E$5:$E$493,0))</f>
        <v>Sí</v>
      </c>
      <c r="N50">
        <f>COUNTIFS('DATOS LIMPIOS'!$E$5:$E$493,B50,'DATOS LIMPIOS'!$T$5:$T$493,"&lt;&gt;Agosto")</f>
        <v>4</v>
      </c>
      <c r="O50">
        <f>IFERROR(AVERAGEIFS('DATOS LIMPIOS'!$M$5:$M$493,'DATOS LIMPIOS'!$E$5:$E$493,B50,'DATOS LIMPIOS'!$T$5:$T$493,"&lt;&gt;Agosto"),"")</f>
        <v>20.361891183044172</v>
      </c>
      <c r="P50" t="str">
        <f t="shared" si="12"/>
        <v>No</v>
      </c>
      <c r="Q50" t="str">
        <f t="shared" si="13"/>
        <v/>
      </c>
      <c r="R50" t="str">
        <f t="shared" si="14"/>
        <v/>
      </c>
      <c r="S50" t="str">
        <f t="shared" si="15"/>
        <v>Resto</v>
      </c>
      <c r="T50">
        <f>SUMIFS('DATOS LIMPIOS'!$M$5:$M$493,'DATOS LIMPIOS'!$E$5:$E$493,B50,'DATOS LIMPIOS'!$T$5:$T$493,"Agosto")</f>
        <v>63.308666190056812</v>
      </c>
      <c r="U50">
        <f>COUNTIFS('DATOS LIMPIOS'!$E$5:$E$493,B50,'DATOS LIMPIOS'!$T$5:$T$493,"Agosto")</f>
        <v>3</v>
      </c>
      <c r="V50">
        <f>COUNTIFS('DATOS LIMPIOS'!$E$5:$E$493,B50,'DATOS LIMPIOS'!$T$5:$T$493,"&lt;&gt;Septiembre")</f>
        <v>4</v>
      </c>
      <c r="W50">
        <f>IFERROR(AVERAGEIFS('DATOS LIMPIOS'!$M$5:$M$493,'DATOS LIMPIOS'!$E$5:$E$493,B50,'DATOS LIMPIOS'!$T$5:$T$493,"&lt;&gt;Septiembre"),"")</f>
        <v>22.294329379189726</v>
      </c>
      <c r="X50" t="str">
        <f t="shared" si="16"/>
        <v>No</v>
      </c>
      <c r="Y50" t="str">
        <f t="shared" si="17"/>
        <v/>
      </c>
      <c r="Z50" t="str">
        <f t="shared" si="18"/>
        <v/>
      </c>
      <c r="AA50" t="str">
        <f t="shared" si="19"/>
        <v>Resto</v>
      </c>
      <c r="AB50">
        <f>SUMIFS('DATOS LIMPIOS'!$M$5:$M$493,'DATOS LIMPIOS'!$E$5:$E$493,B50,'DATOS LIMPIOS'!$T$5:$T$493,"Septiembre")</f>
        <v>55.578913405474594</v>
      </c>
      <c r="AC50">
        <f>COUNTIFS('DATOS LIMPIOS'!$E$5:$E$493,B50,'DATOS LIMPIOS'!$T$5:$T$493,"Septiembre")</f>
        <v>3</v>
      </c>
      <c r="AD50">
        <f>COUNTIFS('DATOS LIMPIOS'!$E$5:$E$493,B50,'DATOS LIMPIOS'!$T$5:$T$493,"&lt;&gt;Octubre")</f>
        <v>6</v>
      </c>
      <c r="AE50">
        <f>IFERROR(AVERAGEIFS('DATOS LIMPIOS'!$M$5:$M$493,'DATOS LIMPIOS'!$E$5:$E$493,B50,'DATOS LIMPIOS'!$T$5:$T$493,"&lt;&gt;Octubre"),"")</f>
        <v>19.814596599255236</v>
      </c>
      <c r="AF50" t="str">
        <f t="shared" si="20"/>
        <v>Sí</v>
      </c>
      <c r="AG50">
        <f t="shared" si="21"/>
        <v>19</v>
      </c>
      <c r="AH50">
        <f t="shared" si="22"/>
        <v>7</v>
      </c>
      <c r="AI50" t="str">
        <f t="shared" si="23"/>
        <v>Resto</v>
      </c>
      <c r="AJ50">
        <f>SUMIFS('DATOS LIMPIOS'!$M$5:$M$493,'DATOS LIMPIOS'!$E$5:$E$493,B50,'DATOS LIMPIOS'!$T$5:$T$493,"Octubre")</f>
        <v>25.868651326702093</v>
      </c>
      <c r="AK50">
        <f>COUNTIFS('DATOS LIMPIOS'!$E$5:$E$493,B50,'DATOS LIMPIOS'!$T$5:$T$493,"Octubre")</f>
        <v>1</v>
      </c>
    </row>
    <row r="51" spans="1:37" x14ac:dyDescent="0.2">
      <c r="A51">
        <v>48</v>
      </c>
      <c r="B51" t="str">
        <f t="array" ref="B51">IFERROR(INDEX('DATOS LIMPIOS'!$E$5:$E$493,MATCH(0,COUNTIF($B$3:B50,'DATOS LIMPIOS'!$E$5:$E$493),0)),"")</f>
        <v>¡Última oportunidad! Descuentos que no volverán, no esperes</v>
      </c>
      <c r="C51">
        <f>COUNTIF('DATOS LIMPIOS'!$E$5:$E$493,B51)</f>
        <v>1</v>
      </c>
      <c r="D51">
        <f>AVERAGEIF('DATOS LIMPIOS'!$E$5:$E$493,B51,'DATOS LIMPIOS'!$M$5:$M$493)</f>
        <v>19.632660579427942</v>
      </c>
      <c r="E51">
        <f>AVERAGEIF('DATOS LIMPIOS'!$E$5:$E$493,B51,'DATOS LIMPIOS'!$N$5:$N$493)</f>
        <v>19.489689410485138</v>
      </c>
      <c r="F51" t="str">
        <f>INDEX('DATOS LIMPIOS'!$B$5:$B$493,MATCH(B51,'DATOS LIMPIOS'!$E$5:$E$493,0))</f>
        <v>Flash Sale</v>
      </c>
      <c r="G51" t="str">
        <f>INDEX('DATOS LIMPIOS'!$AH$5:$AH$493,MATCH(B51,'DATOS LIMPIOS'!$E$5:$E$493,0))</f>
        <v>Sí</v>
      </c>
      <c r="H51" t="str">
        <f>INDEX('DATOS LIMPIOS'!$AN$5:$AN$493,MATCH(B51,'DATOS LIMPIOS'!$E$5:$E$493,0))</f>
        <v>Sí</v>
      </c>
      <c r="I51" t="str">
        <f>INDEX('DATOS LIMPIOS'!$AM$5:$AM$493,MATCH(B51,'DATOS LIMPIOS'!$E$5:$E$493,0))</f>
        <v>No</v>
      </c>
      <c r="J51" t="str">
        <f>INDEX('DATOS LIMPIOS'!$AJ$5:$AJ$493,MATCH(B51,'DATOS LIMPIOS'!$E$5:$E$493,0))</f>
        <v>Sí</v>
      </c>
      <c r="K51" t="str">
        <f>INDEX('DATOS LIMPIOS'!$AI$5:$AI$493,MATCH(B51,'DATOS LIMPIOS'!$E$5:$E$493,0))</f>
        <v>Sí</v>
      </c>
      <c r="L51" t="str">
        <f>INDEX('DATOS LIMPIOS'!$AR$5:$AR$493,MATCH(B51,'DATOS LIMPIOS'!$E$5:$E$493,0))</f>
        <v>Sí</v>
      </c>
      <c r="N51">
        <f>COUNTIFS('DATOS LIMPIOS'!$E$5:$E$493,B51,'DATOS LIMPIOS'!$T$5:$T$493,"&lt;&gt;Agosto")</f>
        <v>1</v>
      </c>
      <c r="O51">
        <f>IFERROR(AVERAGEIFS('DATOS LIMPIOS'!$M$5:$M$493,'DATOS LIMPIOS'!$E$5:$E$493,B51,'DATOS LIMPIOS'!$T$5:$T$493,"&lt;&gt;Agosto"),"")</f>
        <v>19.632660579427942</v>
      </c>
      <c r="P51" t="str">
        <f t="shared" si="12"/>
        <v>No</v>
      </c>
      <c r="Q51" t="str">
        <f t="shared" si="13"/>
        <v/>
      </c>
      <c r="R51" t="str">
        <f t="shared" si="14"/>
        <v/>
      </c>
      <c r="S51" t="str">
        <f t="shared" si="15"/>
        <v>Resto</v>
      </c>
      <c r="T51">
        <f>SUMIFS('DATOS LIMPIOS'!$M$5:$M$493,'DATOS LIMPIOS'!$E$5:$E$493,B51,'DATOS LIMPIOS'!$T$5:$T$493,"Agosto")</f>
        <v>0</v>
      </c>
      <c r="U51">
        <f>COUNTIFS('DATOS LIMPIOS'!$E$5:$E$493,B51,'DATOS LIMPIOS'!$T$5:$T$493,"Agosto")</f>
        <v>0</v>
      </c>
      <c r="V51">
        <f>COUNTIFS('DATOS LIMPIOS'!$E$5:$E$493,B51,'DATOS LIMPIOS'!$T$5:$T$493,"&lt;&gt;Septiembre")</f>
        <v>0</v>
      </c>
      <c r="W51" t="str">
        <f>IFERROR(AVERAGEIFS('DATOS LIMPIOS'!$M$5:$M$493,'DATOS LIMPIOS'!$E$5:$E$493,B51,'DATOS LIMPIOS'!$T$5:$T$493,"&lt;&gt;Septiembre"),"")</f>
        <v/>
      </c>
      <c r="X51" t="str">
        <f t="shared" si="16"/>
        <v>No</v>
      </c>
      <c r="Y51" t="str">
        <f t="shared" si="17"/>
        <v/>
      </c>
      <c r="Z51" t="str">
        <f t="shared" si="18"/>
        <v/>
      </c>
      <c r="AA51" t="str">
        <f t="shared" si="19"/>
        <v>Resto</v>
      </c>
      <c r="AB51">
        <f>SUMIFS('DATOS LIMPIOS'!$M$5:$M$493,'DATOS LIMPIOS'!$E$5:$E$493,B51,'DATOS LIMPIOS'!$T$5:$T$493,"Septiembre")</f>
        <v>19.632660579427942</v>
      </c>
      <c r="AC51">
        <f>COUNTIFS('DATOS LIMPIOS'!$E$5:$E$493,B51,'DATOS LIMPIOS'!$T$5:$T$493,"Septiembre")</f>
        <v>1</v>
      </c>
      <c r="AD51">
        <f>COUNTIFS('DATOS LIMPIOS'!$E$5:$E$493,B51,'DATOS LIMPIOS'!$T$5:$T$493,"&lt;&gt;Octubre")</f>
        <v>1</v>
      </c>
      <c r="AE51">
        <f>IFERROR(AVERAGEIFS('DATOS LIMPIOS'!$M$5:$M$493,'DATOS LIMPIOS'!$E$5:$E$493,B51,'DATOS LIMPIOS'!$T$5:$T$493,"&lt;&gt;Octubre"),"")</f>
        <v>19.632660579427942</v>
      </c>
      <c r="AF51" t="str">
        <f t="shared" si="20"/>
        <v>No</v>
      </c>
      <c r="AG51" t="str">
        <f t="shared" si="21"/>
        <v/>
      </c>
      <c r="AH51" t="str">
        <f t="shared" si="22"/>
        <v/>
      </c>
      <c r="AI51" t="str">
        <f t="shared" si="23"/>
        <v>Resto</v>
      </c>
      <c r="AJ51">
        <f>SUMIFS('DATOS LIMPIOS'!$M$5:$M$493,'DATOS LIMPIOS'!$E$5:$E$493,B51,'DATOS LIMPIOS'!$T$5:$T$493,"Octubre")</f>
        <v>0</v>
      </c>
      <c r="AK51">
        <f>COUNTIFS('DATOS LIMPIOS'!$E$5:$E$493,B51,'DATOS LIMPIOS'!$T$5:$T$493,"Octubre")</f>
        <v>0</v>
      </c>
    </row>
    <row r="52" spans="1:37" x14ac:dyDescent="0.2">
      <c r="A52">
        <v>49</v>
      </c>
      <c r="B52" t="str">
        <f t="array" ref="B52">IFERROR(INDEX('DATOS LIMPIOS'!$E$5:$E$493,MATCH(0,COUNTIF($B$3:B51,'DATOS LIMPIOS'!$E$5:$E$493),0)),"")</f>
        <v>🔥 Hot Sale Anticipado: ¡Precios increíbles en belleza!</v>
      </c>
      <c r="C52">
        <f>COUNTIF('DATOS LIMPIOS'!$E$5:$E$493,B52)</f>
        <v>3</v>
      </c>
      <c r="D52">
        <f>AVERAGEIF('DATOS LIMPIOS'!$E$5:$E$493,B52,'DATOS LIMPIOS'!$M$5:$M$493)</f>
        <v>39.278310607790992</v>
      </c>
      <c r="E52">
        <f>AVERAGEIF('DATOS LIMPIOS'!$E$5:$E$493,B52,'DATOS LIMPIOS'!$N$5:$N$493)</f>
        <v>8.9045127076499782</v>
      </c>
      <c r="F52" t="str">
        <f>INDEX('DATOS LIMPIOS'!$B$5:$B$493,MATCH(B52,'DATOS LIMPIOS'!$E$5:$E$493,0))</f>
        <v>Flash Sale</v>
      </c>
      <c r="G52" t="str">
        <f>INDEX('DATOS LIMPIOS'!$AH$5:$AH$493,MATCH(B52,'DATOS LIMPIOS'!$E$5:$E$493,0))</f>
        <v>No</v>
      </c>
      <c r="H52" t="str">
        <f>INDEX('DATOS LIMPIOS'!$AN$5:$AN$493,MATCH(B52,'DATOS LIMPIOS'!$E$5:$E$493,0))</f>
        <v>No</v>
      </c>
      <c r="I52" t="str">
        <f>INDEX('DATOS LIMPIOS'!$AM$5:$AM$493,MATCH(B52,'DATOS LIMPIOS'!$E$5:$E$493,0))</f>
        <v>Sí</v>
      </c>
      <c r="J52" t="str">
        <f>INDEX('DATOS LIMPIOS'!$AJ$5:$AJ$493,MATCH(B52,'DATOS LIMPIOS'!$E$5:$E$493,0))</f>
        <v>No</v>
      </c>
      <c r="K52" t="str">
        <f>INDEX('DATOS LIMPIOS'!$AI$5:$AI$493,MATCH(B52,'DATOS LIMPIOS'!$E$5:$E$493,0))</f>
        <v>Sí</v>
      </c>
      <c r="L52" t="str">
        <f>INDEX('DATOS LIMPIOS'!$AR$5:$AR$493,MATCH(B52,'DATOS LIMPIOS'!$E$5:$E$493,0))</f>
        <v>Sí</v>
      </c>
      <c r="N52">
        <f>COUNTIFS('DATOS LIMPIOS'!$E$5:$E$493,B52,'DATOS LIMPIOS'!$T$5:$T$493,"&lt;&gt;Agosto")</f>
        <v>2</v>
      </c>
      <c r="O52">
        <f>IFERROR(AVERAGEIFS('DATOS LIMPIOS'!$M$5:$M$493,'DATOS LIMPIOS'!$E$5:$E$493,B52,'DATOS LIMPIOS'!$T$5:$T$493,"&lt;&gt;Agosto"),"")</f>
        <v>39.292080279249291</v>
      </c>
      <c r="P52" t="str">
        <f t="shared" si="12"/>
        <v>No</v>
      </c>
      <c r="Q52" t="str">
        <f t="shared" si="13"/>
        <v/>
      </c>
      <c r="R52" t="str">
        <f t="shared" si="14"/>
        <v/>
      </c>
      <c r="S52" t="str">
        <f t="shared" si="15"/>
        <v>Resto</v>
      </c>
      <c r="T52">
        <f>SUMIFS('DATOS LIMPIOS'!$M$5:$M$493,'DATOS LIMPIOS'!$E$5:$E$493,B52,'DATOS LIMPIOS'!$T$5:$T$493,"Agosto")</f>
        <v>39.250771264874395</v>
      </c>
      <c r="U52">
        <f>COUNTIFS('DATOS LIMPIOS'!$E$5:$E$493,B52,'DATOS LIMPIOS'!$T$5:$T$493,"Agosto")</f>
        <v>1</v>
      </c>
      <c r="V52">
        <f>COUNTIFS('DATOS LIMPIOS'!$E$5:$E$493,B52,'DATOS LIMPIOS'!$T$5:$T$493,"&lt;&gt;Septiembre")</f>
        <v>2</v>
      </c>
      <c r="W52">
        <f>IFERROR(AVERAGEIFS('DATOS LIMPIOS'!$M$5:$M$493,'DATOS LIMPIOS'!$E$5:$E$493,B52,'DATOS LIMPIOS'!$T$5:$T$493,"&lt;&gt;Septiembre"),"")</f>
        <v>37.845236842855904</v>
      </c>
      <c r="X52" t="str">
        <f t="shared" si="16"/>
        <v>No</v>
      </c>
      <c r="Y52" t="str">
        <f t="shared" si="17"/>
        <v/>
      </c>
      <c r="Z52" t="str">
        <f t="shared" si="18"/>
        <v/>
      </c>
      <c r="AA52" t="str">
        <f t="shared" si="19"/>
        <v>Resto</v>
      </c>
      <c r="AB52">
        <f>SUMIFS('DATOS LIMPIOS'!$M$5:$M$493,'DATOS LIMPIOS'!$E$5:$E$493,B52,'DATOS LIMPIOS'!$T$5:$T$493,"Septiembre")</f>
        <v>42.144458137661175</v>
      </c>
      <c r="AC52">
        <f>COUNTIFS('DATOS LIMPIOS'!$E$5:$E$493,B52,'DATOS LIMPIOS'!$T$5:$T$493,"Septiembre")</f>
        <v>1</v>
      </c>
      <c r="AD52">
        <f>COUNTIFS('DATOS LIMPIOS'!$E$5:$E$493,B52,'DATOS LIMPIOS'!$T$5:$T$493,"&lt;&gt;Octubre")</f>
        <v>2</v>
      </c>
      <c r="AE52">
        <f>IFERROR(AVERAGEIFS('DATOS LIMPIOS'!$M$5:$M$493,'DATOS LIMPIOS'!$E$5:$E$493,B52,'DATOS LIMPIOS'!$T$5:$T$493,"&lt;&gt;Octubre"),"")</f>
        <v>40.697614701267781</v>
      </c>
      <c r="AF52" t="str">
        <f t="shared" si="20"/>
        <v>No</v>
      </c>
      <c r="AG52" t="str">
        <f t="shared" si="21"/>
        <v/>
      </c>
      <c r="AH52" t="str">
        <f t="shared" si="22"/>
        <v/>
      </c>
      <c r="AI52" t="str">
        <f t="shared" si="23"/>
        <v>Resto</v>
      </c>
      <c r="AJ52">
        <f>SUMIFS('DATOS LIMPIOS'!$M$5:$M$493,'DATOS LIMPIOS'!$E$5:$E$493,B52,'DATOS LIMPIOS'!$T$5:$T$493,"Octubre")</f>
        <v>36.439702420837413</v>
      </c>
      <c r="AK52">
        <f>COUNTIFS('DATOS LIMPIOS'!$E$5:$E$493,B52,'DATOS LIMPIOS'!$T$5:$T$493,"Octubre")</f>
        <v>1</v>
      </c>
    </row>
    <row r="53" spans="1:37" x14ac:dyDescent="0.2">
      <c r="A53">
        <v>50</v>
      </c>
      <c r="B53" t="str">
        <f t="array" ref="B53">IFERROR(INDEX('DATOS LIMPIOS'!$E$5:$E$493,MATCH(0,COUNTIF($B$3:B52,'DATOS LIMPIOS'!$E$5:$E$493),0)),"")</f>
        <v>¡Ofertas de Temporada! Listas para ti, regalos perfectos</v>
      </c>
      <c r="C53">
        <f>COUNTIF('DATOS LIMPIOS'!$E$5:$E$493,B53)</f>
        <v>10</v>
      </c>
      <c r="D53">
        <f>AVERAGEIF('DATOS LIMPIOS'!$E$5:$E$493,B53,'DATOS LIMPIOS'!$M$5:$M$493)</f>
        <v>21.434915192427972</v>
      </c>
      <c r="E53">
        <f>AVERAGEIF('DATOS LIMPIOS'!$E$5:$E$493,B53,'DATOS LIMPIOS'!$N$5:$N$493)</f>
        <v>7.2719368394638622</v>
      </c>
      <c r="F53" t="str">
        <f>INDEX('DATOS LIMPIOS'!$B$5:$B$493,MATCH(B53,'DATOS LIMPIOS'!$E$5:$E$493,0))</f>
        <v>Holiday Discounts</v>
      </c>
      <c r="G53" t="str">
        <f>INDEX('DATOS LIMPIOS'!$AH$5:$AH$493,MATCH(B53,'DATOS LIMPIOS'!$E$5:$E$493,0))</f>
        <v>Sí</v>
      </c>
      <c r="H53" t="str">
        <f>INDEX('DATOS LIMPIOS'!$AN$5:$AN$493,MATCH(B53,'DATOS LIMPIOS'!$E$5:$E$493,0))</f>
        <v>No</v>
      </c>
      <c r="I53" t="str">
        <f>INDEX('DATOS LIMPIOS'!$AM$5:$AM$493,MATCH(B53,'DATOS LIMPIOS'!$E$5:$E$493,0))</f>
        <v>Sí</v>
      </c>
      <c r="J53" t="str">
        <f>INDEX('DATOS LIMPIOS'!$AJ$5:$AJ$493,MATCH(B53,'DATOS LIMPIOS'!$E$5:$E$493,0))</f>
        <v>No</v>
      </c>
      <c r="K53" t="str">
        <f>INDEX('DATOS LIMPIOS'!$AI$5:$AI$493,MATCH(B53,'DATOS LIMPIOS'!$E$5:$E$493,0))</f>
        <v>Sí</v>
      </c>
      <c r="L53" t="str">
        <f>INDEX('DATOS LIMPIOS'!$AR$5:$AR$493,MATCH(B53,'DATOS LIMPIOS'!$E$5:$E$493,0))</f>
        <v>Sí</v>
      </c>
      <c r="N53">
        <f>COUNTIFS('DATOS LIMPIOS'!$E$5:$E$493,B53,'DATOS LIMPIOS'!$T$5:$T$493,"&lt;&gt;Agosto")</f>
        <v>6</v>
      </c>
      <c r="O53">
        <f>IFERROR(AVERAGEIFS('DATOS LIMPIOS'!$M$5:$M$493,'DATOS LIMPIOS'!$E$5:$E$493,B53,'DATOS LIMPIOS'!$T$5:$T$493,"&lt;&gt;Agosto"),"")</f>
        <v>15.693435439066457</v>
      </c>
      <c r="P53" t="str">
        <f t="shared" si="12"/>
        <v>Sí</v>
      </c>
      <c r="Q53">
        <f t="shared" si="13"/>
        <v>20</v>
      </c>
      <c r="R53">
        <f t="shared" si="14"/>
        <v>2</v>
      </c>
      <c r="S53" t="str">
        <f t="shared" si="15"/>
        <v>5 peores</v>
      </c>
      <c r="T53">
        <f>SUMIFS('DATOS LIMPIOS'!$M$5:$M$493,'DATOS LIMPIOS'!$E$5:$E$493,B53,'DATOS LIMPIOS'!$T$5:$T$493,"Agosto")</f>
        <v>120.18853928988096</v>
      </c>
      <c r="U53">
        <f>COUNTIFS('DATOS LIMPIOS'!$E$5:$E$493,B53,'DATOS LIMPIOS'!$T$5:$T$493,"Agosto")</f>
        <v>4</v>
      </c>
      <c r="V53">
        <f>COUNTIFS('DATOS LIMPIOS'!$E$5:$E$493,B53,'DATOS LIMPIOS'!$T$5:$T$493,"&lt;&gt;Septiembre")</f>
        <v>7</v>
      </c>
      <c r="W53">
        <f>IFERROR(AVERAGEIFS('DATOS LIMPIOS'!$M$5:$M$493,'DATOS LIMPIOS'!$E$5:$E$493,B53,'DATOS LIMPIOS'!$T$5:$T$493,"&lt;&gt;Septiembre"),"")</f>
        <v>25.071860630746279</v>
      </c>
      <c r="X53" t="str">
        <f t="shared" si="16"/>
        <v>Sí</v>
      </c>
      <c r="Y53">
        <f t="shared" si="17"/>
        <v>15</v>
      </c>
      <c r="Z53">
        <f t="shared" si="18"/>
        <v>11</v>
      </c>
      <c r="AA53" t="str">
        <f t="shared" si="19"/>
        <v>Resto</v>
      </c>
      <c r="AB53">
        <f>SUMIFS('DATOS LIMPIOS'!$M$5:$M$493,'DATOS LIMPIOS'!$E$5:$E$493,B53,'DATOS LIMPIOS'!$T$5:$T$493,"Septiembre")</f>
        <v>38.846127509055748</v>
      </c>
      <c r="AC53">
        <f>COUNTIFS('DATOS LIMPIOS'!$E$5:$E$493,B53,'DATOS LIMPIOS'!$T$5:$T$493,"Septiembre")</f>
        <v>3</v>
      </c>
      <c r="AD53">
        <f>COUNTIFS('DATOS LIMPIOS'!$E$5:$E$493,B53,'DATOS LIMPIOS'!$T$5:$T$493,"&lt;&gt;Octubre")</f>
        <v>7</v>
      </c>
      <c r="AE53">
        <f>IFERROR(AVERAGEIFS('DATOS LIMPIOS'!$M$5:$M$493,'DATOS LIMPIOS'!$E$5:$E$493,B53,'DATOS LIMPIOS'!$T$5:$T$493,"&lt;&gt;Octubre"),"")</f>
        <v>22.719238114133816</v>
      </c>
      <c r="AF53" t="str">
        <f t="shared" si="20"/>
        <v>Sí</v>
      </c>
      <c r="AG53">
        <f t="shared" si="21"/>
        <v>14</v>
      </c>
      <c r="AH53">
        <f t="shared" si="22"/>
        <v>12</v>
      </c>
      <c r="AI53" t="str">
        <f t="shared" si="23"/>
        <v>Resto</v>
      </c>
      <c r="AJ53">
        <f>SUMIFS('DATOS LIMPIOS'!$M$5:$M$493,'DATOS LIMPIOS'!$E$5:$E$493,B53,'DATOS LIMPIOS'!$T$5:$T$493,"Octubre")</f>
        <v>55.314485125342998</v>
      </c>
      <c r="AK53">
        <f>COUNTIFS('DATOS LIMPIOS'!$E$5:$E$493,B53,'DATOS LIMPIOS'!$T$5:$T$493,"Octubre")</f>
        <v>3</v>
      </c>
    </row>
    <row r="54" spans="1:37" x14ac:dyDescent="0.2">
      <c r="A54">
        <v>51</v>
      </c>
      <c r="B54" t="str">
        <f t="array" ref="B54">IFERROR(INDEX('DATOS LIMPIOS'!$E$5:$E$493,MATCH(0,COUNTIF($B$3:B53,'DATOS LIMPIOS'!$E$5:$E$493),0)),"")</f>
        <v>Prepárate para un Ahorro Épico: ¡Flash Sale en toda la tienda!</v>
      </c>
      <c r="C54">
        <f>COUNTIF('DATOS LIMPIOS'!$E$5:$E$493,B54)</f>
        <v>1</v>
      </c>
      <c r="D54">
        <f>AVERAGEIF('DATOS LIMPIOS'!$E$5:$E$493,B54,'DATOS LIMPIOS'!$M$5:$M$493)</f>
        <v>49.696273744445357</v>
      </c>
      <c r="E54">
        <f>AVERAGEIF('DATOS LIMPIOS'!$E$5:$E$493,B54,'DATOS LIMPIOS'!$N$5:$N$493)</f>
        <v>2.4199190384977252</v>
      </c>
      <c r="F54" t="str">
        <f>INDEX('DATOS LIMPIOS'!$B$5:$B$493,MATCH(B54,'DATOS LIMPIOS'!$E$5:$E$493,0))</f>
        <v>Flash Sale</v>
      </c>
      <c r="G54" t="str">
        <f>INDEX('DATOS LIMPIOS'!$AH$5:$AH$493,MATCH(B54,'DATOS LIMPIOS'!$E$5:$E$493,0))</f>
        <v>No</v>
      </c>
      <c r="H54" t="str">
        <f>INDEX('DATOS LIMPIOS'!$AN$5:$AN$493,MATCH(B54,'DATOS LIMPIOS'!$E$5:$E$493,0))</f>
        <v>No</v>
      </c>
      <c r="I54" t="str">
        <f>INDEX('DATOS LIMPIOS'!$AM$5:$AM$493,MATCH(B54,'DATOS LIMPIOS'!$E$5:$E$493,0))</f>
        <v>No</v>
      </c>
      <c r="J54" t="str">
        <f>INDEX('DATOS LIMPIOS'!$AJ$5:$AJ$493,MATCH(B54,'DATOS LIMPIOS'!$E$5:$E$493,0))</f>
        <v>No</v>
      </c>
      <c r="K54" t="str">
        <f>INDEX('DATOS LIMPIOS'!$AI$5:$AI$493,MATCH(B54,'DATOS LIMPIOS'!$E$5:$E$493,0))</f>
        <v>Sí</v>
      </c>
      <c r="L54" t="str">
        <f>INDEX('DATOS LIMPIOS'!$AR$5:$AR$493,MATCH(B54,'DATOS LIMPIOS'!$E$5:$E$493,0))</f>
        <v>No</v>
      </c>
      <c r="N54">
        <f>COUNTIFS('DATOS LIMPIOS'!$E$5:$E$493,B54,'DATOS LIMPIOS'!$T$5:$T$493,"&lt;&gt;Agosto")</f>
        <v>1</v>
      </c>
      <c r="O54">
        <f>IFERROR(AVERAGEIFS('DATOS LIMPIOS'!$M$5:$M$493,'DATOS LIMPIOS'!$E$5:$E$493,B54,'DATOS LIMPIOS'!$T$5:$T$493,"&lt;&gt;Agosto"),"")</f>
        <v>49.696273744445357</v>
      </c>
      <c r="P54" t="str">
        <f t="shared" si="12"/>
        <v>No</v>
      </c>
      <c r="Q54" t="str">
        <f t="shared" si="13"/>
        <v/>
      </c>
      <c r="R54" t="str">
        <f t="shared" si="14"/>
        <v/>
      </c>
      <c r="S54" t="str">
        <f t="shared" si="15"/>
        <v>Resto</v>
      </c>
      <c r="T54">
        <f>SUMIFS('DATOS LIMPIOS'!$M$5:$M$493,'DATOS LIMPIOS'!$E$5:$E$493,B54,'DATOS LIMPIOS'!$T$5:$T$493,"Agosto")</f>
        <v>0</v>
      </c>
      <c r="U54">
        <f>COUNTIFS('DATOS LIMPIOS'!$E$5:$E$493,B54,'DATOS LIMPIOS'!$T$5:$T$493,"Agosto")</f>
        <v>0</v>
      </c>
      <c r="V54">
        <f>COUNTIFS('DATOS LIMPIOS'!$E$5:$E$493,B54,'DATOS LIMPIOS'!$T$5:$T$493,"&lt;&gt;Septiembre")</f>
        <v>0</v>
      </c>
      <c r="W54" t="str">
        <f>IFERROR(AVERAGEIFS('DATOS LIMPIOS'!$M$5:$M$493,'DATOS LIMPIOS'!$E$5:$E$493,B54,'DATOS LIMPIOS'!$T$5:$T$493,"&lt;&gt;Septiembre"),"")</f>
        <v/>
      </c>
      <c r="X54" t="str">
        <f t="shared" si="16"/>
        <v>No</v>
      </c>
      <c r="Y54" t="str">
        <f t="shared" si="17"/>
        <v/>
      </c>
      <c r="Z54" t="str">
        <f t="shared" si="18"/>
        <v/>
      </c>
      <c r="AA54" t="str">
        <f t="shared" si="19"/>
        <v>Resto</v>
      </c>
      <c r="AB54">
        <f>SUMIFS('DATOS LIMPIOS'!$M$5:$M$493,'DATOS LIMPIOS'!$E$5:$E$493,B54,'DATOS LIMPIOS'!$T$5:$T$493,"Septiembre")</f>
        <v>49.696273744445357</v>
      </c>
      <c r="AC54">
        <f>COUNTIFS('DATOS LIMPIOS'!$E$5:$E$493,B54,'DATOS LIMPIOS'!$T$5:$T$493,"Septiembre")</f>
        <v>1</v>
      </c>
      <c r="AD54">
        <f>COUNTIFS('DATOS LIMPIOS'!$E$5:$E$493,B54,'DATOS LIMPIOS'!$T$5:$T$493,"&lt;&gt;Octubre")</f>
        <v>1</v>
      </c>
      <c r="AE54">
        <f>IFERROR(AVERAGEIFS('DATOS LIMPIOS'!$M$5:$M$493,'DATOS LIMPIOS'!$E$5:$E$493,B54,'DATOS LIMPIOS'!$T$5:$T$493,"&lt;&gt;Octubre"),"")</f>
        <v>49.696273744445357</v>
      </c>
      <c r="AF54" t="str">
        <f t="shared" si="20"/>
        <v>No</v>
      </c>
      <c r="AG54" t="str">
        <f t="shared" si="21"/>
        <v/>
      </c>
      <c r="AH54" t="str">
        <f t="shared" si="22"/>
        <v/>
      </c>
      <c r="AI54" t="str">
        <f t="shared" si="23"/>
        <v>Resto</v>
      </c>
      <c r="AJ54">
        <f>SUMIFS('DATOS LIMPIOS'!$M$5:$M$493,'DATOS LIMPIOS'!$E$5:$E$493,B54,'DATOS LIMPIOS'!$T$5:$T$493,"Octubre")</f>
        <v>0</v>
      </c>
      <c r="AK54">
        <f>COUNTIFS('DATOS LIMPIOS'!$E$5:$E$493,B54,'DATOS LIMPIOS'!$T$5:$T$493,"Octubre")</f>
        <v>0</v>
      </c>
    </row>
    <row r="55" spans="1:37" x14ac:dyDescent="0.2">
      <c r="A55">
        <v>52</v>
      </c>
      <c r="B55" t="str">
        <f t="array" ref="B55">IFERROR(INDEX('DATOS LIMPIOS'!$E$5:$E$493,MATCH(0,COUNTIF($B$3:B54,'DATOS LIMPIOS'!$E$5:$E$493),0)),"")</f>
        <v>¡Descuentos que no querrás perderte! L'Oréal para ti</v>
      </c>
      <c r="C55">
        <f>COUNTIF('DATOS LIMPIOS'!$E$5:$E$493,B55)</f>
        <v>5</v>
      </c>
      <c r="D55">
        <f>AVERAGEIF('DATOS LIMPIOS'!$E$5:$E$493,B55,'DATOS LIMPIOS'!$M$5:$M$493)</f>
        <v>19.375383213349011</v>
      </c>
      <c r="E55">
        <f>AVERAGEIF('DATOS LIMPIOS'!$E$5:$E$493,B55,'DATOS LIMPIOS'!$N$5:$N$493)</f>
        <v>10.947102759581009</v>
      </c>
      <c r="F55" t="str">
        <f>INDEX('DATOS LIMPIOS'!$B$5:$B$493,MATCH(B55,'DATOS LIMPIOS'!$E$5:$E$493,0))</f>
        <v>Exclusive Offers</v>
      </c>
      <c r="G55" t="str">
        <f>INDEX('DATOS LIMPIOS'!$AH$5:$AH$493,MATCH(B55,'DATOS LIMPIOS'!$E$5:$E$493,0))</f>
        <v>Sí</v>
      </c>
      <c r="H55" t="str">
        <f>INDEX('DATOS LIMPIOS'!$AN$5:$AN$493,MATCH(B55,'DATOS LIMPIOS'!$E$5:$E$493,0))</f>
        <v>No</v>
      </c>
      <c r="I55" t="str">
        <f>INDEX('DATOS LIMPIOS'!$AM$5:$AM$493,MATCH(B55,'DATOS LIMPIOS'!$E$5:$E$493,0))</f>
        <v>No</v>
      </c>
      <c r="J55" t="str">
        <f>INDEX('DATOS LIMPIOS'!$AJ$5:$AJ$493,MATCH(B55,'DATOS LIMPIOS'!$E$5:$E$493,0))</f>
        <v>No</v>
      </c>
      <c r="K55" t="str">
        <f>INDEX('DATOS LIMPIOS'!$AI$5:$AI$493,MATCH(B55,'DATOS LIMPIOS'!$E$5:$E$493,0))</f>
        <v>Sí</v>
      </c>
      <c r="L55" t="str">
        <f>INDEX('DATOS LIMPIOS'!$AR$5:$AR$493,MATCH(B55,'DATOS LIMPIOS'!$E$5:$E$493,0))</f>
        <v>Sí</v>
      </c>
      <c r="N55">
        <f>COUNTIFS('DATOS LIMPIOS'!$E$5:$E$493,B55,'DATOS LIMPIOS'!$T$5:$T$493,"&lt;&gt;Agosto")</f>
        <v>0</v>
      </c>
      <c r="O55" t="str">
        <f>IFERROR(AVERAGEIFS('DATOS LIMPIOS'!$M$5:$M$493,'DATOS LIMPIOS'!$E$5:$E$493,B55,'DATOS LIMPIOS'!$T$5:$T$493,"&lt;&gt;Agosto"),"")</f>
        <v/>
      </c>
      <c r="P55" t="str">
        <f t="shared" si="12"/>
        <v>No</v>
      </c>
      <c r="Q55" t="str">
        <f t="shared" si="13"/>
        <v/>
      </c>
      <c r="R55" t="str">
        <f t="shared" si="14"/>
        <v/>
      </c>
      <c r="S55" t="str">
        <f t="shared" si="15"/>
        <v>Resto</v>
      </c>
      <c r="T55">
        <f>SUMIFS('DATOS LIMPIOS'!$M$5:$M$493,'DATOS LIMPIOS'!$E$5:$E$493,B55,'DATOS LIMPIOS'!$T$5:$T$493,"Agosto")</f>
        <v>96.876916066745054</v>
      </c>
      <c r="U55">
        <f>COUNTIFS('DATOS LIMPIOS'!$E$5:$E$493,B55,'DATOS LIMPIOS'!$T$5:$T$493,"Agosto")</f>
        <v>5</v>
      </c>
      <c r="V55">
        <f>COUNTIFS('DATOS LIMPIOS'!$E$5:$E$493,B55,'DATOS LIMPIOS'!$T$5:$T$493,"&lt;&gt;Septiembre")</f>
        <v>5</v>
      </c>
      <c r="W55">
        <f>IFERROR(AVERAGEIFS('DATOS LIMPIOS'!$M$5:$M$493,'DATOS LIMPIOS'!$E$5:$E$493,B55,'DATOS LIMPIOS'!$T$5:$T$493,"&lt;&gt;Septiembre"),"")</f>
        <v>19.375383213349011</v>
      </c>
      <c r="X55" t="str">
        <f t="shared" si="16"/>
        <v>Sí</v>
      </c>
      <c r="Y55">
        <f t="shared" si="17"/>
        <v>23</v>
      </c>
      <c r="Z55">
        <f t="shared" si="18"/>
        <v>3</v>
      </c>
      <c r="AA55" t="str">
        <f t="shared" si="19"/>
        <v>5 peores</v>
      </c>
      <c r="AB55">
        <f>SUMIFS('DATOS LIMPIOS'!$M$5:$M$493,'DATOS LIMPIOS'!$E$5:$E$493,B55,'DATOS LIMPIOS'!$T$5:$T$493,"Septiembre")</f>
        <v>0</v>
      </c>
      <c r="AC55">
        <f>COUNTIFS('DATOS LIMPIOS'!$E$5:$E$493,B55,'DATOS LIMPIOS'!$T$5:$T$493,"Septiembre")</f>
        <v>0</v>
      </c>
      <c r="AD55">
        <f>COUNTIFS('DATOS LIMPIOS'!$E$5:$E$493,B55,'DATOS LIMPIOS'!$T$5:$T$493,"&lt;&gt;Octubre")</f>
        <v>5</v>
      </c>
      <c r="AE55">
        <f>IFERROR(AVERAGEIFS('DATOS LIMPIOS'!$M$5:$M$493,'DATOS LIMPIOS'!$E$5:$E$493,B55,'DATOS LIMPIOS'!$T$5:$T$493,"&lt;&gt;Octubre"),"")</f>
        <v>19.375383213349011</v>
      </c>
      <c r="AF55" t="str">
        <f t="shared" si="20"/>
        <v>Sí</v>
      </c>
      <c r="AG55">
        <f t="shared" si="21"/>
        <v>20</v>
      </c>
      <c r="AH55">
        <f t="shared" si="22"/>
        <v>6</v>
      </c>
      <c r="AI55" t="str">
        <f t="shared" si="23"/>
        <v>Resto</v>
      </c>
      <c r="AJ55">
        <f>SUMIFS('DATOS LIMPIOS'!$M$5:$M$493,'DATOS LIMPIOS'!$E$5:$E$493,B55,'DATOS LIMPIOS'!$T$5:$T$493,"Octubre")</f>
        <v>0</v>
      </c>
      <c r="AK55">
        <f>COUNTIFS('DATOS LIMPIOS'!$E$5:$E$493,B55,'DATOS LIMPIOS'!$T$5:$T$493,"Octubre")</f>
        <v>0</v>
      </c>
    </row>
    <row r="56" spans="1:37" x14ac:dyDescent="0.2">
      <c r="A56">
        <v>53</v>
      </c>
      <c r="B56" t="str">
        <f t="array" ref="B56">IFERROR(INDEX('DATOS LIMPIOS'!$E$5:$E$493,MATCH(0,COUNTIF($B$3:B55,'DATOS LIMPIOS'!$E$5:$E$493),0)),"")</f>
        <v>¡Última Oportunidad! Descuentos de otro nivel en L'Oréal</v>
      </c>
      <c r="C56">
        <f>COUNTIF('DATOS LIMPIOS'!$E$5:$E$493,B56)</f>
        <v>1</v>
      </c>
      <c r="D56">
        <f>AVERAGEIF('DATOS LIMPIOS'!$E$5:$E$493,B56,'DATOS LIMPIOS'!$M$5:$M$493)</f>
        <v>45.547169571920087</v>
      </c>
      <c r="E56">
        <f>AVERAGEIF('DATOS LIMPIOS'!$E$5:$E$493,B56,'DATOS LIMPIOS'!$N$5:$N$493)</f>
        <v>13.681301136231466</v>
      </c>
      <c r="F56" t="str">
        <f>INDEX('DATOS LIMPIOS'!$B$5:$B$493,MATCH(B56,'DATOS LIMPIOS'!$E$5:$E$493,0))</f>
        <v>Flash Sale</v>
      </c>
      <c r="G56" t="str">
        <f>INDEX('DATOS LIMPIOS'!$AH$5:$AH$493,MATCH(B56,'DATOS LIMPIOS'!$E$5:$E$493,0))</f>
        <v>Sí</v>
      </c>
      <c r="H56" t="str">
        <f>INDEX('DATOS LIMPIOS'!$AN$5:$AN$493,MATCH(B56,'DATOS LIMPIOS'!$E$5:$E$493,0))</f>
        <v>No</v>
      </c>
      <c r="I56" t="str">
        <f>INDEX('DATOS LIMPIOS'!$AM$5:$AM$493,MATCH(B56,'DATOS LIMPIOS'!$E$5:$E$493,0))</f>
        <v>No</v>
      </c>
      <c r="J56" t="str">
        <f>INDEX('DATOS LIMPIOS'!$AJ$5:$AJ$493,MATCH(B56,'DATOS LIMPIOS'!$E$5:$E$493,0))</f>
        <v>Sí</v>
      </c>
      <c r="K56" t="str">
        <f>INDEX('DATOS LIMPIOS'!$AI$5:$AI$493,MATCH(B56,'DATOS LIMPIOS'!$E$5:$E$493,0))</f>
        <v>Sí</v>
      </c>
      <c r="L56" t="str">
        <f>INDEX('DATOS LIMPIOS'!$AR$5:$AR$493,MATCH(B56,'DATOS LIMPIOS'!$E$5:$E$493,0))</f>
        <v>Sí</v>
      </c>
      <c r="N56">
        <f>COUNTIFS('DATOS LIMPIOS'!$E$5:$E$493,B56,'DATOS LIMPIOS'!$T$5:$T$493,"&lt;&gt;Agosto")</f>
        <v>1</v>
      </c>
      <c r="O56">
        <f>IFERROR(AVERAGEIFS('DATOS LIMPIOS'!$M$5:$M$493,'DATOS LIMPIOS'!$E$5:$E$493,B56,'DATOS LIMPIOS'!$T$5:$T$493,"&lt;&gt;Agosto"),"")</f>
        <v>45.547169571920087</v>
      </c>
      <c r="P56" t="str">
        <f t="shared" si="12"/>
        <v>No</v>
      </c>
      <c r="Q56" t="str">
        <f t="shared" si="13"/>
        <v/>
      </c>
      <c r="R56" t="str">
        <f t="shared" si="14"/>
        <v/>
      </c>
      <c r="S56" t="str">
        <f t="shared" si="15"/>
        <v>Resto</v>
      </c>
      <c r="T56">
        <f>SUMIFS('DATOS LIMPIOS'!$M$5:$M$493,'DATOS LIMPIOS'!$E$5:$E$493,B56,'DATOS LIMPIOS'!$T$5:$T$493,"Agosto")</f>
        <v>0</v>
      </c>
      <c r="U56">
        <f>COUNTIFS('DATOS LIMPIOS'!$E$5:$E$493,B56,'DATOS LIMPIOS'!$T$5:$T$493,"Agosto")</f>
        <v>0</v>
      </c>
      <c r="V56">
        <f>COUNTIFS('DATOS LIMPIOS'!$E$5:$E$493,B56,'DATOS LIMPIOS'!$T$5:$T$493,"&lt;&gt;Septiembre")</f>
        <v>1</v>
      </c>
      <c r="W56">
        <f>IFERROR(AVERAGEIFS('DATOS LIMPIOS'!$M$5:$M$493,'DATOS LIMPIOS'!$E$5:$E$493,B56,'DATOS LIMPIOS'!$T$5:$T$493,"&lt;&gt;Septiembre"),"")</f>
        <v>45.547169571920087</v>
      </c>
      <c r="X56" t="str">
        <f t="shared" si="16"/>
        <v>No</v>
      </c>
      <c r="Y56" t="str">
        <f t="shared" si="17"/>
        <v/>
      </c>
      <c r="Z56" t="str">
        <f t="shared" si="18"/>
        <v/>
      </c>
      <c r="AA56" t="str">
        <f t="shared" si="19"/>
        <v>Resto</v>
      </c>
      <c r="AB56">
        <f>SUMIFS('DATOS LIMPIOS'!$M$5:$M$493,'DATOS LIMPIOS'!$E$5:$E$493,B56,'DATOS LIMPIOS'!$T$5:$T$493,"Septiembre")</f>
        <v>0</v>
      </c>
      <c r="AC56">
        <f>COUNTIFS('DATOS LIMPIOS'!$E$5:$E$493,B56,'DATOS LIMPIOS'!$T$5:$T$493,"Septiembre")</f>
        <v>0</v>
      </c>
      <c r="AD56">
        <f>COUNTIFS('DATOS LIMPIOS'!$E$5:$E$493,B56,'DATOS LIMPIOS'!$T$5:$T$493,"&lt;&gt;Octubre")</f>
        <v>0</v>
      </c>
      <c r="AE56" t="str">
        <f>IFERROR(AVERAGEIFS('DATOS LIMPIOS'!$M$5:$M$493,'DATOS LIMPIOS'!$E$5:$E$493,B56,'DATOS LIMPIOS'!$T$5:$T$493,"&lt;&gt;Octubre"),"")</f>
        <v/>
      </c>
      <c r="AF56" t="str">
        <f t="shared" si="20"/>
        <v>No</v>
      </c>
      <c r="AG56" t="str">
        <f t="shared" si="21"/>
        <v/>
      </c>
      <c r="AH56" t="str">
        <f t="shared" si="22"/>
        <v/>
      </c>
      <c r="AI56" t="str">
        <f t="shared" si="23"/>
        <v>Resto</v>
      </c>
      <c r="AJ56">
        <f>SUMIFS('DATOS LIMPIOS'!$M$5:$M$493,'DATOS LIMPIOS'!$E$5:$E$493,B56,'DATOS LIMPIOS'!$T$5:$T$493,"Octubre")</f>
        <v>45.547169571920087</v>
      </c>
      <c r="AK56">
        <f>COUNTIFS('DATOS LIMPIOS'!$E$5:$E$493,B56,'DATOS LIMPIOS'!$T$5:$T$493,"Octubre")</f>
        <v>1</v>
      </c>
    </row>
    <row r="57" spans="1:37" x14ac:dyDescent="0.2">
      <c r="A57">
        <v>54</v>
      </c>
      <c r="B57" t="str">
        <f t="array" ref="B57">IFERROR(INDEX('DATOS LIMPIOS'!$E$5:$E$493,MATCH(0,COUNTIF($B$3:B56,'DATOS LIMPIOS'!$E$5:$E$493),0)),"")</f>
        <v>¡Exclusivo para nuestros clientes VIP! Acceso limitado</v>
      </c>
      <c r="C57">
        <f>COUNTIF('DATOS LIMPIOS'!$E$5:$E$493,B57)</f>
        <v>8</v>
      </c>
      <c r="D57">
        <f>AVERAGEIF('DATOS LIMPIOS'!$E$5:$E$493,B57,'DATOS LIMPIOS'!$M$5:$M$493)</f>
        <v>21.363100647493706</v>
      </c>
      <c r="E57">
        <f>AVERAGEIF('DATOS LIMPIOS'!$E$5:$E$493,B57,'DATOS LIMPIOS'!$N$5:$N$493)</f>
        <v>7.2412428235406834</v>
      </c>
      <c r="F57" t="str">
        <f>INDEX('DATOS LIMPIOS'!$B$5:$B$493,MATCH(B57,'DATOS LIMPIOS'!$E$5:$E$493,0))</f>
        <v>Exclusive Offers</v>
      </c>
      <c r="G57" t="str">
        <f>INDEX('DATOS LIMPIOS'!$AH$5:$AH$493,MATCH(B57,'DATOS LIMPIOS'!$E$5:$E$493,0))</f>
        <v>No</v>
      </c>
      <c r="H57" t="str">
        <f>INDEX('DATOS LIMPIOS'!$AN$5:$AN$493,MATCH(B57,'DATOS LIMPIOS'!$E$5:$E$493,0))</f>
        <v>Sí</v>
      </c>
      <c r="I57" t="str">
        <f>INDEX('DATOS LIMPIOS'!$AM$5:$AM$493,MATCH(B57,'DATOS LIMPIOS'!$E$5:$E$493,0))</f>
        <v>No</v>
      </c>
      <c r="J57" t="str">
        <f>INDEX('DATOS LIMPIOS'!$AJ$5:$AJ$493,MATCH(B57,'DATOS LIMPIOS'!$E$5:$E$493,0))</f>
        <v>No</v>
      </c>
      <c r="K57" t="str">
        <f>INDEX('DATOS LIMPIOS'!$AI$5:$AI$493,MATCH(B57,'DATOS LIMPIOS'!$E$5:$E$493,0))</f>
        <v>Sí</v>
      </c>
      <c r="L57" t="str">
        <f>INDEX('DATOS LIMPIOS'!$AR$5:$AR$493,MATCH(B57,'DATOS LIMPIOS'!$E$5:$E$493,0))</f>
        <v>Sí</v>
      </c>
      <c r="N57">
        <f>COUNTIFS('DATOS LIMPIOS'!$E$5:$E$493,B57,'DATOS LIMPIOS'!$T$5:$T$493,"&lt;&gt;Agosto")</f>
        <v>3</v>
      </c>
      <c r="O57">
        <f>IFERROR(AVERAGEIFS('DATOS LIMPIOS'!$M$5:$M$493,'DATOS LIMPIOS'!$E$5:$E$493,B57,'DATOS LIMPIOS'!$T$5:$T$493,"&lt;&gt;Agosto"),"")</f>
        <v>20.461754803910523</v>
      </c>
      <c r="P57" t="str">
        <f t="shared" si="12"/>
        <v>No</v>
      </c>
      <c r="Q57" t="str">
        <f t="shared" si="13"/>
        <v/>
      </c>
      <c r="R57" t="str">
        <f t="shared" si="14"/>
        <v/>
      </c>
      <c r="S57" t="str">
        <f t="shared" si="15"/>
        <v>Resto</v>
      </c>
      <c r="T57">
        <f>SUMIFS('DATOS LIMPIOS'!$M$5:$M$493,'DATOS LIMPIOS'!$E$5:$E$493,B57,'DATOS LIMPIOS'!$T$5:$T$493,"Agosto")</f>
        <v>109.51954076821805</v>
      </c>
      <c r="U57">
        <f>COUNTIFS('DATOS LIMPIOS'!$E$5:$E$493,B57,'DATOS LIMPIOS'!$T$5:$T$493,"Agosto")</f>
        <v>5</v>
      </c>
      <c r="V57">
        <f>COUNTIFS('DATOS LIMPIOS'!$E$5:$E$493,B57,'DATOS LIMPIOS'!$T$5:$T$493,"&lt;&gt;Septiembre")</f>
        <v>8</v>
      </c>
      <c r="W57">
        <f>IFERROR(AVERAGEIFS('DATOS LIMPIOS'!$M$5:$M$493,'DATOS LIMPIOS'!$E$5:$E$493,B57,'DATOS LIMPIOS'!$T$5:$T$493,"&lt;&gt;Septiembre"),"")</f>
        <v>21.363100647493706</v>
      </c>
      <c r="X57" t="str">
        <f t="shared" si="16"/>
        <v>Sí</v>
      </c>
      <c r="Y57">
        <f t="shared" si="17"/>
        <v>19</v>
      </c>
      <c r="Z57">
        <f t="shared" si="18"/>
        <v>7</v>
      </c>
      <c r="AA57" t="str">
        <f t="shared" si="19"/>
        <v>Resto</v>
      </c>
      <c r="AB57">
        <f>SUMIFS('DATOS LIMPIOS'!$M$5:$M$493,'DATOS LIMPIOS'!$E$5:$E$493,B57,'DATOS LIMPIOS'!$T$5:$T$493,"Septiembre")</f>
        <v>0</v>
      </c>
      <c r="AC57">
        <f>COUNTIFS('DATOS LIMPIOS'!$E$5:$E$493,B57,'DATOS LIMPIOS'!$T$5:$T$493,"Septiembre")</f>
        <v>0</v>
      </c>
      <c r="AD57">
        <f>COUNTIFS('DATOS LIMPIOS'!$E$5:$E$493,B57,'DATOS LIMPIOS'!$T$5:$T$493,"&lt;&gt;Octubre")</f>
        <v>5</v>
      </c>
      <c r="AE57">
        <f>IFERROR(AVERAGEIFS('DATOS LIMPIOS'!$M$5:$M$493,'DATOS LIMPIOS'!$E$5:$E$493,B57,'DATOS LIMPIOS'!$T$5:$T$493,"&lt;&gt;Octubre"),"")</f>
        <v>21.903908153643609</v>
      </c>
      <c r="AF57" t="str">
        <f t="shared" si="20"/>
        <v>Sí</v>
      </c>
      <c r="AG57">
        <f t="shared" si="21"/>
        <v>15</v>
      </c>
      <c r="AH57">
        <f t="shared" si="22"/>
        <v>11</v>
      </c>
      <c r="AI57" t="str">
        <f t="shared" si="23"/>
        <v>Resto</v>
      </c>
      <c r="AJ57">
        <f>SUMIFS('DATOS LIMPIOS'!$M$5:$M$493,'DATOS LIMPIOS'!$E$5:$E$493,B57,'DATOS LIMPIOS'!$T$5:$T$493,"Octubre")</f>
        <v>61.385264411731569</v>
      </c>
      <c r="AK57">
        <f>COUNTIFS('DATOS LIMPIOS'!$E$5:$E$493,B57,'DATOS LIMPIOS'!$T$5:$T$493,"Octubre")</f>
        <v>3</v>
      </c>
    </row>
    <row r="58" spans="1:37" x14ac:dyDescent="0.2">
      <c r="A58">
        <v>55</v>
      </c>
      <c r="B58" t="str">
        <f t="array" ref="B58">IFERROR(INDEX('DATOS LIMPIOS'!$E$5:$E$493,MATCH(0,COUNTIF($B$3:B57,'DATOS LIMPIOS'!$E$5:$E$493),0)),"")</f>
        <v>¡Es hora de celebrar! Descuentos festivos, L'Oréal para ti</v>
      </c>
      <c r="C58">
        <f>COUNTIF('DATOS LIMPIOS'!$E$5:$E$493,B58)</f>
        <v>5</v>
      </c>
      <c r="D58">
        <f>AVERAGEIF('DATOS LIMPIOS'!$E$5:$E$493,B58,'DATOS LIMPIOS'!$M$5:$M$493)</f>
        <v>19.100010084099871</v>
      </c>
      <c r="E58">
        <f>AVERAGEIF('DATOS LIMPIOS'!$E$5:$E$493,B58,'DATOS LIMPIOS'!$N$5:$N$493)</f>
        <v>9.0302145958733142</v>
      </c>
      <c r="F58" t="str">
        <f>INDEX('DATOS LIMPIOS'!$B$5:$B$493,MATCH(B58,'DATOS LIMPIOS'!$E$5:$E$493,0))</f>
        <v>Holiday Discounts</v>
      </c>
      <c r="G58" t="str">
        <f>INDEX('DATOS LIMPIOS'!$AH$5:$AH$493,MATCH(B58,'DATOS LIMPIOS'!$E$5:$E$493,0))</f>
        <v>Sí</v>
      </c>
      <c r="H58" t="str">
        <f>INDEX('DATOS LIMPIOS'!$AN$5:$AN$493,MATCH(B58,'DATOS LIMPIOS'!$E$5:$E$493,0))</f>
        <v>No</v>
      </c>
      <c r="I58" t="str">
        <f>INDEX('DATOS LIMPIOS'!$AM$5:$AM$493,MATCH(B58,'DATOS LIMPIOS'!$E$5:$E$493,0))</f>
        <v>No</v>
      </c>
      <c r="J58" t="str">
        <f>INDEX('DATOS LIMPIOS'!$AJ$5:$AJ$493,MATCH(B58,'DATOS LIMPIOS'!$E$5:$E$493,0))</f>
        <v>No</v>
      </c>
      <c r="K58" t="str">
        <f>INDEX('DATOS LIMPIOS'!$AI$5:$AI$493,MATCH(B58,'DATOS LIMPIOS'!$E$5:$E$493,0))</f>
        <v>Sí</v>
      </c>
      <c r="L58" t="str">
        <f>INDEX('DATOS LIMPIOS'!$AR$5:$AR$493,MATCH(B58,'DATOS LIMPIOS'!$E$5:$E$493,0))</f>
        <v>Sí</v>
      </c>
      <c r="N58">
        <f>COUNTIFS('DATOS LIMPIOS'!$E$5:$E$493,B58,'DATOS LIMPIOS'!$T$5:$T$493,"&lt;&gt;Agosto")</f>
        <v>4</v>
      </c>
      <c r="O58">
        <f>IFERROR(AVERAGEIFS('DATOS LIMPIOS'!$M$5:$M$493,'DATOS LIMPIOS'!$E$5:$E$493,B58,'DATOS LIMPIOS'!$T$5:$T$493,"&lt;&gt;Agosto"),"")</f>
        <v>19.912496803697884</v>
      </c>
      <c r="P58" t="str">
        <f t="shared" si="12"/>
        <v>No</v>
      </c>
      <c r="Q58" t="str">
        <f t="shared" si="13"/>
        <v/>
      </c>
      <c r="R58" t="str">
        <f t="shared" si="14"/>
        <v/>
      </c>
      <c r="S58" t="str">
        <f t="shared" si="15"/>
        <v>Resto</v>
      </c>
      <c r="T58">
        <f>SUMIFS('DATOS LIMPIOS'!$M$5:$M$493,'DATOS LIMPIOS'!$E$5:$E$493,B58,'DATOS LIMPIOS'!$T$5:$T$493,"Agosto")</f>
        <v>15.850063205707796</v>
      </c>
      <c r="U58">
        <f>COUNTIFS('DATOS LIMPIOS'!$E$5:$E$493,B58,'DATOS LIMPIOS'!$T$5:$T$493,"Agosto")</f>
        <v>1</v>
      </c>
      <c r="V58">
        <f>COUNTIFS('DATOS LIMPIOS'!$E$5:$E$493,B58,'DATOS LIMPIOS'!$T$5:$T$493,"&lt;&gt;Septiembre")</f>
        <v>1</v>
      </c>
      <c r="W58">
        <f>IFERROR(AVERAGEIFS('DATOS LIMPIOS'!$M$5:$M$493,'DATOS LIMPIOS'!$E$5:$E$493,B58,'DATOS LIMPIOS'!$T$5:$T$493,"&lt;&gt;Septiembre"),"")</f>
        <v>15.850063205707796</v>
      </c>
      <c r="X58" t="str">
        <f t="shared" si="16"/>
        <v>No</v>
      </c>
      <c r="Y58" t="str">
        <f t="shared" si="17"/>
        <v/>
      </c>
      <c r="Z58" t="str">
        <f t="shared" si="18"/>
        <v/>
      </c>
      <c r="AA58" t="str">
        <f t="shared" si="19"/>
        <v>Resto</v>
      </c>
      <c r="AB58">
        <f>SUMIFS('DATOS LIMPIOS'!$M$5:$M$493,'DATOS LIMPIOS'!$E$5:$E$493,B58,'DATOS LIMPIOS'!$T$5:$T$493,"Septiembre")</f>
        <v>79.649987214791537</v>
      </c>
      <c r="AC58">
        <f>COUNTIFS('DATOS LIMPIOS'!$E$5:$E$493,B58,'DATOS LIMPIOS'!$T$5:$T$493,"Septiembre")</f>
        <v>4</v>
      </c>
      <c r="AD58">
        <f>COUNTIFS('DATOS LIMPIOS'!$E$5:$E$493,B58,'DATOS LIMPIOS'!$T$5:$T$493,"&lt;&gt;Octubre")</f>
        <v>5</v>
      </c>
      <c r="AE58">
        <f>IFERROR(AVERAGEIFS('DATOS LIMPIOS'!$M$5:$M$493,'DATOS LIMPIOS'!$E$5:$E$493,B58,'DATOS LIMPIOS'!$T$5:$T$493,"&lt;&gt;Octubre"),"")</f>
        <v>19.100010084099871</v>
      </c>
      <c r="AF58" t="str">
        <f t="shared" si="20"/>
        <v>Sí</v>
      </c>
      <c r="AG58">
        <f t="shared" si="21"/>
        <v>21</v>
      </c>
      <c r="AH58">
        <f t="shared" si="22"/>
        <v>5</v>
      </c>
      <c r="AI58" t="str">
        <f t="shared" si="23"/>
        <v>5 peores</v>
      </c>
      <c r="AJ58">
        <f>SUMIFS('DATOS LIMPIOS'!$M$5:$M$493,'DATOS LIMPIOS'!$E$5:$E$493,B58,'DATOS LIMPIOS'!$T$5:$T$493,"Octubre")</f>
        <v>0</v>
      </c>
      <c r="AK58">
        <f>COUNTIFS('DATOS LIMPIOS'!$E$5:$E$493,B58,'DATOS LIMPIOS'!$T$5:$T$493,"Octubre")</f>
        <v>0</v>
      </c>
    </row>
    <row r="59" spans="1:37" x14ac:dyDescent="0.2">
      <c r="A59">
        <v>56</v>
      </c>
      <c r="B59" t="str">
        <f t="array" ref="B59">IFERROR(INDEX('DATOS LIMPIOS'!$E$5:$E$493,MATCH(0,COUNTIF($B$3:B58,'DATOS LIMPIOS'!$E$5:$E$493),0)),"")</f>
        <v>¡El futuro de tu piel ha llegado! Nuevo Producto revolucionario</v>
      </c>
      <c r="C59">
        <f>COUNTIF('DATOS LIMPIOS'!$E$5:$E$493,B59)</f>
        <v>25</v>
      </c>
      <c r="D59">
        <f>AVERAGEIF('DATOS LIMPIOS'!$E$5:$E$493,B59,'DATOS LIMPIOS'!$M$5:$M$493)</f>
        <v>36.132518317209367</v>
      </c>
      <c r="E59">
        <f>AVERAGEIF('DATOS LIMPIOS'!$E$5:$E$493,B59,'DATOS LIMPIOS'!$N$5:$N$493)</f>
        <v>12.286279963650317</v>
      </c>
      <c r="F59" t="str">
        <f>INDEX('DATOS LIMPIOS'!$B$5:$B$493,MATCH(B59,'DATOS LIMPIOS'!$E$5:$E$493,0))</f>
        <v>New Product Launch</v>
      </c>
      <c r="G59" t="str">
        <f>INDEX('DATOS LIMPIOS'!$AH$5:$AH$493,MATCH(B59,'DATOS LIMPIOS'!$E$5:$E$493,0))</f>
        <v>No</v>
      </c>
      <c r="H59" t="str">
        <f>INDEX('DATOS LIMPIOS'!$AN$5:$AN$493,MATCH(B59,'DATOS LIMPIOS'!$E$5:$E$493,0))</f>
        <v>No</v>
      </c>
      <c r="I59" t="str">
        <f>INDEX('DATOS LIMPIOS'!$AM$5:$AM$493,MATCH(B59,'DATOS LIMPIOS'!$E$5:$E$493,0))</f>
        <v>Sí</v>
      </c>
      <c r="J59" t="str">
        <f>INDEX('DATOS LIMPIOS'!$AJ$5:$AJ$493,MATCH(B59,'DATOS LIMPIOS'!$E$5:$E$493,0))</f>
        <v>No</v>
      </c>
      <c r="K59" t="str">
        <f>INDEX('DATOS LIMPIOS'!$AI$5:$AI$493,MATCH(B59,'DATOS LIMPIOS'!$E$5:$E$493,0))</f>
        <v>No</v>
      </c>
      <c r="L59" t="str">
        <f>INDEX('DATOS LIMPIOS'!$AR$5:$AR$493,MATCH(B59,'DATOS LIMPIOS'!$E$5:$E$493,0))</f>
        <v>No</v>
      </c>
      <c r="N59">
        <f>COUNTIFS('DATOS LIMPIOS'!$E$5:$E$493,B59,'DATOS LIMPIOS'!$T$5:$T$493,"&lt;&gt;Agosto")</f>
        <v>22</v>
      </c>
      <c r="O59">
        <f>IFERROR(AVERAGEIFS('DATOS LIMPIOS'!$M$5:$M$493,'DATOS LIMPIOS'!$E$5:$E$493,B59,'DATOS LIMPIOS'!$T$5:$T$493,"&lt;&gt;Agosto"),"")</f>
        <v>36.193121090756463</v>
      </c>
      <c r="P59" t="str">
        <f t="shared" si="12"/>
        <v>Sí</v>
      </c>
      <c r="Q59">
        <f t="shared" si="13"/>
        <v>6</v>
      </c>
      <c r="R59">
        <f t="shared" si="14"/>
        <v>16</v>
      </c>
      <c r="S59" t="str">
        <f t="shared" si="15"/>
        <v>Resto</v>
      </c>
      <c r="T59">
        <f>SUMIFS('DATOS LIMPIOS'!$M$5:$M$493,'DATOS LIMPIOS'!$E$5:$E$493,B59,'DATOS LIMPIOS'!$T$5:$T$493,"Agosto")</f>
        <v>107.06429393359204</v>
      </c>
      <c r="U59">
        <f>COUNTIFS('DATOS LIMPIOS'!$E$5:$E$493,B59,'DATOS LIMPIOS'!$T$5:$T$493,"Agosto")</f>
        <v>3</v>
      </c>
      <c r="V59">
        <f>COUNTIFS('DATOS LIMPIOS'!$E$5:$E$493,B59,'DATOS LIMPIOS'!$T$5:$T$493,"&lt;&gt;Septiembre")</f>
        <v>16</v>
      </c>
      <c r="W59">
        <f>IFERROR(AVERAGEIFS('DATOS LIMPIOS'!$M$5:$M$493,'DATOS LIMPIOS'!$E$5:$E$493,B59,'DATOS LIMPIOS'!$T$5:$T$493,"&lt;&gt;Septiembre"),"")</f>
        <v>36.729044457138798</v>
      </c>
      <c r="X59" t="str">
        <f t="shared" si="16"/>
        <v>Sí</v>
      </c>
      <c r="Y59">
        <f t="shared" si="17"/>
        <v>6</v>
      </c>
      <c r="Z59">
        <f t="shared" si="18"/>
        <v>20</v>
      </c>
      <c r="AA59" t="str">
        <f t="shared" si="19"/>
        <v>Resto</v>
      </c>
      <c r="AB59">
        <f>SUMIFS('DATOS LIMPIOS'!$M$5:$M$493,'DATOS LIMPIOS'!$E$5:$E$493,B59,'DATOS LIMPIOS'!$T$5:$T$493,"Septiembre")</f>
        <v>315.64824661601341</v>
      </c>
      <c r="AC59">
        <f>COUNTIFS('DATOS LIMPIOS'!$E$5:$E$493,B59,'DATOS LIMPIOS'!$T$5:$T$493,"Septiembre")</f>
        <v>9</v>
      </c>
      <c r="AD59">
        <f>COUNTIFS('DATOS LIMPIOS'!$E$5:$E$493,B59,'DATOS LIMPIOS'!$T$5:$T$493,"&lt;&gt;Octubre")</f>
        <v>12</v>
      </c>
      <c r="AE59">
        <f>IFERROR(AVERAGEIFS('DATOS LIMPIOS'!$M$5:$M$493,'DATOS LIMPIOS'!$E$5:$E$493,B59,'DATOS LIMPIOS'!$T$5:$T$493,"&lt;&gt;Octubre"),"")</f>
        <v>35.226045045800461</v>
      </c>
      <c r="AF59" t="str">
        <f t="shared" si="20"/>
        <v>Sí</v>
      </c>
      <c r="AG59">
        <f t="shared" si="21"/>
        <v>7</v>
      </c>
      <c r="AH59">
        <f t="shared" si="22"/>
        <v>19</v>
      </c>
      <c r="AI59" t="str">
        <f t="shared" si="23"/>
        <v>Resto</v>
      </c>
      <c r="AJ59">
        <f>SUMIFS('DATOS LIMPIOS'!$M$5:$M$493,'DATOS LIMPIOS'!$E$5:$E$493,B59,'DATOS LIMPIOS'!$T$5:$T$493,"Octubre")</f>
        <v>480.60041738062881</v>
      </c>
      <c r="AK59">
        <f>COUNTIFS('DATOS LIMPIOS'!$E$5:$E$493,B59,'DATOS LIMPIOS'!$T$5:$T$493,"Octubre")</f>
        <v>13</v>
      </c>
    </row>
    <row r="60" spans="1:37" x14ac:dyDescent="0.2">
      <c r="A60">
        <v>57</v>
      </c>
      <c r="B60" t="str">
        <f t="array" ref="B60">IFERROR(INDEX('DATOS LIMPIOS'!$E$5:$E$493,MATCH(0,COUNTIF($B$3:B59,'DATOS LIMPIOS'!$E$5:$E$493),0)),"")</f>
        <v>¡Aprovecha los descuentos! Temporada de Fiestas, beauty deals</v>
      </c>
      <c r="C60">
        <f>COUNTIF('DATOS LIMPIOS'!$E$5:$E$493,B60)</f>
        <v>9</v>
      </c>
      <c r="D60">
        <f>AVERAGEIF('DATOS LIMPIOS'!$E$5:$E$493,B60,'DATOS LIMPIOS'!$M$5:$M$493)</f>
        <v>35.565837226891659</v>
      </c>
      <c r="E60">
        <f>AVERAGEIF('DATOS LIMPIOS'!$E$5:$E$493,B60,'DATOS LIMPIOS'!$N$5:$N$493)</f>
        <v>9.1636304893164979</v>
      </c>
      <c r="F60" t="str">
        <f>INDEX('DATOS LIMPIOS'!$B$5:$B$493,MATCH(B60,'DATOS LIMPIOS'!$E$5:$E$493,0))</f>
        <v>Holiday Discounts</v>
      </c>
      <c r="G60" t="str">
        <f>INDEX('DATOS LIMPIOS'!$AH$5:$AH$493,MATCH(B60,'DATOS LIMPIOS'!$E$5:$E$493,0))</f>
        <v>No</v>
      </c>
      <c r="H60" t="str">
        <f>INDEX('DATOS LIMPIOS'!$AN$5:$AN$493,MATCH(B60,'DATOS LIMPIOS'!$E$5:$E$493,0))</f>
        <v>No</v>
      </c>
      <c r="I60" t="str">
        <f>INDEX('DATOS LIMPIOS'!$AM$5:$AM$493,MATCH(B60,'DATOS LIMPIOS'!$E$5:$E$493,0))</f>
        <v>No</v>
      </c>
      <c r="J60" t="str">
        <f>INDEX('DATOS LIMPIOS'!$AJ$5:$AJ$493,MATCH(B60,'DATOS LIMPIOS'!$E$5:$E$493,0))</f>
        <v>No</v>
      </c>
      <c r="K60" t="str">
        <f>INDEX('DATOS LIMPIOS'!$AI$5:$AI$493,MATCH(B60,'DATOS LIMPIOS'!$E$5:$E$493,0))</f>
        <v>Sí</v>
      </c>
      <c r="L60" t="str">
        <f>INDEX('DATOS LIMPIOS'!$AR$5:$AR$493,MATCH(B60,'DATOS LIMPIOS'!$E$5:$E$493,0))</f>
        <v>No</v>
      </c>
      <c r="N60">
        <f>COUNTIFS('DATOS LIMPIOS'!$E$5:$E$493,B60,'DATOS LIMPIOS'!$T$5:$T$493,"&lt;&gt;Agosto")</f>
        <v>7</v>
      </c>
      <c r="O60">
        <f>IFERROR(AVERAGEIFS('DATOS LIMPIOS'!$M$5:$M$493,'DATOS LIMPIOS'!$E$5:$E$493,B60,'DATOS LIMPIOS'!$T$5:$T$493,"&lt;&gt;Agosto"),"")</f>
        <v>37.825026634280285</v>
      </c>
      <c r="P60" t="str">
        <f t="shared" si="12"/>
        <v>Sí</v>
      </c>
      <c r="Q60">
        <f t="shared" si="13"/>
        <v>4</v>
      </c>
      <c r="R60">
        <f t="shared" si="14"/>
        <v>18</v>
      </c>
      <c r="S60" t="str">
        <f t="shared" si="15"/>
        <v>5 mejores</v>
      </c>
      <c r="T60">
        <f>SUMIFS('DATOS LIMPIOS'!$M$5:$M$493,'DATOS LIMPIOS'!$E$5:$E$493,B60,'DATOS LIMPIOS'!$T$5:$T$493,"Agosto")</f>
        <v>55.317348602063007</v>
      </c>
      <c r="U60">
        <f>COUNTIFS('DATOS LIMPIOS'!$E$5:$E$493,B60,'DATOS LIMPIOS'!$T$5:$T$493,"Agosto")</f>
        <v>2</v>
      </c>
      <c r="V60">
        <f>COUNTIFS('DATOS LIMPIOS'!$E$5:$E$493,B60,'DATOS LIMPIOS'!$T$5:$T$493,"&lt;&gt;Septiembre")</f>
        <v>6</v>
      </c>
      <c r="W60">
        <f>IFERROR(AVERAGEIFS('DATOS LIMPIOS'!$M$5:$M$493,'DATOS LIMPIOS'!$E$5:$E$493,B60,'DATOS LIMPIOS'!$T$5:$T$493,"&lt;&gt;Septiembre"),"")</f>
        <v>36.428869512173897</v>
      </c>
      <c r="X60" t="str">
        <f t="shared" si="16"/>
        <v>Sí</v>
      </c>
      <c r="Y60">
        <f t="shared" si="17"/>
        <v>7</v>
      </c>
      <c r="Z60">
        <f t="shared" si="18"/>
        <v>19</v>
      </c>
      <c r="AA60" t="str">
        <f t="shared" si="19"/>
        <v>Resto</v>
      </c>
      <c r="AB60">
        <f>SUMIFS('DATOS LIMPIOS'!$M$5:$M$493,'DATOS LIMPIOS'!$E$5:$E$493,B60,'DATOS LIMPIOS'!$T$5:$T$493,"Septiembre")</f>
        <v>101.51931796898162</v>
      </c>
      <c r="AC60">
        <f>COUNTIFS('DATOS LIMPIOS'!$E$5:$E$493,B60,'DATOS LIMPIOS'!$T$5:$T$493,"Septiembre")</f>
        <v>3</v>
      </c>
      <c r="AD60">
        <f>COUNTIFS('DATOS LIMPIOS'!$E$5:$E$493,B60,'DATOS LIMPIOS'!$T$5:$T$493,"&lt;&gt;Octubre")</f>
        <v>5</v>
      </c>
      <c r="AE60">
        <f>IFERROR(AVERAGEIFS('DATOS LIMPIOS'!$M$5:$M$493,'DATOS LIMPIOS'!$E$5:$E$493,B60,'DATOS LIMPIOS'!$T$5:$T$493,"&lt;&gt;Octubre"),"")</f>
        <v>31.367333314208924</v>
      </c>
      <c r="AF60" t="str">
        <f t="shared" si="20"/>
        <v>Sí</v>
      </c>
      <c r="AG60">
        <f t="shared" si="21"/>
        <v>10</v>
      </c>
      <c r="AH60">
        <f t="shared" si="22"/>
        <v>16</v>
      </c>
      <c r="AI60" t="str">
        <f t="shared" si="23"/>
        <v>Resto</v>
      </c>
      <c r="AJ60">
        <f>SUMIFS('DATOS LIMPIOS'!$M$5:$M$493,'DATOS LIMPIOS'!$E$5:$E$493,B60,'DATOS LIMPIOS'!$T$5:$T$493,"Octubre")</f>
        <v>163.25586847098037</v>
      </c>
      <c r="AK60">
        <f>COUNTIFS('DATOS LIMPIOS'!$E$5:$E$493,B60,'DATOS LIMPIOS'!$T$5:$T$493,"Octubre")</f>
        <v>4</v>
      </c>
    </row>
    <row r="61" spans="1:37" x14ac:dyDescent="0.2">
      <c r="A61">
        <v>58</v>
      </c>
      <c r="B61" t="str">
        <f t="array" ref="B61">IFERROR(INDEX('DATOS LIMPIOS'!$E$5:$E$493,MATCH(0,COUNTIF($B$3:B60,'DATOS LIMPIOS'!$E$5:$E$493),0)),"")</f>
        <v>Tu dosis semanal de belleza: Novedades y tips L'Oréal</v>
      </c>
      <c r="C61">
        <f>COUNTIF('DATOS LIMPIOS'!$E$5:$E$493,B61)</f>
        <v>1</v>
      </c>
      <c r="D61">
        <f>AVERAGEIF('DATOS LIMPIOS'!$E$5:$E$493,B61,'DATOS LIMPIOS'!$M$5:$M$493)</f>
        <v>24.873415437904409</v>
      </c>
      <c r="E61">
        <f>AVERAGEIF('DATOS LIMPIOS'!$E$5:$E$493,B61,'DATOS LIMPIOS'!$N$5:$N$493)</f>
        <v>4.0501046352199745</v>
      </c>
      <c r="F61" t="str">
        <f>INDEX('DATOS LIMPIOS'!$B$5:$B$493,MATCH(B61,'DATOS LIMPIOS'!$E$5:$E$493,0))</f>
        <v>Newsletter</v>
      </c>
      <c r="G61" t="str">
        <f>INDEX('DATOS LIMPIOS'!$AH$5:$AH$493,MATCH(B61,'DATOS LIMPIOS'!$E$5:$E$493,0))</f>
        <v>No</v>
      </c>
      <c r="H61" t="str">
        <f>INDEX('DATOS LIMPIOS'!$AN$5:$AN$493,MATCH(B61,'DATOS LIMPIOS'!$E$5:$E$493,0))</f>
        <v>No</v>
      </c>
      <c r="I61" t="str">
        <f>INDEX('DATOS LIMPIOS'!$AM$5:$AM$493,MATCH(B61,'DATOS LIMPIOS'!$E$5:$E$493,0))</f>
        <v>Sí</v>
      </c>
      <c r="J61" t="str">
        <f>INDEX('DATOS LIMPIOS'!$AJ$5:$AJ$493,MATCH(B61,'DATOS LIMPIOS'!$E$5:$E$493,0))</f>
        <v>No</v>
      </c>
      <c r="K61" t="str">
        <f>INDEX('DATOS LIMPIOS'!$AI$5:$AI$493,MATCH(B61,'DATOS LIMPIOS'!$E$5:$E$493,0))</f>
        <v>No</v>
      </c>
      <c r="L61" t="str">
        <f>INDEX('DATOS LIMPIOS'!$AR$5:$AR$493,MATCH(B61,'DATOS LIMPIOS'!$E$5:$E$493,0))</f>
        <v>Sí</v>
      </c>
      <c r="N61">
        <f>COUNTIFS('DATOS LIMPIOS'!$E$5:$E$493,B61,'DATOS LIMPIOS'!$T$5:$T$493,"&lt;&gt;Agosto")</f>
        <v>1</v>
      </c>
      <c r="O61">
        <f>IFERROR(AVERAGEIFS('DATOS LIMPIOS'!$M$5:$M$493,'DATOS LIMPIOS'!$E$5:$E$493,B61,'DATOS LIMPIOS'!$T$5:$T$493,"&lt;&gt;Agosto"),"")</f>
        <v>24.873415437904409</v>
      </c>
      <c r="P61" t="str">
        <f t="shared" si="12"/>
        <v>No</v>
      </c>
      <c r="Q61" t="str">
        <f t="shared" si="13"/>
        <v/>
      </c>
      <c r="R61" t="str">
        <f t="shared" si="14"/>
        <v/>
      </c>
      <c r="S61" t="str">
        <f t="shared" si="15"/>
        <v>Resto</v>
      </c>
      <c r="T61">
        <f>SUMIFS('DATOS LIMPIOS'!$M$5:$M$493,'DATOS LIMPIOS'!$E$5:$E$493,B61,'DATOS LIMPIOS'!$T$5:$T$493,"Agosto")</f>
        <v>0</v>
      </c>
      <c r="U61">
        <f>COUNTIFS('DATOS LIMPIOS'!$E$5:$E$493,B61,'DATOS LIMPIOS'!$T$5:$T$493,"Agosto")</f>
        <v>0</v>
      </c>
      <c r="V61">
        <f>COUNTIFS('DATOS LIMPIOS'!$E$5:$E$493,B61,'DATOS LIMPIOS'!$T$5:$T$493,"&lt;&gt;Septiembre")</f>
        <v>0</v>
      </c>
      <c r="W61" t="str">
        <f>IFERROR(AVERAGEIFS('DATOS LIMPIOS'!$M$5:$M$493,'DATOS LIMPIOS'!$E$5:$E$493,B61,'DATOS LIMPIOS'!$T$5:$T$493,"&lt;&gt;Septiembre"),"")</f>
        <v/>
      </c>
      <c r="X61" t="str">
        <f t="shared" si="16"/>
        <v>No</v>
      </c>
      <c r="Y61" t="str">
        <f t="shared" si="17"/>
        <v/>
      </c>
      <c r="Z61" t="str">
        <f t="shared" si="18"/>
        <v/>
      </c>
      <c r="AA61" t="str">
        <f t="shared" si="19"/>
        <v>Resto</v>
      </c>
      <c r="AB61">
        <f>SUMIFS('DATOS LIMPIOS'!$M$5:$M$493,'DATOS LIMPIOS'!$E$5:$E$493,B61,'DATOS LIMPIOS'!$T$5:$T$493,"Septiembre")</f>
        <v>24.873415437904409</v>
      </c>
      <c r="AC61">
        <f>COUNTIFS('DATOS LIMPIOS'!$E$5:$E$493,B61,'DATOS LIMPIOS'!$T$5:$T$493,"Septiembre")</f>
        <v>1</v>
      </c>
      <c r="AD61">
        <f>COUNTIFS('DATOS LIMPIOS'!$E$5:$E$493,B61,'DATOS LIMPIOS'!$T$5:$T$493,"&lt;&gt;Octubre")</f>
        <v>1</v>
      </c>
      <c r="AE61">
        <f>IFERROR(AVERAGEIFS('DATOS LIMPIOS'!$M$5:$M$493,'DATOS LIMPIOS'!$E$5:$E$493,B61,'DATOS LIMPIOS'!$T$5:$T$493,"&lt;&gt;Octubre"),"")</f>
        <v>24.873415437904409</v>
      </c>
      <c r="AF61" t="str">
        <f t="shared" si="20"/>
        <v>No</v>
      </c>
      <c r="AG61" t="str">
        <f t="shared" si="21"/>
        <v/>
      </c>
      <c r="AH61" t="str">
        <f t="shared" si="22"/>
        <v/>
      </c>
      <c r="AI61" t="str">
        <f t="shared" si="23"/>
        <v>Resto</v>
      </c>
      <c r="AJ61">
        <f>SUMIFS('DATOS LIMPIOS'!$M$5:$M$493,'DATOS LIMPIOS'!$E$5:$E$493,B61,'DATOS LIMPIOS'!$T$5:$T$493,"Octubre")</f>
        <v>0</v>
      </c>
      <c r="AK61">
        <f>COUNTIFS('DATOS LIMPIOS'!$E$5:$E$493,B61,'DATOS LIMPIOS'!$T$5:$T$493,"Octubre")</f>
        <v>0</v>
      </c>
    </row>
    <row r="62" spans="1:37" x14ac:dyDescent="0.2">
      <c r="A62">
        <v>59</v>
      </c>
      <c r="B62" t="str">
        <f t="array" ref="B62">IFERROR(INDEX('DATOS LIMPIOS'!$E$5:$E$493,MATCH(0,COUNTIF($B$3:B61,'DATOS LIMPIOS'!$E$5:$E$493),0)),"")</f>
        <v>🔥 Hot Sale Anticipado: ¡Precios de locura en L'Oréal Paris!</v>
      </c>
      <c r="C62">
        <f>COUNTIF('DATOS LIMPIOS'!$E$5:$E$493,B62)</f>
        <v>3</v>
      </c>
      <c r="D62">
        <f>AVERAGEIF('DATOS LIMPIOS'!$E$5:$E$493,B62,'DATOS LIMPIOS'!$M$5:$M$493)</f>
        <v>43.243161255628017</v>
      </c>
      <c r="E62">
        <f>AVERAGEIF('DATOS LIMPIOS'!$E$5:$E$493,B62,'DATOS LIMPIOS'!$N$5:$N$493)</f>
        <v>7.7863943515516043</v>
      </c>
      <c r="F62" t="str">
        <f>INDEX('DATOS LIMPIOS'!$B$5:$B$493,MATCH(B62,'DATOS LIMPIOS'!$E$5:$E$493,0))</f>
        <v>Flash Sale</v>
      </c>
      <c r="G62" t="str">
        <f>INDEX('DATOS LIMPIOS'!$AH$5:$AH$493,MATCH(B62,'DATOS LIMPIOS'!$E$5:$E$493,0))</f>
        <v>No</v>
      </c>
      <c r="H62" t="str">
        <f>INDEX('DATOS LIMPIOS'!$AN$5:$AN$493,MATCH(B62,'DATOS LIMPIOS'!$E$5:$E$493,0))</f>
        <v>No</v>
      </c>
      <c r="I62" t="str">
        <f>INDEX('DATOS LIMPIOS'!$AM$5:$AM$493,MATCH(B62,'DATOS LIMPIOS'!$E$5:$E$493,0))</f>
        <v>No</v>
      </c>
      <c r="J62" t="str">
        <f>INDEX('DATOS LIMPIOS'!$AJ$5:$AJ$493,MATCH(B62,'DATOS LIMPIOS'!$E$5:$E$493,0))</f>
        <v>No</v>
      </c>
      <c r="K62" t="str">
        <f>INDEX('DATOS LIMPIOS'!$AI$5:$AI$493,MATCH(B62,'DATOS LIMPIOS'!$E$5:$E$493,0))</f>
        <v>Sí</v>
      </c>
      <c r="L62" t="str">
        <f>INDEX('DATOS LIMPIOS'!$AR$5:$AR$493,MATCH(B62,'DATOS LIMPIOS'!$E$5:$E$493,0))</f>
        <v>No</v>
      </c>
      <c r="N62">
        <f>COUNTIFS('DATOS LIMPIOS'!$E$5:$E$493,B62,'DATOS LIMPIOS'!$T$5:$T$493,"&lt;&gt;Agosto")</f>
        <v>1</v>
      </c>
      <c r="O62">
        <f>IFERROR(AVERAGEIFS('DATOS LIMPIOS'!$M$5:$M$493,'DATOS LIMPIOS'!$E$5:$E$493,B62,'DATOS LIMPIOS'!$T$5:$T$493,"&lt;&gt;Agosto"),"")</f>
        <v>42.890637382881309</v>
      </c>
      <c r="P62" t="str">
        <f t="shared" si="12"/>
        <v>No</v>
      </c>
      <c r="Q62" t="str">
        <f t="shared" si="13"/>
        <v/>
      </c>
      <c r="R62" t="str">
        <f t="shared" si="14"/>
        <v/>
      </c>
      <c r="S62" t="str">
        <f t="shared" si="15"/>
        <v>Resto</v>
      </c>
      <c r="T62">
        <f>SUMIFS('DATOS LIMPIOS'!$M$5:$M$493,'DATOS LIMPIOS'!$E$5:$E$493,B62,'DATOS LIMPIOS'!$T$5:$T$493,"Agosto")</f>
        <v>86.838846384002736</v>
      </c>
      <c r="U62">
        <f>COUNTIFS('DATOS LIMPIOS'!$E$5:$E$493,B62,'DATOS LIMPIOS'!$T$5:$T$493,"Agosto")</f>
        <v>2</v>
      </c>
      <c r="V62">
        <f>COUNTIFS('DATOS LIMPIOS'!$E$5:$E$493,B62,'DATOS LIMPIOS'!$T$5:$T$493,"&lt;&gt;Septiembre")</f>
        <v>3</v>
      </c>
      <c r="W62">
        <f>IFERROR(AVERAGEIFS('DATOS LIMPIOS'!$M$5:$M$493,'DATOS LIMPIOS'!$E$5:$E$493,B62,'DATOS LIMPIOS'!$T$5:$T$493,"&lt;&gt;Septiembre"),"")</f>
        <v>43.243161255628017</v>
      </c>
      <c r="X62" t="str">
        <f t="shared" si="16"/>
        <v>No</v>
      </c>
      <c r="Y62" t="str">
        <f t="shared" si="17"/>
        <v/>
      </c>
      <c r="Z62" t="str">
        <f t="shared" si="18"/>
        <v/>
      </c>
      <c r="AA62" t="str">
        <f t="shared" si="19"/>
        <v>Resto</v>
      </c>
      <c r="AB62">
        <f>SUMIFS('DATOS LIMPIOS'!$M$5:$M$493,'DATOS LIMPIOS'!$E$5:$E$493,B62,'DATOS LIMPIOS'!$T$5:$T$493,"Septiembre")</f>
        <v>0</v>
      </c>
      <c r="AC62">
        <f>COUNTIFS('DATOS LIMPIOS'!$E$5:$E$493,B62,'DATOS LIMPIOS'!$T$5:$T$493,"Septiembre")</f>
        <v>0</v>
      </c>
      <c r="AD62">
        <f>COUNTIFS('DATOS LIMPIOS'!$E$5:$E$493,B62,'DATOS LIMPIOS'!$T$5:$T$493,"&lt;&gt;Octubre")</f>
        <v>2</v>
      </c>
      <c r="AE62">
        <f>IFERROR(AVERAGEIFS('DATOS LIMPIOS'!$M$5:$M$493,'DATOS LIMPIOS'!$E$5:$E$493,B62,'DATOS LIMPIOS'!$T$5:$T$493,"&lt;&gt;Octubre"),"")</f>
        <v>43.419423192001368</v>
      </c>
      <c r="AF62" t="str">
        <f t="shared" si="20"/>
        <v>No</v>
      </c>
      <c r="AG62" t="str">
        <f t="shared" si="21"/>
        <v/>
      </c>
      <c r="AH62" t="str">
        <f t="shared" si="22"/>
        <v/>
      </c>
      <c r="AI62" t="str">
        <f t="shared" si="23"/>
        <v>Resto</v>
      </c>
      <c r="AJ62">
        <f>SUMIFS('DATOS LIMPIOS'!$M$5:$M$493,'DATOS LIMPIOS'!$E$5:$E$493,B62,'DATOS LIMPIOS'!$T$5:$T$493,"Octubre")</f>
        <v>42.890637382881309</v>
      </c>
      <c r="AK62">
        <f>COUNTIFS('DATOS LIMPIOS'!$E$5:$E$493,B62,'DATOS LIMPIOS'!$T$5:$T$493,"Octubre")</f>
        <v>1</v>
      </c>
    </row>
    <row r="63" spans="1:37" x14ac:dyDescent="0.2">
      <c r="A63">
        <v>60</v>
      </c>
      <c r="B63" t="str">
        <f t="array" ref="B63">IFERROR(INDEX('DATOS LIMPIOS'!$E$5:$E$493,MATCH(0,COUNTIF($B$3:B62,'DATOS LIMPIOS'!$E$5:$E$493),0)),"")</f>
        <v>El Resumen Semanal de L'Oréal: Novedades beauty</v>
      </c>
      <c r="C63">
        <f>COUNTIF('DATOS LIMPIOS'!$E$5:$E$493,B63)</f>
        <v>3</v>
      </c>
      <c r="D63">
        <f>AVERAGEIF('DATOS LIMPIOS'!$E$5:$E$493,B63,'DATOS LIMPIOS'!$M$5:$M$493)</f>
        <v>15.145242573985856</v>
      </c>
      <c r="E63">
        <f>AVERAGEIF('DATOS LIMPIOS'!$E$5:$E$493,B63,'DATOS LIMPIOS'!$N$5:$N$493)</f>
        <v>8.9665006264648479</v>
      </c>
      <c r="F63" t="str">
        <f>INDEX('DATOS LIMPIOS'!$B$5:$B$493,MATCH(B63,'DATOS LIMPIOS'!$E$5:$E$493,0))</f>
        <v>Newsletter</v>
      </c>
      <c r="G63" t="str">
        <f>INDEX('DATOS LIMPIOS'!$AH$5:$AH$493,MATCH(B63,'DATOS LIMPIOS'!$E$5:$E$493,0))</f>
        <v>Sí</v>
      </c>
      <c r="H63" t="str">
        <f>INDEX('DATOS LIMPIOS'!$AN$5:$AN$493,MATCH(B63,'DATOS LIMPIOS'!$E$5:$E$493,0))</f>
        <v>No</v>
      </c>
      <c r="I63" t="str">
        <f>INDEX('DATOS LIMPIOS'!$AM$5:$AM$493,MATCH(B63,'DATOS LIMPIOS'!$E$5:$E$493,0))</f>
        <v>No</v>
      </c>
      <c r="J63" t="str">
        <f>INDEX('DATOS LIMPIOS'!$AJ$5:$AJ$493,MATCH(B63,'DATOS LIMPIOS'!$E$5:$E$493,0))</f>
        <v>No</v>
      </c>
      <c r="K63" t="str">
        <f>INDEX('DATOS LIMPIOS'!$AI$5:$AI$493,MATCH(B63,'DATOS LIMPIOS'!$E$5:$E$493,0))</f>
        <v>No</v>
      </c>
      <c r="L63" t="str">
        <f>INDEX('DATOS LIMPIOS'!$AR$5:$AR$493,MATCH(B63,'DATOS LIMPIOS'!$E$5:$E$493,0))</f>
        <v>Sí</v>
      </c>
      <c r="N63">
        <f>COUNTIFS('DATOS LIMPIOS'!$E$5:$E$493,B63,'DATOS LIMPIOS'!$T$5:$T$493,"&lt;&gt;Agosto")</f>
        <v>3</v>
      </c>
      <c r="O63">
        <f>IFERROR(AVERAGEIFS('DATOS LIMPIOS'!$M$5:$M$493,'DATOS LIMPIOS'!$E$5:$E$493,B63,'DATOS LIMPIOS'!$T$5:$T$493,"&lt;&gt;Agosto"),"")</f>
        <v>15.145242573985856</v>
      </c>
      <c r="P63" t="str">
        <f t="shared" si="12"/>
        <v>No</v>
      </c>
      <c r="Q63" t="str">
        <f t="shared" si="13"/>
        <v/>
      </c>
      <c r="R63" t="str">
        <f t="shared" si="14"/>
        <v/>
      </c>
      <c r="S63" t="str">
        <f t="shared" si="15"/>
        <v>Resto</v>
      </c>
      <c r="T63">
        <f>SUMIFS('DATOS LIMPIOS'!$M$5:$M$493,'DATOS LIMPIOS'!$E$5:$E$493,B63,'DATOS LIMPIOS'!$T$5:$T$493,"Agosto")</f>
        <v>0</v>
      </c>
      <c r="U63">
        <f>COUNTIFS('DATOS LIMPIOS'!$E$5:$E$493,B63,'DATOS LIMPIOS'!$T$5:$T$493,"Agosto")</f>
        <v>0</v>
      </c>
      <c r="V63">
        <f>COUNTIFS('DATOS LIMPIOS'!$E$5:$E$493,B63,'DATOS LIMPIOS'!$T$5:$T$493,"&lt;&gt;Septiembre")</f>
        <v>2</v>
      </c>
      <c r="W63">
        <f>IFERROR(AVERAGEIFS('DATOS LIMPIOS'!$M$5:$M$493,'DATOS LIMPIOS'!$E$5:$E$493,B63,'DATOS LIMPIOS'!$T$5:$T$493,"&lt;&gt;Septiembre"),"")</f>
        <v>18.600634608662389</v>
      </c>
      <c r="X63" t="str">
        <f t="shared" si="16"/>
        <v>No</v>
      </c>
      <c r="Y63" t="str">
        <f t="shared" si="17"/>
        <v/>
      </c>
      <c r="Z63" t="str">
        <f t="shared" si="18"/>
        <v/>
      </c>
      <c r="AA63" t="str">
        <f t="shared" si="19"/>
        <v>Resto</v>
      </c>
      <c r="AB63">
        <f>SUMIFS('DATOS LIMPIOS'!$M$5:$M$493,'DATOS LIMPIOS'!$E$5:$E$493,B63,'DATOS LIMPIOS'!$T$5:$T$493,"Septiembre")</f>
        <v>8.2344585046327925</v>
      </c>
      <c r="AC63">
        <f>COUNTIFS('DATOS LIMPIOS'!$E$5:$E$493,B63,'DATOS LIMPIOS'!$T$5:$T$493,"Septiembre")</f>
        <v>1</v>
      </c>
      <c r="AD63">
        <f>COUNTIFS('DATOS LIMPIOS'!$E$5:$E$493,B63,'DATOS LIMPIOS'!$T$5:$T$493,"&lt;&gt;Octubre")</f>
        <v>1</v>
      </c>
      <c r="AE63">
        <f>IFERROR(AVERAGEIFS('DATOS LIMPIOS'!$M$5:$M$493,'DATOS LIMPIOS'!$E$5:$E$493,B63,'DATOS LIMPIOS'!$T$5:$T$493,"&lt;&gt;Octubre"),"")</f>
        <v>8.2344585046327925</v>
      </c>
      <c r="AF63" t="str">
        <f t="shared" si="20"/>
        <v>No</v>
      </c>
      <c r="AG63" t="str">
        <f t="shared" si="21"/>
        <v/>
      </c>
      <c r="AH63" t="str">
        <f t="shared" si="22"/>
        <v/>
      </c>
      <c r="AI63" t="str">
        <f t="shared" si="23"/>
        <v>Resto</v>
      </c>
      <c r="AJ63">
        <f>SUMIFS('DATOS LIMPIOS'!$M$5:$M$493,'DATOS LIMPIOS'!$E$5:$E$493,B63,'DATOS LIMPIOS'!$T$5:$T$493,"Octubre")</f>
        <v>37.201269217324779</v>
      </c>
      <c r="AK63">
        <f>COUNTIFS('DATOS LIMPIOS'!$E$5:$E$493,B63,'DATOS LIMPIOS'!$T$5:$T$493,"Octubre")</f>
        <v>2</v>
      </c>
    </row>
    <row r="64" spans="1:37" x14ac:dyDescent="0.2">
      <c r="A64">
        <v>61</v>
      </c>
      <c r="B64" t="str">
        <f t="array" ref="B64">IFERROR(INDEX('DATOS LIMPIOS'!$E$5:$E$493,MATCH(0,COUNTIF($B$3:B63,'DATOS LIMPIOS'!$E$5:$E$493),0)),"")</f>
        <v>¡Gran oferta! Por tiempo limitado, no te lo pierdas</v>
      </c>
      <c r="C64">
        <f>COUNTIF('DATOS LIMPIOS'!$E$5:$E$493,B64)</f>
        <v>9</v>
      </c>
      <c r="D64">
        <f>AVERAGEIF('DATOS LIMPIOS'!$E$5:$E$493,B64,'DATOS LIMPIOS'!$M$5:$M$493)</f>
        <v>17.395911943759799</v>
      </c>
      <c r="E64">
        <f>AVERAGEIF('DATOS LIMPIOS'!$E$5:$E$493,B64,'DATOS LIMPIOS'!$N$5:$N$493)</f>
        <v>9.2938358042444964</v>
      </c>
      <c r="F64" t="str">
        <f>INDEX('DATOS LIMPIOS'!$B$5:$B$493,MATCH(B64,'DATOS LIMPIOS'!$E$5:$E$493,0))</f>
        <v>Flash Sale</v>
      </c>
      <c r="G64" t="str">
        <f>INDEX('DATOS LIMPIOS'!$AH$5:$AH$493,MATCH(B64,'DATOS LIMPIOS'!$E$5:$E$493,0))</f>
        <v>Sí</v>
      </c>
      <c r="H64" t="str">
        <f>INDEX('DATOS LIMPIOS'!$AN$5:$AN$493,MATCH(B64,'DATOS LIMPIOS'!$E$5:$E$493,0))</f>
        <v>No</v>
      </c>
      <c r="I64" t="str">
        <f>INDEX('DATOS LIMPIOS'!$AM$5:$AM$493,MATCH(B64,'DATOS LIMPIOS'!$E$5:$E$493,0))</f>
        <v>No</v>
      </c>
      <c r="J64" t="str">
        <f>INDEX('DATOS LIMPIOS'!$AJ$5:$AJ$493,MATCH(B64,'DATOS LIMPIOS'!$E$5:$E$493,0))</f>
        <v>Sí</v>
      </c>
      <c r="K64" t="str">
        <f>INDEX('DATOS LIMPIOS'!$AI$5:$AI$493,MATCH(B64,'DATOS LIMPIOS'!$E$5:$E$493,0))</f>
        <v>Sí</v>
      </c>
      <c r="L64" t="str">
        <f>INDEX('DATOS LIMPIOS'!$AR$5:$AR$493,MATCH(B64,'DATOS LIMPIOS'!$E$5:$E$493,0))</f>
        <v>Sí</v>
      </c>
      <c r="N64">
        <f>COUNTIFS('DATOS LIMPIOS'!$E$5:$E$493,B64,'DATOS LIMPIOS'!$T$5:$T$493,"&lt;&gt;Agosto")</f>
        <v>5</v>
      </c>
      <c r="O64">
        <f>IFERROR(AVERAGEIFS('DATOS LIMPIOS'!$M$5:$M$493,'DATOS LIMPIOS'!$E$5:$E$493,B64,'DATOS LIMPIOS'!$T$5:$T$493,"&lt;&gt;Agosto"),"")</f>
        <v>15.960464950891303</v>
      </c>
      <c r="P64" t="str">
        <f t="shared" si="12"/>
        <v>Sí</v>
      </c>
      <c r="Q64">
        <f t="shared" si="13"/>
        <v>19</v>
      </c>
      <c r="R64">
        <f t="shared" si="14"/>
        <v>3</v>
      </c>
      <c r="S64" t="str">
        <f t="shared" si="15"/>
        <v>5 peores</v>
      </c>
      <c r="T64">
        <f>SUMIFS('DATOS LIMPIOS'!$M$5:$M$493,'DATOS LIMPIOS'!$E$5:$E$493,B64,'DATOS LIMPIOS'!$T$5:$T$493,"Agosto")</f>
        <v>76.760882739381685</v>
      </c>
      <c r="U64">
        <f>COUNTIFS('DATOS LIMPIOS'!$E$5:$E$493,B64,'DATOS LIMPIOS'!$T$5:$T$493,"Agosto")</f>
        <v>4</v>
      </c>
      <c r="V64">
        <f>COUNTIFS('DATOS LIMPIOS'!$E$5:$E$493,B64,'DATOS LIMPIOS'!$T$5:$T$493,"&lt;&gt;Septiembre")</f>
        <v>6</v>
      </c>
      <c r="W64">
        <f>IFERROR(AVERAGEIFS('DATOS LIMPIOS'!$M$5:$M$493,'DATOS LIMPIOS'!$E$5:$E$493,B64,'DATOS LIMPIOS'!$T$5:$T$493,"&lt;&gt;Septiembre"),"")</f>
        <v>16.951059376655195</v>
      </c>
      <c r="X64" t="str">
        <f t="shared" si="16"/>
        <v>Sí</v>
      </c>
      <c r="Y64">
        <f t="shared" si="17"/>
        <v>24</v>
      </c>
      <c r="Z64">
        <f t="shared" si="18"/>
        <v>2</v>
      </c>
      <c r="AA64" t="str">
        <f t="shared" si="19"/>
        <v>5 peores</v>
      </c>
      <c r="AB64">
        <f>SUMIFS('DATOS LIMPIOS'!$M$5:$M$493,'DATOS LIMPIOS'!$E$5:$E$493,B64,'DATOS LIMPIOS'!$T$5:$T$493,"Septiembre")</f>
        <v>54.856851233907037</v>
      </c>
      <c r="AC64">
        <f>COUNTIFS('DATOS LIMPIOS'!$E$5:$E$493,B64,'DATOS LIMPIOS'!$T$5:$T$493,"Septiembre")</f>
        <v>3</v>
      </c>
      <c r="AD64">
        <f>COUNTIFS('DATOS LIMPIOS'!$E$5:$E$493,B64,'DATOS LIMPIOS'!$T$5:$T$493,"&lt;&gt;Octubre")</f>
        <v>7</v>
      </c>
      <c r="AE64">
        <f>IFERROR(AVERAGEIFS('DATOS LIMPIOS'!$M$5:$M$493,'DATOS LIMPIOS'!$E$5:$E$493,B64,'DATOS LIMPIOS'!$T$5:$T$493,"&lt;&gt;Octubre"),"")</f>
        <v>18.802533424755531</v>
      </c>
      <c r="AF64" t="str">
        <f t="shared" si="20"/>
        <v>Sí</v>
      </c>
      <c r="AG64">
        <f t="shared" si="21"/>
        <v>23</v>
      </c>
      <c r="AH64">
        <f t="shared" si="22"/>
        <v>3</v>
      </c>
      <c r="AI64" t="str">
        <f t="shared" si="23"/>
        <v>5 peores</v>
      </c>
      <c r="AJ64">
        <f>SUMIFS('DATOS LIMPIOS'!$M$5:$M$493,'DATOS LIMPIOS'!$E$5:$E$493,B64,'DATOS LIMPIOS'!$T$5:$T$493,"Octubre")</f>
        <v>24.945473520549481</v>
      </c>
      <c r="AK64">
        <f>COUNTIFS('DATOS LIMPIOS'!$E$5:$E$493,B64,'DATOS LIMPIOS'!$T$5:$T$493,"Octubre")</f>
        <v>2</v>
      </c>
    </row>
    <row r="65" spans="1:37" x14ac:dyDescent="0.2">
      <c r="A65">
        <v>62</v>
      </c>
      <c r="B65" t="str">
        <f t="array" ref="B65">IFERROR(INDEX('DATOS LIMPIOS'!$E$5:$E$493,MATCH(0,COUNTIF($B$3:B64,'DATOS LIMPIOS'!$E$5:$E$493),0)),"")</f>
        <v>¡Un pequeño detalle para agradecerte tu lealtad!</v>
      </c>
      <c r="C65">
        <f>COUNTIF('DATOS LIMPIOS'!$E$5:$E$493,B65)</f>
        <v>4</v>
      </c>
      <c r="D65">
        <f>AVERAGEIF('DATOS LIMPIOS'!$E$5:$E$493,B65,'DATOS LIMPIOS'!$M$5:$M$493)</f>
        <v>15.012382065107001</v>
      </c>
      <c r="E65">
        <f>AVERAGEIF('DATOS LIMPIOS'!$E$5:$E$493,B65,'DATOS LIMPIOS'!$N$5:$N$493)</f>
        <v>5.6596274461524807</v>
      </c>
      <c r="F65" t="str">
        <f>INDEX('DATOS LIMPIOS'!$B$5:$B$493,MATCH(B65,'DATOS LIMPIOS'!$E$5:$E$493,0))</f>
        <v>Customer Appreciation</v>
      </c>
      <c r="G65" t="str">
        <f>INDEX('DATOS LIMPIOS'!$AH$5:$AH$493,MATCH(B65,'DATOS LIMPIOS'!$E$5:$E$493,0))</f>
        <v>Sí</v>
      </c>
      <c r="H65" t="str">
        <f>INDEX('DATOS LIMPIOS'!$AN$5:$AN$493,MATCH(B65,'DATOS LIMPIOS'!$E$5:$E$493,0))</f>
        <v>Sí</v>
      </c>
      <c r="I65" t="str">
        <f>INDEX('DATOS LIMPIOS'!$AM$5:$AM$493,MATCH(B65,'DATOS LIMPIOS'!$E$5:$E$493,0))</f>
        <v>No</v>
      </c>
      <c r="J65" t="str">
        <f>INDEX('DATOS LIMPIOS'!$AJ$5:$AJ$493,MATCH(B65,'DATOS LIMPIOS'!$E$5:$E$493,0))</f>
        <v>No</v>
      </c>
      <c r="K65" t="str">
        <f>INDEX('DATOS LIMPIOS'!$AI$5:$AI$493,MATCH(B65,'DATOS LIMPIOS'!$E$5:$E$493,0))</f>
        <v>No</v>
      </c>
      <c r="L65" t="str">
        <f>INDEX('DATOS LIMPIOS'!$AR$5:$AR$493,MATCH(B65,'DATOS LIMPIOS'!$E$5:$E$493,0))</f>
        <v>Sí</v>
      </c>
      <c r="N65">
        <f>COUNTIFS('DATOS LIMPIOS'!$E$5:$E$493,B65,'DATOS LIMPIOS'!$T$5:$T$493,"&lt;&gt;Agosto")</f>
        <v>3</v>
      </c>
      <c r="O65">
        <f>IFERROR(AVERAGEIFS('DATOS LIMPIOS'!$M$5:$M$493,'DATOS LIMPIOS'!$E$5:$E$493,B65,'DATOS LIMPIOS'!$T$5:$T$493,"&lt;&gt;Agosto"),"")</f>
        <v>11.209614765879239</v>
      </c>
      <c r="P65" t="str">
        <f t="shared" si="12"/>
        <v>No</v>
      </c>
      <c r="Q65" t="str">
        <f t="shared" si="13"/>
        <v/>
      </c>
      <c r="R65" t="str">
        <f t="shared" si="14"/>
        <v/>
      </c>
      <c r="S65" t="str">
        <f t="shared" si="15"/>
        <v>Resto</v>
      </c>
      <c r="T65">
        <f>SUMIFS('DATOS LIMPIOS'!$M$5:$M$493,'DATOS LIMPIOS'!$E$5:$E$493,B65,'DATOS LIMPIOS'!$T$5:$T$493,"Agosto")</f>
        <v>26.420683962790282</v>
      </c>
      <c r="U65">
        <f>COUNTIFS('DATOS LIMPIOS'!$E$5:$E$493,B65,'DATOS LIMPIOS'!$T$5:$T$493,"Agosto")</f>
        <v>1</v>
      </c>
      <c r="V65">
        <f>COUNTIFS('DATOS LIMPIOS'!$E$5:$E$493,B65,'DATOS LIMPIOS'!$T$5:$T$493,"&lt;&gt;Septiembre")</f>
        <v>4</v>
      </c>
      <c r="W65">
        <f>IFERROR(AVERAGEIFS('DATOS LIMPIOS'!$M$5:$M$493,'DATOS LIMPIOS'!$E$5:$E$493,B65,'DATOS LIMPIOS'!$T$5:$T$493,"&lt;&gt;Septiembre"),"")</f>
        <v>15.012382065107001</v>
      </c>
      <c r="X65" t="str">
        <f t="shared" si="16"/>
        <v>No</v>
      </c>
      <c r="Y65" t="str">
        <f t="shared" si="17"/>
        <v/>
      </c>
      <c r="Z65" t="str">
        <f t="shared" si="18"/>
        <v/>
      </c>
      <c r="AA65" t="str">
        <f t="shared" si="19"/>
        <v>Resto</v>
      </c>
      <c r="AB65">
        <f>SUMIFS('DATOS LIMPIOS'!$M$5:$M$493,'DATOS LIMPIOS'!$E$5:$E$493,B65,'DATOS LIMPIOS'!$T$5:$T$493,"Septiembre")</f>
        <v>0</v>
      </c>
      <c r="AC65">
        <f>COUNTIFS('DATOS LIMPIOS'!$E$5:$E$493,B65,'DATOS LIMPIOS'!$T$5:$T$493,"Septiembre")</f>
        <v>0</v>
      </c>
      <c r="AD65">
        <f>COUNTIFS('DATOS LIMPIOS'!$E$5:$E$493,B65,'DATOS LIMPIOS'!$T$5:$T$493,"&lt;&gt;Octubre")</f>
        <v>1</v>
      </c>
      <c r="AE65">
        <f>IFERROR(AVERAGEIFS('DATOS LIMPIOS'!$M$5:$M$493,'DATOS LIMPIOS'!$E$5:$E$493,B65,'DATOS LIMPIOS'!$T$5:$T$493,"&lt;&gt;Octubre"),"")</f>
        <v>26.420683962790282</v>
      </c>
      <c r="AF65" t="str">
        <f t="shared" si="20"/>
        <v>No</v>
      </c>
      <c r="AG65" t="str">
        <f t="shared" si="21"/>
        <v/>
      </c>
      <c r="AH65" t="str">
        <f t="shared" si="22"/>
        <v/>
      </c>
      <c r="AI65" t="str">
        <f t="shared" si="23"/>
        <v>Resto</v>
      </c>
      <c r="AJ65">
        <f>SUMIFS('DATOS LIMPIOS'!$M$5:$M$493,'DATOS LIMPIOS'!$E$5:$E$493,B65,'DATOS LIMPIOS'!$T$5:$T$493,"Octubre")</f>
        <v>33.62884429763772</v>
      </c>
      <c r="AK65">
        <f>COUNTIFS('DATOS LIMPIOS'!$E$5:$E$493,B65,'DATOS LIMPIOS'!$T$5:$T$493,"Octubre")</f>
        <v>3</v>
      </c>
    </row>
    <row r="66" spans="1:37" x14ac:dyDescent="0.2">
      <c r="A66">
        <v>63</v>
      </c>
      <c r="B66" t="str">
        <f t="array" ref="B66">IFERROR(INDEX('DATOS LIMPIOS'!$E$5:$E$493,MATCH(0,COUNTIF($B$3:B65,'DATOS LIMPIOS'!$E$5:$E$493),0)),"")</f>
        <v>¡Ofertas de Temporada! No te las pierdas, ¡regalos perfectos!</v>
      </c>
      <c r="C66">
        <f>COUNTIF('DATOS LIMPIOS'!$E$5:$E$493,B66)</f>
        <v>1</v>
      </c>
      <c r="D66">
        <f>AVERAGEIF('DATOS LIMPIOS'!$E$5:$E$493,B66,'DATOS LIMPIOS'!$M$5:$M$493)</f>
        <v>7.728799162080545</v>
      </c>
      <c r="E66">
        <f>AVERAGEIF('DATOS LIMPIOS'!$E$5:$E$493,B66,'DATOS LIMPIOS'!$N$5:$N$493)</f>
        <v>1.7499847029309186</v>
      </c>
      <c r="F66" t="str">
        <f>INDEX('DATOS LIMPIOS'!$B$5:$B$493,MATCH(B66,'DATOS LIMPIOS'!$E$5:$E$493,0))</f>
        <v>Holiday Discounts</v>
      </c>
      <c r="G66" t="str">
        <f>INDEX('DATOS LIMPIOS'!$AH$5:$AH$493,MATCH(B66,'DATOS LIMPIOS'!$E$5:$E$493,0))</f>
        <v>Sí</v>
      </c>
      <c r="H66" t="str">
        <f>INDEX('DATOS LIMPIOS'!$AN$5:$AN$493,MATCH(B66,'DATOS LIMPIOS'!$E$5:$E$493,0))</f>
        <v>No</v>
      </c>
      <c r="I66" t="str">
        <f>INDEX('DATOS LIMPIOS'!$AM$5:$AM$493,MATCH(B66,'DATOS LIMPIOS'!$E$5:$E$493,0))</f>
        <v>Sí</v>
      </c>
      <c r="J66" t="str">
        <f>INDEX('DATOS LIMPIOS'!$AJ$5:$AJ$493,MATCH(B66,'DATOS LIMPIOS'!$E$5:$E$493,0))</f>
        <v>No</v>
      </c>
      <c r="K66" t="str">
        <f>INDEX('DATOS LIMPIOS'!$AI$5:$AI$493,MATCH(B66,'DATOS LIMPIOS'!$E$5:$E$493,0))</f>
        <v>Sí</v>
      </c>
      <c r="L66" t="str">
        <f>INDEX('DATOS LIMPIOS'!$AR$5:$AR$493,MATCH(B66,'DATOS LIMPIOS'!$E$5:$E$493,0))</f>
        <v>No</v>
      </c>
      <c r="N66">
        <f>COUNTIFS('DATOS LIMPIOS'!$E$5:$E$493,B66,'DATOS LIMPIOS'!$T$5:$T$493,"&lt;&gt;Agosto")</f>
        <v>1</v>
      </c>
      <c r="O66">
        <f>IFERROR(AVERAGEIFS('DATOS LIMPIOS'!$M$5:$M$493,'DATOS LIMPIOS'!$E$5:$E$493,B66,'DATOS LIMPIOS'!$T$5:$T$493,"&lt;&gt;Agosto"),"")</f>
        <v>7.728799162080545</v>
      </c>
      <c r="P66" t="str">
        <f t="shared" si="12"/>
        <v>No</v>
      </c>
      <c r="Q66" t="str">
        <f t="shared" si="13"/>
        <v/>
      </c>
      <c r="R66" t="str">
        <f t="shared" si="14"/>
        <v/>
      </c>
      <c r="S66" t="str">
        <f t="shared" si="15"/>
        <v>Resto</v>
      </c>
      <c r="T66">
        <f>SUMIFS('DATOS LIMPIOS'!$M$5:$M$493,'DATOS LIMPIOS'!$E$5:$E$493,B66,'DATOS LIMPIOS'!$T$5:$T$493,"Agosto")</f>
        <v>0</v>
      </c>
      <c r="U66">
        <f>COUNTIFS('DATOS LIMPIOS'!$E$5:$E$493,B66,'DATOS LIMPIOS'!$T$5:$T$493,"Agosto")</f>
        <v>0</v>
      </c>
      <c r="V66">
        <f>COUNTIFS('DATOS LIMPIOS'!$E$5:$E$493,B66,'DATOS LIMPIOS'!$T$5:$T$493,"&lt;&gt;Septiembre")</f>
        <v>1</v>
      </c>
      <c r="W66">
        <f>IFERROR(AVERAGEIFS('DATOS LIMPIOS'!$M$5:$M$493,'DATOS LIMPIOS'!$E$5:$E$493,B66,'DATOS LIMPIOS'!$T$5:$T$493,"&lt;&gt;Septiembre"),"")</f>
        <v>7.728799162080545</v>
      </c>
      <c r="X66" t="str">
        <f t="shared" si="16"/>
        <v>No</v>
      </c>
      <c r="Y66" t="str">
        <f t="shared" si="17"/>
        <v/>
      </c>
      <c r="Z66" t="str">
        <f t="shared" si="18"/>
        <v/>
      </c>
      <c r="AA66" t="str">
        <f t="shared" si="19"/>
        <v>Resto</v>
      </c>
      <c r="AB66">
        <f>SUMIFS('DATOS LIMPIOS'!$M$5:$M$493,'DATOS LIMPIOS'!$E$5:$E$493,B66,'DATOS LIMPIOS'!$T$5:$T$493,"Septiembre")</f>
        <v>0</v>
      </c>
      <c r="AC66">
        <f>COUNTIFS('DATOS LIMPIOS'!$E$5:$E$493,B66,'DATOS LIMPIOS'!$T$5:$T$493,"Septiembre")</f>
        <v>0</v>
      </c>
      <c r="AD66">
        <f>COUNTIFS('DATOS LIMPIOS'!$E$5:$E$493,B66,'DATOS LIMPIOS'!$T$5:$T$493,"&lt;&gt;Octubre")</f>
        <v>0</v>
      </c>
      <c r="AE66" t="str">
        <f>IFERROR(AVERAGEIFS('DATOS LIMPIOS'!$M$5:$M$493,'DATOS LIMPIOS'!$E$5:$E$493,B66,'DATOS LIMPIOS'!$T$5:$T$493,"&lt;&gt;Octubre"),"")</f>
        <v/>
      </c>
      <c r="AF66" t="str">
        <f t="shared" si="20"/>
        <v>No</v>
      </c>
      <c r="AG66" t="str">
        <f t="shared" si="21"/>
        <v/>
      </c>
      <c r="AH66" t="str">
        <f t="shared" si="22"/>
        <v/>
      </c>
      <c r="AI66" t="str">
        <f t="shared" si="23"/>
        <v>Resto</v>
      </c>
      <c r="AJ66">
        <f>SUMIFS('DATOS LIMPIOS'!$M$5:$M$493,'DATOS LIMPIOS'!$E$5:$E$493,B66,'DATOS LIMPIOS'!$T$5:$T$493,"Octubre")</f>
        <v>7.728799162080545</v>
      </c>
      <c r="AK66">
        <f>COUNTIFS('DATOS LIMPIOS'!$E$5:$E$493,B66,'DATOS LIMPIOS'!$T$5:$T$493,"Octubre")</f>
        <v>1</v>
      </c>
    </row>
    <row r="67" spans="1:37" x14ac:dyDescent="0.2">
      <c r="A67">
        <v>64</v>
      </c>
      <c r="B67" t="str">
        <f t="array" ref="B67">IFERROR(INDEX('DATOS LIMPIOS'!$E$5:$E$493,MATCH(0,COUNTIF($B$3:B66,'DATOS LIMPIOS'!$E$5:$E$493),0)),"")</f>
        <v>¡Gracias por elegir L'Oréal! Tu belleza, nuestra inspiración</v>
      </c>
      <c r="C67">
        <f>COUNTIF('DATOS LIMPIOS'!$E$5:$E$493,B67)</f>
        <v>6</v>
      </c>
      <c r="D67">
        <f>AVERAGEIF('DATOS LIMPIOS'!$E$5:$E$493,B67,'DATOS LIMPIOS'!$M$5:$M$493)</f>
        <v>21.495532447877647</v>
      </c>
      <c r="E67">
        <f>AVERAGEIF('DATOS LIMPIOS'!$E$5:$E$493,B67,'DATOS LIMPIOS'!$N$5:$N$493)</f>
        <v>8.8055667558592674</v>
      </c>
      <c r="F67" t="str">
        <f>INDEX('DATOS LIMPIOS'!$B$5:$B$493,MATCH(B67,'DATOS LIMPIOS'!$E$5:$E$493,0))</f>
        <v>Customer Appreciation</v>
      </c>
      <c r="G67" t="str">
        <f>INDEX('DATOS LIMPIOS'!$AH$5:$AH$493,MATCH(B67,'DATOS LIMPIOS'!$E$5:$E$493,0))</f>
        <v>No</v>
      </c>
      <c r="H67" t="str">
        <f>INDEX('DATOS LIMPIOS'!$AN$5:$AN$493,MATCH(B67,'DATOS LIMPIOS'!$E$5:$E$493,0))</f>
        <v>Sí</v>
      </c>
      <c r="I67" t="str">
        <f>INDEX('DATOS LIMPIOS'!$AM$5:$AM$493,MATCH(B67,'DATOS LIMPIOS'!$E$5:$E$493,0))</f>
        <v>Sí</v>
      </c>
      <c r="J67" t="str">
        <f>INDEX('DATOS LIMPIOS'!$AJ$5:$AJ$493,MATCH(B67,'DATOS LIMPIOS'!$E$5:$E$493,0))</f>
        <v>No</v>
      </c>
      <c r="K67" t="str">
        <f>INDEX('DATOS LIMPIOS'!$AI$5:$AI$493,MATCH(B67,'DATOS LIMPIOS'!$E$5:$E$493,0))</f>
        <v>Sí</v>
      </c>
      <c r="L67" t="str">
        <f>INDEX('DATOS LIMPIOS'!$AR$5:$AR$493,MATCH(B67,'DATOS LIMPIOS'!$E$5:$E$493,0))</f>
        <v>Sí</v>
      </c>
      <c r="N67">
        <f>COUNTIFS('DATOS LIMPIOS'!$E$5:$E$493,B67,'DATOS LIMPIOS'!$T$5:$T$493,"&lt;&gt;Agosto")</f>
        <v>3</v>
      </c>
      <c r="O67">
        <f>IFERROR(AVERAGEIFS('DATOS LIMPIOS'!$M$5:$M$493,'DATOS LIMPIOS'!$E$5:$E$493,B67,'DATOS LIMPIOS'!$T$5:$T$493,"&lt;&gt;Agosto"),"")</f>
        <v>24.836388316265559</v>
      </c>
      <c r="P67" t="str">
        <f t="shared" si="12"/>
        <v>No</v>
      </c>
      <c r="Q67" t="str">
        <f t="shared" si="13"/>
        <v/>
      </c>
      <c r="R67" t="str">
        <f t="shared" si="14"/>
        <v/>
      </c>
      <c r="S67" t="str">
        <f t="shared" si="15"/>
        <v>Resto</v>
      </c>
      <c r="T67">
        <f>SUMIFS('DATOS LIMPIOS'!$M$5:$M$493,'DATOS LIMPIOS'!$E$5:$E$493,B67,'DATOS LIMPIOS'!$T$5:$T$493,"Agosto")</f>
        <v>54.464029738469193</v>
      </c>
      <c r="U67">
        <f>COUNTIFS('DATOS LIMPIOS'!$E$5:$E$493,B67,'DATOS LIMPIOS'!$T$5:$T$493,"Agosto")</f>
        <v>3</v>
      </c>
      <c r="V67">
        <f>COUNTIFS('DATOS LIMPIOS'!$E$5:$E$493,B67,'DATOS LIMPIOS'!$T$5:$T$493,"&lt;&gt;Septiembre")</f>
        <v>6</v>
      </c>
      <c r="W67">
        <f>IFERROR(AVERAGEIFS('DATOS LIMPIOS'!$M$5:$M$493,'DATOS LIMPIOS'!$E$5:$E$493,B67,'DATOS LIMPIOS'!$T$5:$T$493,"&lt;&gt;Septiembre"),"")</f>
        <v>21.495532447877647</v>
      </c>
      <c r="X67" t="str">
        <f t="shared" si="16"/>
        <v>Sí</v>
      </c>
      <c r="Y67">
        <f t="shared" si="17"/>
        <v>18</v>
      </c>
      <c r="Z67">
        <f t="shared" si="18"/>
        <v>8</v>
      </c>
      <c r="AA67" t="str">
        <f t="shared" si="19"/>
        <v>Resto</v>
      </c>
      <c r="AB67">
        <f>SUMIFS('DATOS LIMPIOS'!$M$5:$M$493,'DATOS LIMPIOS'!$E$5:$E$493,B67,'DATOS LIMPIOS'!$T$5:$T$493,"Septiembre")</f>
        <v>0</v>
      </c>
      <c r="AC67">
        <f>COUNTIFS('DATOS LIMPIOS'!$E$5:$E$493,B67,'DATOS LIMPIOS'!$T$5:$T$493,"Septiembre")</f>
        <v>0</v>
      </c>
      <c r="AD67">
        <f>COUNTIFS('DATOS LIMPIOS'!$E$5:$E$493,B67,'DATOS LIMPIOS'!$T$5:$T$493,"&lt;&gt;Octubre")</f>
        <v>3</v>
      </c>
      <c r="AE67">
        <f>IFERROR(AVERAGEIFS('DATOS LIMPIOS'!$M$5:$M$493,'DATOS LIMPIOS'!$E$5:$E$493,B67,'DATOS LIMPIOS'!$T$5:$T$493,"&lt;&gt;Octubre"),"")</f>
        <v>18.154676579489731</v>
      </c>
      <c r="AF67" t="str">
        <f t="shared" si="20"/>
        <v>No</v>
      </c>
      <c r="AG67" t="str">
        <f t="shared" si="21"/>
        <v/>
      </c>
      <c r="AH67" t="str">
        <f t="shared" si="22"/>
        <v/>
      </c>
      <c r="AI67" t="str">
        <f t="shared" si="23"/>
        <v>Resto</v>
      </c>
      <c r="AJ67">
        <f>SUMIFS('DATOS LIMPIOS'!$M$5:$M$493,'DATOS LIMPIOS'!$E$5:$E$493,B67,'DATOS LIMPIOS'!$T$5:$T$493,"Octubre")</f>
        <v>74.509164948796681</v>
      </c>
      <c r="AK67">
        <f>COUNTIFS('DATOS LIMPIOS'!$E$5:$E$493,B67,'DATOS LIMPIOS'!$T$5:$T$493,"Octubre")</f>
        <v>3</v>
      </c>
    </row>
    <row r="68" spans="1:37" x14ac:dyDescent="0.2">
      <c r="A68">
        <v>65</v>
      </c>
      <c r="B68" t="str">
        <f t="array" ref="B68">IFERROR(INDEX('DATOS LIMPIOS'!$E$5:$E$493,MATCH(0,COUNTIF($B$3:B67,'DATOS LIMPIOS'!$E$5:$E$493),0)),"")</f>
        <v>Actualización de L'Oréal: Lo más relevante</v>
      </c>
      <c r="C68">
        <f>COUNTIF('DATOS LIMPIOS'!$E$5:$E$493,B68)</f>
        <v>6</v>
      </c>
      <c r="D68">
        <f>AVERAGEIF('DATOS LIMPIOS'!$E$5:$E$493,B68,'DATOS LIMPIOS'!$M$5:$M$493)</f>
        <v>20.124757314949409</v>
      </c>
      <c r="E68">
        <f>AVERAGEIF('DATOS LIMPIOS'!$E$5:$E$493,B68,'DATOS LIMPIOS'!$N$5:$N$493)</f>
        <v>9.2859224718483002</v>
      </c>
      <c r="F68" t="str">
        <f>INDEX('DATOS LIMPIOS'!$B$5:$B$493,MATCH(B68,'DATOS LIMPIOS'!$E$5:$E$493,0))</f>
        <v>Newsletter</v>
      </c>
      <c r="G68" t="str">
        <f>INDEX('DATOS LIMPIOS'!$AH$5:$AH$493,MATCH(B68,'DATOS LIMPIOS'!$E$5:$E$493,0))</f>
        <v>Sí</v>
      </c>
      <c r="H68" t="str">
        <f>INDEX('DATOS LIMPIOS'!$AN$5:$AN$493,MATCH(B68,'DATOS LIMPIOS'!$E$5:$E$493,0))</f>
        <v>No</v>
      </c>
      <c r="I68" t="str">
        <f>INDEX('DATOS LIMPIOS'!$AM$5:$AM$493,MATCH(B68,'DATOS LIMPIOS'!$E$5:$E$493,0))</f>
        <v>No</v>
      </c>
      <c r="J68" t="str">
        <f>INDEX('DATOS LIMPIOS'!$AJ$5:$AJ$493,MATCH(B68,'DATOS LIMPIOS'!$E$5:$E$493,0))</f>
        <v>No</v>
      </c>
      <c r="K68" t="str">
        <f>INDEX('DATOS LIMPIOS'!$AI$5:$AI$493,MATCH(B68,'DATOS LIMPIOS'!$E$5:$E$493,0))</f>
        <v>No</v>
      </c>
      <c r="L68" t="str">
        <f>INDEX('DATOS LIMPIOS'!$AR$5:$AR$493,MATCH(B68,'DATOS LIMPIOS'!$E$5:$E$493,0))</f>
        <v>Sí</v>
      </c>
      <c r="N68">
        <f>COUNTIFS('DATOS LIMPIOS'!$E$5:$E$493,B68,'DATOS LIMPIOS'!$T$5:$T$493,"&lt;&gt;Agosto")</f>
        <v>2</v>
      </c>
      <c r="O68">
        <f>IFERROR(AVERAGEIFS('DATOS LIMPIOS'!$M$5:$M$493,'DATOS LIMPIOS'!$E$5:$E$493,B68,'DATOS LIMPIOS'!$T$5:$T$493,"&lt;&gt;Agosto"),"")</f>
        <v>11.913700810583258</v>
      </c>
      <c r="P68" t="str">
        <f t="shared" si="12"/>
        <v>No</v>
      </c>
      <c r="Q68" t="str">
        <f t="shared" ref="Q68:Q99" si="24">IF(P68="Sí",SUMPRODUCT(($P$4:$P$69="Sí")*($O$4:$O$69&gt;O68))+1,"")</f>
        <v/>
      </c>
      <c r="R68" t="str">
        <f t="shared" si="14"/>
        <v/>
      </c>
      <c r="S68" t="str">
        <f t="shared" ref="S68:S99" si="25">IF(P68&lt;&gt;"Sí","Resto",IF(Q68&lt;=5,"5 mejores",IF(R68&lt;=5,"5 peores","Resto")))</f>
        <v>Resto</v>
      </c>
      <c r="T68">
        <f>SUMIFS('DATOS LIMPIOS'!$M$5:$M$493,'DATOS LIMPIOS'!$E$5:$E$493,B68,'DATOS LIMPIOS'!$T$5:$T$493,"Agosto")</f>
        <v>96.921142268529962</v>
      </c>
      <c r="U68">
        <f>COUNTIFS('DATOS LIMPIOS'!$E$5:$E$493,B68,'DATOS LIMPIOS'!$T$5:$T$493,"Agosto")</f>
        <v>4</v>
      </c>
      <c r="V68">
        <f>COUNTIFS('DATOS LIMPIOS'!$E$5:$E$493,B68,'DATOS LIMPIOS'!$T$5:$T$493,"&lt;&gt;Septiembre")</f>
        <v>6</v>
      </c>
      <c r="W68">
        <f>IFERROR(AVERAGEIFS('DATOS LIMPIOS'!$M$5:$M$493,'DATOS LIMPIOS'!$E$5:$E$493,B68,'DATOS LIMPIOS'!$T$5:$T$493,"&lt;&gt;Septiembre"),"")</f>
        <v>20.124757314949409</v>
      </c>
      <c r="X68" t="str">
        <f t="shared" si="16"/>
        <v>Sí</v>
      </c>
      <c r="Y68">
        <f t="shared" ref="Y68:Y99" si="26">IF(X68="Sí",SUMPRODUCT(($X$4:$X$69="Sí")*($W$4:$W$69&gt;W68))+1,"")</f>
        <v>21</v>
      </c>
      <c r="Z68">
        <f t="shared" si="18"/>
        <v>5</v>
      </c>
      <c r="AA68" t="str">
        <f t="shared" ref="AA68:AA99" si="27">IF(X68&lt;&gt;"Sí","Resto",IF(Y68&lt;=5,"5 mejores",IF(Z68&lt;=5,"5 peores","Resto")))</f>
        <v>5 peores</v>
      </c>
      <c r="AB68">
        <f>SUMIFS('DATOS LIMPIOS'!$M$5:$M$493,'DATOS LIMPIOS'!$E$5:$E$493,B68,'DATOS LIMPIOS'!$T$5:$T$493,"Septiembre")</f>
        <v>0</v>
      </c>
      <c r="AC68">
        <f>COUNTIFS('DATOS LIMPIOS'!$E$5:$E$493,B68,'DATOS LIMPIOS'!$T$5:$T$493,"Septiembre")</f>
        <v>0</v>
      </c>
      <c r="AD68">
        <f>COUNTIFS('DATOS LIMPIOS'!$E$5:$E$493,B68,'DATOS LIMPIOS'!$T$5:$T$493,"&lt;&gt;Octubre")</f>
        <v>4</v>
      </c>
      <c r="AE68">
        <f>IFERROR(AVERAGEIFS('DATOS LIMPIOS'!$M$5:$M$493,'DATOS LIMPIOS'!$E$5:$E$493,B68,'DATOS LIMPIOS'!$T$5:$T$493,"&lt;&gt;Octubre"),"")</f>
        <v>24.230285567132491</v>
      </c>
      <c r="AF68" t="str">
        <f t="shared" si="20"/>
        <v>No</v>
      </c>
      <c r="AG68" t="str">
        <f t="shared" ref="AG68:AG99" si="28">IF(AF68="Sí",SUMPRODUCT(($AF$4:$AF$69="Sí")*($AE$4:$AE$69&gt;AE68))+1,"")</f>
        <v/>
      </c>
      <c r="AH68" t="str">
        <f t="shared" si="22"/>
        <v/>
      </c>
      <c r="AI68" t="str">
        <f t="shared" ref="AI68:AI99" si="29">IF(AF68&lt;&gt;"Sí","Resto",IF(AG68&lt;=5,"5 mejores",IF(AH68&lt;=5,"5 peores","Resto")))</f>
        <v>Resto</v>
      </c>
      <c r="AJ68">
        <f>SUMIFS('DATOS LIMPIOS'!$M$5:$M$493,'DATOS LIMPIOS'!$E$5:$E$493,B68,'DATOS LIMPIOS'!$T$5:$T$493,"Octubre")</f>
        <v>23.827401621166516</v>
      </c>
      <c r="AK68">
        <f>COUNTIFS('DATOS LIMPIOS'!$E$5:$E$493,B68,'DATOS LIMPIOS'!$T$5:$T$493,"Octubre")</f>
        <v>2</v>
      </c>
    </row>
    <row r="69" spans="1:37" x14ac:dyDescent="0.2">
      <c r="A69">
        <v>66</v>
      </c>
      <c r="B69" t="str">
        <f t="array" ref="B69">IFERROR(INDEX('DATOS LIMPIOS'!$E$5:$E$493,MATCH(0,COUNTIF($B$3:B68,'DATOS LIMPIOS'!$E$5:$E$493),0)),"")</f>
        <v>¡Un pequeño detalle para agradecerte tu lealtad! L'Oréal</v>
      </c>
      <c r="C69">
        <f>COUNTIF('DATOS LIMPIOS'!$E$5:$E$493,B69)</f>
        <v>14</v>
      </c>
      <c r="D69">
        <f>AVERAGEIF('DATOS LIMPIOS'!$E$5:$E$493,B69,'DATOS LIMPIOS'!$M$5:$M$493)</f>
        <v>20.724631699294946</v>
      </c>
      <c r="E69">
        <f>AVERAGEIF('DATOS LIMPIOS'!$E$5:$E$493,B69,'DATOS LIMPIOS'!$N$5:$N$493)</f>
        <v>7.8195809033385801</v>
      </c>
      <c r="F69" t="str">
        <f>INDEX('DATOS LIMPIOS'!$B$5:$B$493,MATCH(B69,'DATOS LIMPIOS'!$E$5:$E$493,0))</f>
        <v>Customer Appreciation</v>
      </c>
      <c r="G69" t="str">
        <f>INDEX('DATOS LIMPIOS'!$AH$5:$AH$493,MATCH(B69,'DATOS LIMPIOS'!$E$5:$E$493,0))</f>
        <v>Sí</v>
      </c>
      <c r="H69" t="str">
        <f>INDEX('DATOS LIMPIOS'!$AN$5:$AN$493,MATCH(B69,'DATOS LIMPIOS'!$E$5:$E$493,0))</f>
        <v>Sí</v>
      </c>
      <c r="I69" t="str">
        <f>INDEX('DATOS LIMPIOS'!$AM$5:$AM$493,MATCH(B69,'DATOS LIMPIOS'!$E$5:$E$493,0))</f>
        <v>No</v>
      </c>
      <c r="J69" t="str">
        <f>INDEX('DATOS LIMPIOS'!$AJ$5:$AJ$493,MATCH(B69,'DATOS LIMPIOS'!$E$5:$E$493,0))</f>
        <v>No</v>
      </c>
      <c r="K69" t="str">
        <f>INDEX('DATOS LIMPIOS'!$AI$5:$AI$493,MATCH(B69,'DATOS LIMPIOS'!$E$5:$E$493,0))</f>
        <v>No</v>
      </c>
      <c r="L69" t="str">
        <f>INDEX('DATOS LIMPIOS'!$AR$5:$AR$493,MATCH(B69,'DATOS LIMPIOS'!$E$5:$E$493,0))</f>
        <v>Sí</v>
      </c>
      <c r="N69">
        <f>COUNTIFS('DATOS LIMPIOS'!$E$5:$E$493,B69,'DATOS LIMPIOS'!$T$5:$T$493,"&lt;&gt;Agosto")</f>
        <v>6</v>
      </c>
      <c r="O69">
        <f>IFERROR(AVERAGEIFS('DATOS LIMPIOS'!$M$5:$M$493,'DATOS LIMPIOS'!$E$5:$E$493,B69,'DATOS LIMPIOS'!$T$5:$T$493,"&lt;&gt;Agosto"),"")</f>
        <v>17.920164280850866</v>
      </c>
      <c r="P69" t="str">
        <f t="shared" si="12"/>
        <v>Sí</v>
      </c>
      <c r="Q69">
        <f t="shared" si="24"/>
        <v>16</v>
      </c>
      <c r="R69">
        <f t="shared" si="14"/>
        <v>6</v>
      </c>
      <c r="S69" t="str">
        <f t="shared" si="25"/>
        <v>Resto</v>
      </c>
      <c r="T69">
        <f>SUMIFS('DATOS LIMPIOS'!$M$5:$M$493,'DATOS LIMPIOS'!$E$5:$E$493,B69,'DATOS LIMPIOS'!$T$5:$T$493,"Agosto")</f>
        <v>182.62385810502408</v>
      </c>
      <c r="U69">
        <f>COUNTIFS('DATOS LIMPIOS'!$E$5:$E$493,B69,'DATOS LIMPIOS'!$T$5:$T$493,"Agosto")</f>
        <v>8</v>
      </c>
      <c r="V69">
        <f>COUNTIFS('DATOS LIMPIOS'!$E$5:$E$493,B69,'DATOS LIMPIOS'!$T$5:$T$493,"&lt;&gt;Septiembre")</f>
        <v>10</v>
      </c>
      <c r="W69">
        <f>IFERROR(AVERAGEIFS('DATOS LIMPIOS'!$M$5:$M$493,'DATOS LIMPIOS'!$E$5:$E$493,B69,'DATOS LIMPIOS'!$T$5:$T$493,"&lt;&gt;Septiembre"),"")</f>
        <v>21.243688198428078</v>
      </c>
      <c r="X69" t="str">
        <f t="shared" si="16"/>
        <v>Sí</v>
      </c>
      <c r="Y69">
        <f t="shared" si="26"/>
        <v>20</v>
      </c>
      <c r="Z69">
        <f t="shared" si="18"/>
        <v>6</v>
      </c>
      <c r="AA69" t="str">
        <f t="shared" si="27"/>
        <v>Resto</v>
      </c>
      <c r="AB69">
        <f>SUMIFS('DATOS LIMPIOS'!$M$5:$M$493,'DATOS LIMPIOS'!$E$5:$E$493,B69,'DATOS LIMPIOS'!$T$5:$T$493,"Septiembre")</f>
        <v>77.707961805848498</v>
      </c>
      <c r="AC69">
        <f>COUNTIFS('DATOS LIMPIOS'!$E$5:$E$493,B69,'DATOS LIMPIOS'!$T$5:$T$493,"Septiembre")</f>
        <v>4</v>
      </c>
      <c r="AD69">
        <f>COUNTIFS('DATOS LIMPIOS'!$E$5:$E$493,B69,'DATOS LIMPIOS'!$T$5:$T$493,"&lt;&gt;Octubre")</f>
        <v>12</v>
      </c>
      <c r="AE69">
        <f>IFERROR(AVERAGEIFS('DATOS LIMPIOS'!$M$5:$M$493,'DATOS LIMPIOS'!$E$5:$E$493,B69,'DATOS LIMPIOS'!$T$5:$T$493,"&lt;&gt;Octubre"),"")</f>
        <v>21.69431832590605</v>
      </c>
      <c r="AF69" t="str">
        <f t="shared" si="20"/>
        <v>Sí</v>
      </c>
      <c r="AG69">
        <f t="shared" si="28"/>
        <v>16</v>
      </c>
      <c r="AH69">
        <f t="shared" si="22"/>
        <v>10</v>
      </c>
      <c r="AI69" t="str">
        <f t="shared" si="29"/>
        <v>Resto</v>
      </c>
      <c r="AJ69">
        <f>SUMIFS('DATOS LIMPIOS'!$M$5:$M$493,'DATOS LIMPIOS'!$E$5:$E$493,B69,'DATOS LIMPIOS'!$T$5:$T$493,"Octubre")</f>
        <v>29.81302387925669</v>
      </c>
      <c r="AK69">
        <f>COUNTIFS('DATOS LIMPIOS'!$E$5:$E$493,B69,'DATOS LIMPIOS'!$T$5:$T$493,"Octubre")</f>
        <v>2</v>
      </c>
    </row>
    <row r="72" spans="1:37" x14ac:dyDescent="0.2">
      <c r="B72" s="111" t="s">
        <v>1503</v>
      </c>
    </row>
    <row r="73" spans="1:37" x14ac:dyDescent="0.2">
      <c r="A73">
        <v>1</v>
      </c>
      <c r="B73" t="str">
        <f t="array" ref="B73">INDEX(_calculos!$B$4:$B$69,MATCH(LARGE(IF(_calculos!$C$4:$C$69&gt;=8,_calculos!$D$4:$D$69+ROW(_calculos!$C$4:$C$69)/1000000),A73),_calculos!$D$4:$D$69+ROW(_calculos!$C$4:$C$69)/1000000,0))</f>
        <v>¡Ahorra YA! Flash Sale: Hasta 50% en tus favoritos</v>
      </c>
      <c r="C73">
        <f>INDEX(_calculos!$D$4:$D$69,MATCH(B73,_calculos!$B$4:$B$69,0))</f>
        <v>41.593592985418489</v>
      </c>
      <c r="D73">
        <f>INDEX(_calculos!$E$4:$E$69,MATCH(B73,_calculos!$B$4:$B$69,0))</f>
        <v>10.640007862164545</v>
      </c>
    </row>
    <row r="74" spans="1:37" x14ac:dyDescent="0.2">
      <c r="A74">
        <v>2</v>
      </c>
      <c r="B74" t="str">
        <f t="array" ref="B74">INDEX(_calculos!$B$4:$B$69,MATCH(LARGE(IF(_calculos!$C$4:$C$69&gt;=8,_calculos!$D$4:$D$69+ROW(_calculos!$C$4:$C$69)/1000000),A74),_calculos!$D$4:$D$69+ROW(_calculos!$C$4:$C$69)/1000000,0))</f>
        <v>¡Tu lealtad tiene recompensa! Descúbrela, sorpresas para ti</v>
      </c>
      <c r="C74">
        <f>INDEX(_calculos!$D$4:$D$69,MATCH(B74,_calculos!$B$4:$B$69,0))</f>
        <v>40.72142758959253</v>
      </c>
      <c r="D74">
        <f>INDEX(_calculos!$E$4:$E$69,MATCH(B74,_calculos!$B$4:$B$69,0))</f>
        <v>10.084078499747937</v>
      </c>
    </row>
    <row r="75" spans="1:37" x14ac:dyDescent="0.2">
      <c r="A75">
        <v>3</v>
      </c>
      <c r="B75" t="str">
        <f t="array" ref="B75">INDEX(_calculos!$B$4:$B$69,MATCH(LARGE(IF(_calculos!$C$4:$C$69&gt;=8,_calculos!$D$4:$D$69+ROW(_calculos!$C$4:$C$69)/1000000),A75),_calculos!$D$4:$D$69+ROW(_calculos!$C$4:$C$69)/1000000,0))</f>
        <v>¡Pensamos en ti! Descubre estas sorpresas exclusivas</v>
      </c>
      <c r="C75">
        <f>INDEX(_calculos!$D$4:$D$69,MATCH(B75,_calculos!$B$4:$B$69,0))</f>
        <v>39.210446566150395</v>
      </c>
      <c r="D75">
        <f>INDEX(_calculos!$E$4:$E$69,MATCH(B75,_calculos!$B$4:$B$69,0))</f>
        <v>12.290336402782355</v>
      </c>
    </row>
    <row r="76" spans="1:37" x14ac:dyDescent="0.2">
      <c r="A76">
        <v>4</v>
      </c>
      <c r="B76" t="str">
        <f t="array" ref="B76">INDEX(_calculos!$B$4:$B$69,MATCH(LARGE(IF(_calculos!$C$4:$C$69&gt;=8,_calculos!$D$4:$D$69+ROW(_calculos!$C$4:$C$69)/1000000),A76),_calculos!$D$4:$D$69+ROW(_calculos!$C$4:$C$69)/1000000,0))</f>
        <v>¡Solo un clic te separa de estas ofertas! L'Oréal Paris</v>
      </c>
      <c r="C76">
        <f>INDEX(_calculos!$D$4:$D$69,MATCH(B76,_calculos!$B$4:$B$69,0))</f>
        <v>38.720231784441999</v>
      </c>
      <c r="D76">
        <f>INDEX(_calculos!$E$4:$E$69,MATCH(B76,_calculos!$B$4:$B$69,0))</f>
        <v>13.442773238180321</v>
      </c>
    </row>
    <row r="77" spans="1:37" x14ac:dyDescent="0.2">
      <c r="A77">
        <v>5</v>
      </c>
      <c r="B77" t="str">
        <f t="array" ref="B77">INDEX(_calculos!$B$4:$B$69,MATCH(LARGE(IF(_calculos!$C$4:$C$69&gt;=8,_calculos!$D$4:$D$69+ROW(_calculos!$C$4:$C$69)/1000000),A77),_calculos!$D$4:$D$69+ROW(_calculos!$C$4:$C$69)/1000000,0))</f>
        <v>Lo último en L'Oréal: Mantente informad@ de las novedades</v>
      </c>
      <c r="C77">
        <f>INDEX(_calculos!$D$4:$D$69,MATCH(B77,_calculos!$B$4:$B$69,0))</f>
        <v>36.827379346292652</v>
      </c>
      <c r="D77">
        <f>INDEX(_calculos!$E$4:$E$69,MATCH(B77,_calculos!$B$4:$B$69,0))</f>
        <v>11.21179435454512</v>
      </c>
    </row>
    <row r="78" spans="1:37" x14ac:dyDescent="0.2">
      <c r="A78">
        <v>6</v>
      </c>
      <c r="B78" t="str">
        <f t="array" ref="B78">INDEX(_calculos!$B$4:$B$69,MATCH(LARGE(IF(_calculos!$C$4:$C$69&gt;=8,_calculos!$D$4:$D$69+ROW(_calculos!$C$4:$C$69)/1000000),A78),_calculos!$D$4:$D$69+ROW(_calculos!$C$4:$C$69)/1000000,0))</f>
        <v>¡El futuro de tu piel ha llegado! Nuevo Producto revolucionario</v>
      </c>
      <c r="C78">
        <f>INDEX(_calculos!$D$4:$D$69,MATCH(B78,_calculos!$B$4:$B$69,0))</f>
        <v>36.132518317209367</v>
      </c>
      <c r="D78">
        <f>INDEX(_calculos!$E$4:$E$69,MATCH(B78,_calculos!$B$4:$B$69,0))</f>
        <v>12.286279963650317</v>
      </c>
    </row>
    <row r="79" spans="1:37" x14ac:dyDescent="0.2">
      <c r="A79">
        <v>7</v>
      </c>
      <c r="B79" t="str">
        <f t="array" ref="B79">INDEX(_calculos!$B$4:$B$69,MATCH(LARGE(IF(_calculos!$C$4:$C$69&gt;=8,_calculos!$D$4:$D$69+ROW(_calculos!$C$4:$C$69)/1000000),A79),_calculos!$D$4:$D$69+ROW(_calculos!$C$4:$C$69)/1000000,0))</f>
        <v>¡Aprovecha los descuentos! Temporada de Fiestas, beauty deals</v>
      </c>
      <c r="C79">
        <f>INDEX(_calculos!$D$4:$D$69,MATCH(B79,_calculos!$B$4:$B$69,0))</f>
        <v>35.565837226891659</v>
      </c>
      <c r="D79">
        <f>INDEX(_calculos!$E$4:$E$69,MATCH(B79,_calculos!$B$4:$B$69,0))</f>
        <v>9.1636304893164979</v>
      </c>
    </row>
    <row r="80" spans="1:37" x14ac:dyDescent="0.2">
      <c r="A80">
        <v>8</v>
      </c>
      <c r="B80" t="str">
        <f t="array" ref="B80">INDEX(_calculos!$B$4:$B$69,MATCH(LARGE(IF(_calculos!$C$4:$C$69&gt;=8,_calculos!$D$4:$D$69+ROW(_calculos!$C$4:$C$69)/1000000),A80),_calculos!$D$4:$D$69+ROW(_calculos!$C$4:$C$69)/1000000,0))</f>
        <v>¡Regalos perfectos te esperan! Descuentos de Lujo, L'Oréal</v>
      </c>
      <c r="C80">
        <f>INDEX(_calculos!$D$4:$D$69,MATCH(B80,_calculos!$B$4:$B$69,0))</f>
        <v>35.409886702202286</v>
      </c>
      <c r="D80">
        <f>INDEX(_calculos!$E$4:$E$69,MATCH(B80,_calculos!$B$4:$B$69,0))</f>
        <v>10.180271791541561</v>
      </c>
    </row>
    <row r="81" spans="1:4" x14ac:dyDescent="0.2">
      <c r="A81">
        <v>9</v>
      </c>
      <c r="B81" t="str">
        <f t="array" ref="B81">INDEX(_calculos!$B$4:$B$69,MATCH(LARGE(IF(_calculos!$C$4:$C$69&gt;=8,_calculos!$D$4:$D$69+ROW(_calculos!$C$4:$C$69)/1000000),A81),_calculos!$D$4:$D$69+ROW(_calculos!$C$4:$C$69)/1000000,0))</f>
        <v>Tu Dosis de Belleza: ¡No te lo pierdas! Tips y trucos</v>
      </c>
      <c r="C81">
        <f>INDEX(_calculos!$D$4:$D$69,MATCH(B81,_calculos!$B$4:$B$69,0))</f>
        <v>33.412775116147934</v>
      </c>
      <c r="D81">
        <f>INDEX(_calculos!$E$4:$E$69,MATCH(B81,_calculos!$B$4:$B$69,0))</f>
        <v>12.982833908482792</v>
      </c>
    </row>
    <row r="82" spans="1:4" x14ac:dyDescent="0.2">
      <c r="A82">
        <v>10</v>
      </c>
      <c r="B82" t="str">
        <f t="array" ref="B82">INDEX(_calculos!$B$4:$B$69,MATCH(LARGE(IF(_calculos!$C$4:$C$69&gt;=8,_calculos!$D$4:$D$69+ROW(_calculos!$C$4:$C$69)/1000000),A82),_calculos!$D$4:$D$69+ROW(_calculos!$C$4:$C$69)/1000000,0))</f>
        <v>¡Ofertas Exclusivas! Solo para nuestra comunidad VIP</v>
      </c>
      <c r="C82">
        <f>INDEX(_calculos!$D$4:$D$69,MATCH(B82,_calculos!$B$4:$B$69,0))</f>
        <v>33.047230763392911</v>
      </c>
      <c r="D82">
        <f>INDEX(_calculos!$E$4:$E$69,MATCH(B82,_calculos!$B$4:$B$69,0))</f>
        <v>8.8191240837739784</v>
      </c>
    </row>
    <row r="83" spans="1:4" x14ac:dyDescent="0.2">
      <c r="A83">
        <v>11</v>
      </c>
      <c r="B83" t="str">
        <f t="array" ref="B83">INDEX(_calculos!$B$4:$B$69,MATCH(LARGE(IF(_calculos!$C$4:$C$69&gt;=8,_calculos!$D$4:$D$69+ROW(_calculos!$C$4:$C$69)/1000000),A83),_calculos!$D$4:$D$69+ROW(_calculos!$C$4:$C$69)/1000000,0))</f>
        <v>¡Lo nuevo de L'Oréal! Te va a encantar: innovación en belleza</v>
      </c>
      <c r="C83">
        <f>INDEX(_calculos!$D$4:$D$69,MATCH(B83,_calculos!$B$4:$B$69,0))</f>
        <v>30.93688234168668</v>
      </c>
      <c r="D83">
        <f>INDEX(_calculos!$E$4:$E$69,MATCH(B83,_calculos!$B$4:$B$69,0))</f>
        <v>11.943638509771747</v>
      </c>
    </row>
    <row r="84" spans="1:4" x14ac:dyDescent="0.2">
      <c r="A84">
        <v>12</v>
      </c>
      <c r="B84" t="str">
        <f t="array" ref="B84">INDEX(_calculos!$B$4:$B$69,MATCH(LARGE(IF(_calculos!$C$4:$C$69&gt;=8,_calculos!$D$4:$D$69+ROW(_calculos!$C$4:$C$69)/1000000),A84),_calculos!$D$4:$D$69+ROW(_calculos!$C$4:$C$69)/1000000,0))</f>
        <v>¡Celebra con nosotros! Descuentos festivos para regalar</v>
      </c>
      <c r="C84">
        <f>INDEX(_calculos!$D$4:$D$69,MATCH(B84,_calculos!$B$4:$B$69,0))</f>
        <v>29.233022524783024</v>
      </c>
      <c r="D84">
        <f>INDEX(_calculos!$E$4:$E$69,MATCH(B84,_calculos!$B$4:$B$69,0))</f>
        <v>7.9784637705697268</v>
      </c>
    </row>
    <row r="85" spans="1:4" x14ac:dyDescent="0.2">
      <c r="A85">
        <v>13</v>
      </c>
      <c r="B85" t="str">
        <f t="array" ref="B85">INDEX(_calculos!$B$4:$B$69,MATCH(LARGE(IF(_calculos!$C$4:$C$69&gt;=8,_calculos!$D$4:$D$69+ROW(_calculos!$C$4:$C$69)/1000000),A85),_calculos!$D$4:$D$69+ROW(_calculos!$C$4:$C$69)/1000000,0))</f>
        <v>Presentamos: Nuestro último lanzamiento de belleza ¡Imperdible!</v>
      </c>
      <c r="C85">
        <f>INDEX(_calculos!$D$4:$D$69,MATCH(B85,_calculos!$B$4:$B$69,0))</f>
        <v>23.315840784070005</v>
      </c>
      <c r="D85">
        <f>INDEX(_calculos!$E$4:$E$69,MATCH(B85,_calculos!$B$4:$B$69,0))</f>
        <v>8.3866728214971751</v>
      </c>
    </row>
    <row r="86" spans="1:4" x14ac:dyDescent="0.2">
      <c r="A86">
        <v>14</v>
      </c>
      <c r="B86" t="str">
        <f t="array" ref="B86">INDEX(_calculos!$B$4:$B$69,MATCH(LARGE(IF(_calculos!$C$4:$C$69&gt;=8,_calculos!$D$4:$D$69+ROW(_calculos!$C$4:$C$69)/1000000),A86),_calculos!$D$4:$D$69+ROW(_calculos!$C$4:$C$69)/1000000,0))</f>
        <v>Tu dosis semanal de belleza: Novedades y tips</v>
      </c>
      <c r="C86">
        <f>INDEX(_calculos!$D$4:$D$69,MATCH(B86,_calculos!$B$4:$B$69,0))</f>
        <v>22.891293825435607</v>
      </c>
      <c r="D86">
        <f>INDEX(_calculos!$E$4:$E$69,MATCH(B86,_calculos!$B$4:$B$69,0))</f>
        <v>8.950219304858523</v>
      </c>
    </row>
    <row r="87" spans="1:4" x14ac:dyDescent="0.2">
      <c r="A87">
        <v>15</v>
      </c>
      <c r="B87" t="str">
        <f t="array" ref="B87">INDEX(_calculos!$B$4:$B$69,MATCH(LARGE(IF(_calculos!$C$4:$C$69&gt;=8,_calculos!$D$4:$D$69+ROW(_calculos!$C$4:$C$69)/1000000),A87),_calculos!$D$4:$D$69+ROW(_calculos!$C$4:$C$69)/1000000,0))</f>
        <v>¡Aprovecha antes de que se acabe! Oferta Flash, productos top</v>
      </c>
      <c r="C87">
        <f>INDEX(_calculos!$D$4:$D$69,MATCH(B87,_calculos!$B$4:$B$69,0))</f>
        <v>22.775066640377752</v>
      </c>
      <c r="D87">
        <f>INDEX(_calculos!$E$4:$E$69,MATCH(B87,_calculos!$B$4:$B$69,0))</f>
        <v>7.6719520838610986</v>
      </c>
    </row>
    <row r="88" spans="1:4" x14ac:dyDescent="0.2">
      <c r="A88">
        <v>16</v>
      </c>
      <c r="B88" t="str">
        <f t="array" ref="B88">INDEX(_calculos!$B$4:$B$69,MATCH(LARGE(IF(_calculos!$C$4:$C$69&gt;=8,_calculos!$D$4:$D$69+ROW(_calculos!$C$4:$C$69)/1000000),A88),_calculos!$D$4:$D$69+ROW(_calculos!$C$4:$C$69)/1000000,0))</f>
        <v>¡Ofertas de Temporada! Listas para ti, regalos perfectos</v>
      </c>
      <c r="C88">
        <f>INDEX(_calculos!$D$4:$D$69,MATCH(B88,_calculos!$B$4:$B$69,0))</f>
        <v>21.434915192427972</v>
      </c>
      <c r="D88">
        <f>INDEX(_calculos!$E$4:$E$69,MATCH(B88,_calculos!$B$4:$B$69,0))</f>
        <v>7.2719368394638622</v>
      </c>
    </row>
    <row r="89" spans="1:4" x14ac:dyDescent="0.2">
      <c r="A89">
        <v>17</v>
      </c>
      <c r="B89" t="str">
        <f t="array" ref="B89">INDEX(_calculos!$B$4:$B$69,MATCH(LARGE(IF(_calculos!$C$4:$C$69&gt;=8,_calculos!$D$4:$D$69+ROW(_calculos!$C$4:$C$69)/1000000),A89),_calculos!$D$4:$D$69+ROW(_calculos!$C$4:$C$69)/1000000,0))</f>
        <v>¡Exclusivo para nuestros clientes VIP! Acceso limitado</v>
      </c>
      <c r="C89">
        <f>INDEX(_calculos!$D$4:$D$69,MATCH(B89,_calculos!$B$4:$B$69,0))</f>
        <v>21.363100647493706</v>
      </c>
      <c r="D89">
        <f>INDEX(_calculos!$E$4:$E$69,MATCH(B89,_calculos!$B$4:$B$69,0))</f>
        <v>7.2412428235406834</v>
      </c>
    </row>
    <row r="90" spans="1:4" x14ac:dyDescent="0.2">
      <c r="A90">
        <v>18</v>
      </c>
      <c r="B90" t="str">
        <f t="array" ref="B90">INDEX(_calculos!$B$4:$B$69,MATCH(LARGE(IF(_calculos!$C$4:$C$69&gt;=8,_calculos!$D$4:$D$69+ROW(_calculos!$C$4:$C$69)/1000000),A90),_calculos!$D$4:$D$69+ROW(_calculos!$C$4:$C$69)/1000000,0))</f>
        <v>¡Un pequeño detalle para agradecerte tu lealtad! L'Oréal</v>
      </c>
      <c r="C90">
        <f>INDEX(_calculos!$D$4:$D$69,MATCH(B90,_calculos!$B$4:$B$69,0))</f>
        <v>20.724631699294946</v>
      </c>
      <c r="D90">
        <f>INDEX(_calculos!$E$4:$E$69,MATCH(B90,_calculos!$B$4:$B$69,0))</f>
        <v>7.8195809033385801</v>
      </c>
    </row>
    <row r="91" spans="1:4" x14ac:dyDescent="0.2">
      <c r="A91">
        <v>19</v>
      </c>
      <c r="B91" t="str">
        <f t="array" ref="B91">INDEX(_calculos!$B$4:$B$69,MATCH(LARGE(IF(_calculos!$C$4:$C$69&gt;=8,_calculos!$D$4:$D$69+ROW(_calculos!$C$4:$C$69)/1000000),A91),_calculos!$D$4:$D$69+ROW(_calculos!$C$4:$C$69)/1000000,0))</f>
        <v>¡Oportunidad Única! Solo por hoy, tus favoritos a un clic</v>
      </c>
      <c r="C91">
        <f>INDEX(_calculos!$D$4:$D$69,MATCH(B91,_calculos!$B$4:$B$69,0))</f>
        <v>18.428686186240089</v>
      </c>
      <c r="D91">
        <f>INDEX(_calculos!$E$4:$E$69,MATCH(B91,_calculos!$B$4:$B$69,0))</f>
        <v>7.0116974908304908</v>
      </c>
    </row>
    <row r="92" spans="1:4" x14ac:dyDescent="0.2">
      <c r="A92">
        <v>20</v>
      </c>
      <c r="B92" t="str">
        <f t="array" ref="B92">INDEX(_calculos!$B$4:$B$69,MATCH(LARGE(IF(_calculos!$C$4:$C$69&gt;=8,_calculos!$D$4:$D$69+ROW(_calculos!$C$4:$C$69)/1000000),A92),_calculos!$D$4:$D$69+ROW(_calculos!$C$4:$C$69)/1000000,0))</f>
        <v>¡Gran oferta! Por tiempo limitado, no te lo pierdas</v>
      </c>
      <c r="C92">
        <f>INDEX(_calculos!$D$4:$D$69,MATCH(B92,_calculos!$B$4:$B$69,0))</f>
        <v>17.395911943759799</v>
      </c>
      <c r="D92">
        <f>INDEX(_calculos!$E$4:$E$69,MATCH(B92,_calculos!$B$4:$B$69,0))</f>
        <v>9.2938358042444964</v>
      </c>
    </row>
    <row r="93" spans="1:4" x14ac:dyDescent="0.2">
      <c r="A93">
        <v>21</v>
      </c>
      <c r="B93" t="str">
        <f t="array" ref="B93">INDEX(_calculos!$B$4:$B$69,MATCH(LARGE(IF(_calculos!$C$4:$C$69&gt;=8,_calculos!$D$4:$D$69+ROW(_calculos!$C$4:$C$69)/1000000),A93),_calculos!$D$4:$D$69+ROW(_calculos!$C$4:$C$69)/1000000,0))</f>
        <v>Actualización de L'Oréal: ¿Qué hay de nuevo en el mundo beauty?</v>
      </c>
      <c r="C93">
        <f>INDEX(_calculos!$D$4:$D$69,MATCH(B93,_calculos!$B$4:$B$69,0))</f>
        <v>15.908213539730554</v>
      </c>
      <c r="D93">
        <f>INDEX(_calculos!$E$4:$E$69,MATCH(B93,_calculos!$B$4:$B$69,0))</f>
        <v>8.08965498759658</v>
      </c>
    </row>
    <row r="94" spans="1:4" x14ac:dyDescent="0.2">
      <c r="A94">
        <v>22</v>
      </c>
      <c r="B94" t="str">
        <f t="array" ref="B94">INDEX(_calculos!$B$4:$B$69,MATCH(LARGE(IF(_calculos!$C$4:$C$69&gt;=8,_calculos!$D$4:$D$69+ROW(_calculos!$C$4:$C$69)/1000000),A94),_calculos!$D$4:$D$69+ROW(_calculos!$C$4:$C$69)/1000000,0))</f>
        <v>¡Oportunidades de ahorro! Descúbrelas, solo para ti</v>
      </c>
      <c r="C94">
        <f>INDEX(_calculos!$D$4:$D$69,MATCH(B94,_calculos!$B$4:$B$69,0))</f>
        <v>10.717211021745861</v>
      </c>
      <c r="D94">
        <f>INDEX(_calculos!$E$4:$E$69,MATCH(B94,_calculos!$B$4:$B$69,0))</f>
        <v>7.8528886139407827</v>
      </c>
    </row>
    <row r="97" spans="1:5" x14ac:dyDescent="0.2">
      <c r="B97" s="111" t="s">
        <v>1504</v>
      </c>
    </row>
    <row r="98" spans="1:5" x14ac:dyDescent="0.2">
      <c r="A98">
        <v>1</v>
      </c>
      <c r="B98" t="str">
        <f t="array" ref="B98">INDEX(_calculos!$B$4:$B$69,MATCH(LARGE(IF(_calculos!$F$4:$F$69="Flash Sale",_calculos!$D$4:$D$69+ROW(_calculos!$C$4:$C$69)/1000000),A98),_calculos!$D$4:$D$69+ROW(_calculos!$C$4:$C$69)/1000000,0))</f>
        <v>Prepárate para un Ahorro Épico: ¡Flash Sale en toda la tienda!</v>
      </c>
      <c r="C98">
        <f>INDEX(_calculos!$C$4:$C$69,MATCH(B98,_calculos!$B$4:$B$69,0))</f>
        <v>1</v>
      </c>
      <c r="D98">
        <f>INDEX(_calculos!$D$4:$D$69,MATCH(B98,_calculos!$B$4:$B$69,0))</f>
        <v>49.696273744445357</v>
      </c>
      <c r="E98">
        <f>INDEX(_calculos!$E$4:$E$69,MATCH(B98,_calculos!$B$4:$B$69,0))</f>
        <v>2.4199190384977252</v>
      </c>
    </row>
    <row r="99" spans="1:5" x14ac:dyDescent="0.2">
      <c r="A99">
        <v>2</v>
      </c>
      <c r="B99" t="str">
        <f t="array" ref="B99">INDEX(_calculos!$B$4:$B$69,MATCH(LARGE(IF(_calculos!$F$4:$F$69="Flash Sale",_calculos!$D$4:$D$69+ROW(_calculos!$C$4:$C$69)/1000000),A99),_calculos!$D$4:$D$69+ROW(_calculos!$C$4:$C$69)/1000000,0))</f>
        <v>¡Última Oportunidad! Descuentos de otro nivel en L'Oréal</v>
      </c>
      <c r="C99">
        <f>INDEX(_calculos!$C$4:$C$69,MATCH(B99,_calculos!$B$4:$B$69,0))</f>
        <v>1</v>
      </c>
      <c r="D99">
        <f>INDEX(_calculos!$D$4:$D$69,MATCH(B99,_calculos!$B$4:$B$69,0))</f>
        <v>45.547169571920087</v>
      </c>
      <c r="E99">
        <f>INDEX(_calculos!$E$4:$E$69,MATCH(B99,_calculos!$B$4:$B$69,0))</f>
        <v>13.681301136231466</v>
      </c>
    </row>
    <row r="100" spans="1:5" x14ac:dyDescent="0.2">
      <c r="A100">
        <v>3</v>
      </c>
      <c r="B100" t="str">
        <f t="array" ref="B100">INDEX(_calculos!$B$4:$B$69,MATCH(LARGE(IF(_calculos!$F$4:$F$69="Flash Sale",_calculos!$D$4:$D$69+ROW(_calculos!$C$4:$C$69)/1000000),A100),_calculos!$D$4:$D$69+ROW(_calculos!$C$4:$C$69)/1000000,0))</f>
        <v>🔥 Hot Sale Anticipado: ¡Precios de locura en L'Oréal Paris!</v>
      </c>
      <c r="C100">
        <f>INDEX(_calculos!$C$4:$C$69,MATCH(B100,_calculos!$B$4:$B$69,0))</f>
        <v>3</v>
      </c>
      <c r="D100">
        <f>INDEX(_calculos!$D$4:$D$69,MATCH(B100,_calculos!$B$4:$B$69,0))</f>
        <v>43.243161255628017</v>
      </c>
      <c r="E100">
        <f>INDEX(_calculos!$E$4:$E$69,MATCH(B100,_calculos!$B$4:$B$69,0))</f>
        <v>7.7863943515516043</v>
      </c>
    </row>
    <row r="101" spans="1:5" x14ac:dyDescent="0.2">
      <c r="A101">
        <v>4</v>
      </c>
      <c r="B101" t="str">
        <f t="array" ref="B101">INDEX(_calculos!$B$4:$B$69,MATCH(LARGE(IF(_calculos!$F$4:$F$69="Flash Sale",_calculos!$D$4:$D$69+ROW(_calculos!$C$4:$C$69)/1000000),A101),_calculos!$D$4:$D$69+ROW(_calculos!$C$4:$C$69)/1000000,0))</f>
        <v>¡Ahorra YA! Flash Sale: Hasta 50% en tus favoritos</v>
      </c>
      <c r="C101">
        <f>INDEX(_calculos!$C$4:$C$69,MATCH(B101,_calculos!$B$4:$B$69,0))</f>
        <v>21</v>
      </c>
      <c r="D101">
        <f>INDEX(_calculos!$D$4:$D$69,MATCH(B101,_calculos!$B$4:$B$69,0))</f>
        <v>41.593592985418489</v>
      </c>
      <c r="E101">
        <f>INDEX(_calculos!$E$4:$E$69,MATCH(B101,_calculos!$B$4:$B$69,0))</f>
        <v>10.640007862164545</v>
      </c>
    </row>
    <row r="102" spans="1:5" x14ac:dyDescent="0.2">
      <c r="A102">
        <v>5</v>
      </c>
      <c r="B102" t="str">
        <f t="array" ref="B102">INDEX(_calculos!$B$4:$B$69,MATCH(LARGE(IF(_calculos!$F$4:$F$69="Flash Sale",_calculos!$D$4:$D$69+ROW(_calculos!$C$4:$C$69)/1000000),A102),_calculos!$D$4:$D$69+ROW(_calculos!$C$4:$C$69)/1000000,0))</f>
        <v>🔥 Hot Sale Anticipado: ¡Precios increíbles en belleza!</v>
      </c>
      <c r="C102">
        <f>INDEX(_calculos!$C$4:$C$69,MATCH(B102,_calculos!$B$4:$B$69,0))</f>
        <v>3</v>
      </c>
      <c r="D102">
        <f>INDEX(_calculos!$D$4:$D$69,MATCH(B102,_calculos!$B$4:$B$69,0))</f>
        <v>39.278310607790992</v>
      </c>
      <c r="E102">
        <f>INDEX(_calculos!$E$4:$E$69,MATCH(B102,_calculos!$B$4:$B$69,0))</f>
        <v>8.9045127076499782</v>
      </c>
    </row>
    <row r="103" spans="1:5" x14ac:dyDescent="0.2">
      <c r="A103">
        <v>6</v>
      </c>
      <c r="B103" t="str">
        <f t="array" ref="B103">INDEX(_calculos!$B$4:$B$69,MATCH(LARGE(IF(_calculos!$F$4:$F$69="Flash Sale",_calculos!$D$4:$D$69+ROW(_calculos!$C$4:$C$69)/1000000),A103),_calculos!$D$4:$D$69+ROW(_calculos!$C$4:$C$69)/1000000,0))</f>
        <v>¡Oferta Express! No parpadees, tus productos favoritos te esperan</v>
      </c>
      <c r="C103">
        <f>INDEX(_calculos!$C$4:$C$69,MATCH(B103,_calculos!$B$4:$B$69,0))</f>
        <v>1</v>
      </c>
      <c r="D103">
        <f>INDEX(_calculos!$D$4:$D$69,MATCH(B103,_calculos!$B$4:$B$69,0))</f>
        <v>38.629986941941709</v>
      </c>
      <c r="E103">
        <f>INDEX(_calculos!$E$4:$E$69,MATCH(B103,_calculos!$B$4:$B$69,0))</f>
        <v>11.8568804114821</v>
      </c>
    </row>
    <row r="104" spans="1:5" x14ac:dyDescent="0.2">
      <c r="A104">
        <v>7</v>
      </c>
      <c r="B104" t="str">
        <f t="array" ref="B104">INDEX(_calculos!$B$4:$B$69,MATCH(LARGE(IF(_calculos!$F$4:$F$69="Flash Sale",_calculos!$D$4:$D$69+ROW(_calculos!$C$4:$C$69)/1000000),A104),_calculos!$D$4:$D$69+ROW(_calculos!$C$4:$C$69)/1000000,0))</f>
        <v>¡Ahorra en tus favoritos! Oferta Flash, solo por hoy</v>
      </c>
      <c r="C104">
        <f>INDEX(_calculos!$C$4:$C$69,MATCH(B104,_calculos!$B$4:$B$69,0))</f>
        <v>2</v>
      </c>
      <c r="D104">
        <f>INDEX(_calculos!$D$4:$D$69,MATCH(B104,_calculos!$B$4:$B$69,0))</f>
        <v>33.635625365301983</v>
      </c>
      <c r="E104">
        <f>INDEX(_calculos!$E$4:$E$69,MATCH(B104,_calculos!$B$4:$B$69,0))</f>
        <v>5.7188244796864947</v>
      </c>
    </row>
    <row r="105" spans="1:5" x14ac:dyDescent="0.2">
      <c r="A105">
        <v>8</v>
      </c>
      <c r="B105" t="str">
        <f t="array" ref="B105">INDEX(_calculos!$B$4:$B$69,MATCH(LARGE(IF(_calculos!$F$4:$F$69="Flash Sale",_calculos!$D$4:$D$69+ROW(_calculos!$C$4:$C$69)/1000000),A105),_calculos!$D$4:$D$69+ROW(_calculos!$C$4:$C$69)/1000000,0))</f>
        <v>¡Ofertas que te harán sonreír! Flash Sale en tus favoritos</v>
      </c>
      <c r="C105">
        <f>INDEX(_calculos!$C$4:$C$69,MATCH(B105,_calculos!$B$4:$B$69,0))</f>
        <v>4</v>
      </c>
      <c r="D105">
        <f>INDEX(_calculos!$D$4:$D$69,MATCH(B105,_calculos!$B$4:$B$69,0))</f>
        <v>31.964920766647268</v>
      </c>
      <c r="E105">
        <f>INDEX(_calculos!$E$4:$E$69,MATCH(B105,_calculos!$B$4:$B$69,0))</f>
        <v>12.939708880391272</v>
      </c>
    </row>
    <row r="106" spans="1:5" x14ac:dyDescent="0.2">
      <c r="A106">
        <v>9</v>
      </c>
      <c r="B106" t="str">
        <f t="array" ref="B106">INDEX(_calculos!$B$4:$B$69,MATCH(LARGE(IF(_calculos!$F$4:$F$69="Flash Sale",_calculos!$D$4:$D$69+ROW(_calculos!$C$4:$C$69)/1000000),A106),_calculos!$D$4:$D$69+ROW(_calculos!$C$4:$C$69)/1000000,0))</f>
        <v>Prepárate para un Ahorro Épico: ¡Flash Sale en todo!</v>
      </c>
      <c r="C106">
        <f>INDEX(_calculos!$C$4:$C$69,MATCH(B106,_calculos!$B$4:$B$69,0))</f>
        <v>2</v>
      </c>
      <c r="D106">
        <f>INDEX(_calculos!$D$4:$D$69,MATCH(B106,_calculos!$B$4:$B$69,0))</f>
        <v>30.71624165289527</v>
      </c>
      <c r="E106">
        <f>INDEX(_calculos!$E$4:$E$69,MATCH(B106,_calculos!$B$4:$B$69,0))</f>
        <v>13.306453442971776</v>
      </c>
    </row>
    <row r="107" spans="1:5" x14ac:dyDescent="0.2">
      <c r="A107">
        <v>10</v>
      </c>
      <c r="B107" t="str">
        <f t="array" ref="B107">INDEX(_calculos!$B$4:$B$69,MATCH(LARGE(IF(_calculos!$F$4:$F$69="Flash Sale",_calculos!$D$4:$D$69+ROW(_calculos!$C$4:$C$69)/1000000),A107),_calculos!$D$4:$D$69+ROW(_calculos!$C$4:$C$69)/1000000,0))</f>
        <v>🔥 Hot Sale Anticipado: ¡Precios de locura en maquillaje y más!</v>
      </c>
      <c r="C107">
        <f>INDEX(_calculos!$C$4:$C$69,MATCH(B107,_calculos!$B$4:$B$69,0))</f>
        <v>1</v>
      </c>
      <c r="D107">
        <f>INDEX(_calculos!$D$4:$D$69,MATCH(B107,_calculos!$B$4:$B$69,0))</f>
        <v>28.999873378796376</v>
      </c>
      <c r="E107">
        <f>INDEX(_calculos!$E$4:$E$69,MATCH(B107,_calculos!$B$4:$B$69,0))</f>
        <v>8.4319385189453744</v>
      </c>
    </row>
    <row r="108" spans="1:5" x14ac:dyDescent="0.2">
      <c r="A108">
        <v>11</v>
      </c>
      <c r="B108" t="str">
        <f t="array" ref="B108">INDEX(_calculos!$B$4:$B$69,MATCH(LARGE(IF(_calculos!$F$4:$F$69="Flash Sale",_calculos!$D$4:$D$69+ROW(_calculos!$C$4:$C$69)/1000000),A108),_calculos!$D$4:$D$69+ROW(_calculos!$C$4:$C$69)/1000000,0))</f>
        <v>¡Descuentos Imperdibles! Solo por tiempo limitado, no esperes</v>
      </c>
      <c r="C108">
        <f>INDEX(_calculos!$C$4:$C$69,MATCH(B108,_calculos!$B$4:$B$69,0))</f>
        <v>1</v>
      </c>
      <c r="D108">
        <f>INDEX(_calculos!$D$4:$D$69,MATCH(B108,_calculos!$B$4:$B$69,0))</f>
        <v>24.542645070500264</v>
      </c>
      <c r="E108">
        <f>INDEX(_calculos!$E$4:$E$69,MATCH(B108,_calculos!$B$4:$B$69,0))</f>
        <v>14.420131894815263</v>
      </c>
    </row>
    <row r="109" spans="1:5" x14ac:dyDescent="0.2">
      <c r="A109">
        <v>12</v>
      </c>
      <c r="B109" t="str">
        <f t="array" ref="B109">INDEX(_calculos!$B$4:$B$69,MATCH(LARGE(IF(_calculos!$F$4:$F$69="Flash Sale",_calculos!$D$4:$D$69+ROW(_calculos!$C$4:$C$69)/1000000),A109),_calculos!$D$4:$D$69+ROW(_calculos!$C$4:$C$69)/1000000,0))</f>
        <v>¡Aprovecha antes de que se acabe! Oferta Flash, productos top</v>
      </c>
      <c r="C109">
        <f>INDEX(_calculos!$C$4:$C$69,MATCH(B109,_calculos!$B$4:$B$69,0))</f>
        <v>20</v>
      </c>
      <c r="D109">
        <f>INDEX(_calculos!$D$4:$D$69,MATCH(B109,_calculos!$B$4:$B$69,0))</f>
        <v>22.775066640377752</v>
      </c>
      <c r="E109">
        <f>INDEX(_calculos!$E$4:$E$69,MATCH(B109,_calculos!$B$4:$B$69,0))</f>
        <v>7.6719520838610986</v>
      </c>
    </row>
    <row r="110" spans="1:5" x14ac:dyDescent="0.2">
      <c r="A110">
        <v>13</v>
      </c>
      <c r="B110" t="str">
        <f t="array" ref="B110">INDEX(_calculos!$B$4:$B$69,MATCH(LARGE(IF(_calculos!$F$4:$F$69="Flash Sale",_calculos!$D$4:$D$69+ROW(_calculos!$C$4:$C$69)/1000000),A110),_calculos!$D$4:$D$69+ROW(_calculos!$C$4:$C$69)/1000000,0))</f>
        <v>¡Ahorra en grande! Oferta Relámpago, últimas unidades</v>
      </c>
      <c r="C110">
        <f>INDEX(_calculos!$C$4:$C$69,MATCH(B110,_calculos!$B$4:$B$69,0))</f>
        <v>7</v>
      </c>
      <c r="D110">
        <f>INDEX(_calculos!$D$4:$D$69,MATCH(B110,_calculos!$B$4:$B$69,0))</f>
        <v>20.679461560319073</v>
      </c>
      <c r="E110">
        <f>INDEX(_calculos!$E$4:$E$69,MATCH(B110,_calculos!$B$4:$B$69,0))</f>
        <v>6.6841708047908428</v>
      </c>
    </row>
    <row r="111" spans="1:5" x14ac:dyDescent="0.2">
      <c r="A111">
        <v>14</v>
      </c>
      <c r="B111" t="str">
        <f t="array" ref="B111">INDEX(_calculos!$B$4:$B$69,MATCH(LARGE(IF(_calculos!$F$4:$F$69="Flash Sale",_calculos!$D$4:$D$69+ROW(_calculos!$C$4:$C$69)/1000000),A111),_calculos!$D$4:$D$69+ROW(_calculos!$C$4:$C$69)/1000000,0))</f>
        <v>¡Última oportunidad! Descuentos que no volverán, no esperes</v>
      </c>
      <c r="C111">
        <f>INDEX(_calculos!$C$4:$C$69,MATCH(B111,_calculos!$B$4:$B$69,0))</f>
        <v>1</v>
      </c>
      <c r="D111">
        <f>INDEX(_calculos!$D$4:$D$69,MATCH(B111,_calculos!$B$4:$B$69,0))</f>
        <v>19.632660579427942</v>
      </c>
      <c r="E111">
        <f>INDEX(_calculos!$E$4:$E$69,MATCH(B111,_calculos!$B$4:$B$69,0))</f>
        <v>19.489689410485138</v>
      </c>
    </row>
    <row r="112" spans="1:5" x14ac:dyDescent="0.2">
      <c r="A112">
        <v>15</v>
      </c>
      <c r="B112" t="str">
        <f t="array" ref="B112">INDEX(_calculos!$B$4:$B$69,MATCH(LARGE(IF(_calculos!$F$4:$F$69="Flash Sale",_calculos!$D$4:$D$69+ROW(_calculos!$C$4:$C$69)/1000000),A112),_calculos!$D$4:$D$69+ROW(_calculos!$C$4:$C$69)/1000000,0))</f>
        <v>¡Gran oferta! Por tiempo limitado, no te lo pierdas</v>
      </c>
      <c r="C112">
        <f>INDEX(_calculos!$C$4:$C$69,MATCH(B112,_calculos!$B$4:$B$69,0))</f>
        <v>9</v>
      </c>
      <c r="D112">
        <f>INDEX(_calculos!$D$4:$D$69,MATCH(B112,_calculos!$B$4:$B$69,0))</f>
        <v>17.395911943759799</v>
      </c>
      <c r="E112">
        <f>INDEX(_calculos!$E$4:$E$69,MATCH(B112,_calculos!$B$4:$B$69,0))</f>
        <v>9.2938358042444964</v>
      </c>
    </row>
    <row r="113" spans="1:5" x14ac:dyDescent="0.2">
      <c r="A113">
        <v>16</v>
      </c>
      <c r="B113" t="str">
        <f t="array" ref="B113">INDEX(_calculos!$B$4:$B$69,MATCH(LARGE(IF(_calculos!$F$4:$F$69="Flash Sale",_calculos!$D$4:$D$69+ROW(_calculos!$C$4:$C$69)/1000000),A113),_calculos!$D$4:$D$69+ROW(_calculos!$C$4:$C$69)/1000000,0))</f>
        <v>¡Últimas horas! Flash Sale: No te quedes sin tu descuento</v>
      </c>
      <c r="C113">
        <f>INDEX(_calculos!$C$4:$C$69,MATCH(B113,_calculos!$B$4:$B$69,0))</f>
        <v>4</v>
      </c>
      <c r="D113">
        <f>INDEX(_calculos!$D$4:$D$69,MATCH(B113,_calculos!$B$4:$B$69,0))</f>
        <v>10.812608203610466</v>
      </c>
      <c r="E113">
        <f>INDEX(_calculos!$E$4:$E$69,MATCH(B113,_calculos!$B$4:$B$69,0))</f>
        <v>7.0308876339906208</v>
      </c>
    </row>
    <row r="116" spans="1:5" x14ac:dyDescent="0.2">
      <c r="B116" s="111" t="s">
        <v>1505</v>
      </c>
    </row>
    <row r="117" spans="1:5" x14ac:dyDescent="0.2">
      <c r="B117" s="112">
        <f>DATE(2025,8,1)</f>
        <v>45870</v>
      </c>
      <c r="C117">
        <f>COUNTIF('DATOS LIMPIOS'!$S$5:$S$493,B117)</f>
        <v>2</v>
      </c>
      <c r="D117">
        <f>IF(C117=0,NA(),AVERAGEIF('DATOS LIMPIOS'!$S$5:$S$493,B117,'DATOS LIMPIOS'!$M$5:$M$493))</f>
        <v>38.43907032944005</v>
      </c>
      <c r="E117">
        <f>AVERAGE('DATOS LIMPIOS'!$M$5:$M$493)</f>
        <v>29.186613608563622</v>
      </c>
    </row>
    <row r="118" spans="1:5" x14ac:dyDescent="0.2">
      <c r="B118" s="112">
        <f>DATE(2025,8,2)</f>
        <v>45871</v>
      </c>
      <c r="C118">
        <f>COUNTIF('DATOS LIMPIOS'!$S$5:$S$493,B118)</f>
        <v>1</v>
      </c>
      <c r="D118">
        <f>IF(C118=0,NA(),AVERAGEIF('DATOS LIMPIOS'!$S$5:$S$493,B118,'DATOS LIMPIOS'!$M$5:$M$493))</f>
        <v>25.911019297626847</v>
      </c>
      <c r="E118">
        <f>AVERAGE('DATOS LIMPIOS'!$M$5:$M$493)</f>
        <v>29.186613608563622</v>
      </c>
    </row>
    <row r="119" spans="1:5" x14ac:dyDescent="0.2">
      <c r="B119" s="112">
        <f>DATE(2025,8,3)</f>
        <v>45872</v>
      </c>
      <c r="C119">
        <f>COUNTIF('DATOS LIMPIOS'!$S$5:$S$493,B119)</f>
        <v>1</v>
      </c>
      <c r="D119">
        <f>IF(C119=0,NA(),AVERAGEIF('DATOS LIMPIOS'!$S$5:$S$493,B119,'DATOS LIMPIOS'!$M$5:$M$493))</f>
        <v>17.337090524832689</v>
      </c>
      <c r="E119">
        <f>AVERAGE('DATOS LIMPIOS'!$M$5:$M$493)</f>
        <v>29.186613608563622</v>
      </c>
    </row>
    <row r="120" spans="1:5" x14ac:dyDescent="0.2">
      <c r="B120" s="112">
        <f>DATE(2025,8,4)</f>
        <v>45873</v>
      </c>
      <c r="C120">
        <f>COUNTIF('DATOS LIMPIOS'!$S$5:$S$493,B120)</f>
        <v>24</v>
      </c>
      <c r="D120">
        <f>IF(C120=0,NA(),AVERAGEIF('DATOS LIMPIOS'!$S$5:$S$493,B120,'DATOS LIMPIOS'!$M$5:$M$493))</f>
        <v>30.002154273713256</v>
      </c>
      <c r="E120">
        <f>AVERAGE('DATOS LIMPIOS'!$M$5:$M$493)</f>
        <v>29.186613608563622</v>
      </c>
    </row>
    <row r="121" spans="1:5" x14ac:dyDescent="0.2">
      <c r="B121" s="112">
        <f>DATE(2025,8,5)</f>
        <v>45874</v>
      </c>
      <c r="C121">
        <f>COUNTIF('DATOS LIMPIOS'!$S$5:$S$493,B121)</f>
        <v>1</v>
      </c>
      <c r="D121">
        <f>IF(C121=0,NA(),AVERAGEIF('DATOS LIMPIOS'!$S$5:$S$493,B121,'DATOS LIMPIOS'!$M$5:$M$493))</f>
        <v>39.372365625108856</v>
      </c>
      <c r="E121">
        <f>AVERAGE('DATOS LIMPIOS'!$M$5:$M$493)</f>
        <v>29.186613608563622</v>
      </c>
    </row>
    <row r="122" spans="1:5" x14ac:dyDescent="0.2">
      <c r="B122" s="112">
        <f>DATE(2025,8,6)</f>
        <v>45875</v>
      </c>
      <c r="C122">
        <f>COUNTIF('DATOS LIMPIOS'!$S$5:$S$493,B122)</f>
        <v>28</v>
      </c>
      <c r="D122">
        <f>IF(C122=0,NA(),AVERAGEIF('DATOS LIMPIOS'!$S$5:$S$493,B122,'DATOS LIMPIOS'!$M$5:$M$493))</f>
        <v>32.222586420976725</v>
      </c>
      <c r="E122">
        <f>AVERAGE('DATOS LIMPIOS'!$M$5:$M$493)</f>
        <v>29.186613608563622</v>
      </c>
    </row>
    <row r="123" spans="1:5" x14ac:dyDescent="0.2">
      <c r="B123" s="112">
        <f>DATE(2025,8,7)</f>
        <v>45876</v>
      </c>
      <c r="C123">
        <f>COUNTIF('DATOS LIMPIOS'!$S$5:$S$493,B123)</f>
        <v>2</v>
      </c>
      <c r="D123">
        <f>IF(C123=0,NA(),AVERAGEIF('DATOS LIMPIOS'!$S$5:$S$493,B123,'DATOS LIMPIOS'!$M$5:$M$493))</f>
        <v>30.58572304608024</v>
      </c>
      <c r="E123">
        <f>AVERAGE('DATOS LIMPIOS'!$M$5:$M$493)</f>
        <v>29.186613608563622</v>
      </c>
    </row>
    <row r="124" spans="1:5" x14ac:dyDescent="0.2">
      <c r="B124" s="112">
        <f>DATE(2025,8,8)</f>
        <v>45877</v>
      </c>
      <c r="C124">
        <f>COUNTIF('DATOS LIMPIOS'!$S$5:$S$493,B124)</f>
        <v>2</v>
      </c>
      <c r="D124">
        <f>IF(C124=0,NA(),AVERAGEIF('DATOS LIMPIOS'!$S$5:$S$493,B124,'DATOS LIMPIOS'!$M$5:$M$493))</f>
        <v>21.477303998574452</v>
      </c>
      <c r="E124">
        <f>AVERAGE('DATOS LIMPIOS'!$M$5:$M$493)</f>
        <v>29.186613608563622</v>
      </c>
    </row>
    <row r="125" spans="1:5" x14ac:dyDescent="0.2">
      <c r="B125" s="112">
        <f>DATE(2025,8,9)</f>
        <v>45878</v>
      </c>
      <c r="C125">
        <f>COUNTIF('DATOS LIMPIOS'!$S$5:$S$493,B125)</f>
        <v>2</v>
      </c>
      <c r="D125">
        <f>IF(C125=0,NA(),AVERAGEIF('DATOS LIMPIOS'!$S$5:$S$493,B125,'DATOS LIMPIOS'!$M$5:$M$493))</f>
        <v>38.55095513795699</v>
      </c>
      <c r="E125">
        <f>AVERAGE('DATOS LIMPIOS'!$M$5:$M$493)</f>
        <v>29.186613608563622</v>
      </c>
    </row>
    <row r="126" spans="1:5" x14ac:dyDescent="0.2">
      <c r="B126" s="112">
        <f>DATE(2025,8,10)</f>
        <v>45879</v>
      </c>
      <c r="C126">
        <f>COUNTIF('DATOS LIMPIOS'!$S$5:$S$493,B126)</f>
        <v>1</v>
      </c>
      <c r="D126">
        <f>IF(C126=0,NA(),AVERAGEIF('DATOS LIMPIOS'!$S$5:$S$493,B126,'DATOS LIMPIOS'!$M$5:$M$493))</f>
        <v>37.196595091331936</v>
      </c>
      <c r="E126">
        <f>AVERAGE('DATOS LIMPIOS'!$M$5:$M$493)</f>
        <v>29.186613608563622</v>
      </c>
    </row>
    <row r="127" spans="1:5" x14ac:dyDescent="0.2">
      <c r="B127" s="112">
        <f>DATE(2025,8,11)</f>
        <v>45880</v>
      </c>
      <c r="C127">
        <f>COUNTIF('DATOS LIMPIOS'!$S$5:$S$493,B127)</f>
        <v>0</v>
      </c>
      <c r="D127" t="e">
        <f>IF(C127=0,NA(),AVERAGEIF('DATOS LIMPIOS'!$S$5:$S$493,B127,'DATOS LIMPIOS'!$M$5:$M$493))</f>
        <v>#N/A</v>
      </c>
      <c r="E127">
        <f>AVERAGE('DATOS LIMPIOS'!$M$5:$M$493)</f>
        <v>29.186613608563622</v>
      </c>
    </row>
    <row r="128" spans="1:5" x14ac:dyDescent="0.2">
      <c r="B128" s="112">
        <f>DATE(2025,8,12)</f>
        <v>45881</v>
      </c>
      <c r="C128">
        <f>COUNTIF('DATOS LIMPIOS'!$S$5:$S$493,B128)</f>
        <v>1</v>
      </c>
      <c r="D128">
        <f>IF(C128=0,NA(),AVERAGEIF('DATOS LIMPIOS'!$S$5:$S$493,B128,'DATOS LIMPIOS'!$M$5:$M$493))</f>
        <v>12.293601518805481</v>
      </c>
      <c r="E128">
        <f>AVERAGE('DATOS LIMPIOS'!$M$5:$M$493)</f>
        <v>29.186613608563622</v>
      </c>
    </row>
    <row r="129" spans="2:5" x14ac:dyDescent="0.2">
      <c r="B129" s="112">
        <f>DATE(2025,8,13)</f>
        <v>45882</v>
      </c>
      <c r="C129">
        <f>COUNTIF('DATOS LIMPIOS'!$S$5:$S$493,B129)</f>
        <v>2</v>
      </c>
      <c r="D129">
        <f>IF(C129=0,NA(),AVERAGEIF('DATOS LIMPIOS'!$S$5:$S$493,B129,'DATOS LIMPIOS'!$M$5:$M$493))</f>
        <v>36.635296669186019</v>
      </c>
      <c r="E129">
        <f>AVERAGE('DATOS LIMPIOS'!$M$5:$M$493)</f>
        <v>29.186613608563622</v>
      </c>
    </row>
    <row r="130" spans="2:5" x14ac:dyDescent="0.2">
      <c r="B130" s="112">
        <f>DATE(2025,8,14)</f>
        <v>45883</v>
      </c>
      <c r="C130">
        <f>COUNTIF('DATOS LIMPIOS'!$S$5:$S$493,B130)</f>
        <v>23</v>
      </c>
      <c r="D130">
        <f>IF(C130=0,NA(),AVERAGEIF('DATOS LIMPIOS'!$S$5:$S$493,B130,'DATOS LIMPIOS'!$M$5:$M$493))</f>
        <v>25.951159284526295</v>
      </c>
      <c r="E130">
        <f>AVERAGE('DATOS LIMPIOS'!$M$5:$M$493)</f>
        <v>29.186613608563622</v>
      </c>
    </row>
    <row r="131" spans="2:5" x14ac:dyDescent="0.2">
      <c r="B131" s="112">
        <f>DATE(2025,8,15)</f>
        <v>45884</v>
      </c>
      <c r="C131">
        <f>COUNTIF('DATOS LIMPIOS'!$S$5:$S$493,B131)</f>
        <v>2</v>
      </c>
      <c r="D131">
        <f>IF(C131=0,NA(),AVERAGEIF('DATOS LIMPIOS'!$S$5:$S$493,B131,'DATOS LIMPIOS'!$M$5:$M$493))</f>
        <v>26.986770339501856</v>
      </c>
      <c r="E131">
        <f>AVERAGE('DATOS LIMPIOS'!$M$5:$M$493)</f>
        <v>29.186613608563622</v>
      </c>
    </row>
    <row r="132" spans="2:5" x14ac:dyDescent="0.2">
      <c r="B132" s="112">
        <f>DATE(2025,8,16)</f>
        <v>45885</v>
      </c>
      <c r="C132">
        <f>COUNTIF('DATOS LIMPIOS'!$S$5:$S$493,B132)</f>
        <v>1</v>
      </c>
      <c r="D132">
        <f>IF(C132=0,NA(),AVERAGEIF('DATOS LIMPIOS'!$S$5:$S$493,B132,'DATOS LIMPIOS'!$M$5:$M$493))</f>
        <v>26.3966592760233</v>
      </c>
      <c r="E132">
        <f>AVERAGE('DATOS LIMPIOS'!$M$5:$M$493)</f>
        <v>29.186613608563622</v>
      </c>
    </row>
    <row r="133" spans="2:5" x14ac:dyDescent="0.2">
      <c r="B133" s="112">
        <f>DATE(2025,8,17)</f>
        <v>45886</v>
      </c>
      <c r="C133">
        <f>COUNTIF('DATOS LIMPIOS'!$S$5:$S$493,B133)</f>
        <v>1</v>
      </c>
      <c r="D133">
        <f>IF(C133=0,NA(),AVERAGEIF('DATOS LIMPIOS'!$S$5:$S$493,B133,'DATOS LIMPIOS'!$M$5:$M$493))</f>
        <v>29.812564569292078</v>
      </c>
      <c r="E133">
        <f>AVERAGE('DATOS LIMPIOS'!$M$5:$M$493)</f>
        <v>29.186613608563622</v>
      </c>
    </row>
    <row r="134" spans="2:5" x14ac:dyDescent="0.2">
      <c r="B134" s="112">
        <f>DATE(2025,8,18)</f>
        <v>45887</v>
      </c>
      <c r="C134">
        <f>COUNTIF('DATOS LIMPIOS'!$S$5:$S$493,B134)</f>
        <v>1</v>
      </c>
      <c r="D134">
        <f>IF(C134=0,NA(),AVERAGEIF('DATOS LIMPIOS'!$S$5:$S$493,B134,'DATOS LIMPIOS'!$M$5:$M$493))</f>
        <v>48.806168131321506</v>
      </c>
      <c r="E134">
        <f>AVERAGE('DATOS LIMPIOS'!$M$5:$M$493)</f>
        <v>29.186613608563622</v>
      </c>
    </row>
    <row r="135" spans="2:5" x14ac:dyDescent="0.2">
      <c r="B135" s="112">
        <f>DATE(2025,8,19)</f>
        <v>45888</v>
      </c>
      <c r="C135">
        <f>COUNTIF('DATOS LIMPIOS'!$S$5:$S$493,B135)</f>
        <v>29</v>
      </c>
      <c r="D135">
        <f>IF(C135=0,NA(),AVERAGEIF('DATOS LIMPIOS'!$S$5:$S$493,B135,'DATOS LIMPIOS'!$M$5:$M$493))</f>
        <v>31.709759171780519</v>
      </c>
      <c r="E135">
        <f>AVERAGE('DATOS LIMPIOS'!$M$5:$M$493)</f>
        <v>29.186613608563622</v>
      </c>
    </row>
    <row r="136" spans="2:5" x14ac:dyDescent="0.2">
      <c r="B136" s="112">
        <f>DATE(2025,8,20)</f>
        <v>45889</v>
      </c>
      <c r="C136">
        <f>COUNTIF('DATOS LIMPIOS'!$S$5:$S$493,B136)</f>
        <v>2</v>
      </c>
      <c r="D136">
        <f>IF(C136=0,NA(),AVERAGEIF('DATOS LIMPIOS'!$S$5:$S$493,B136,'DATOS LIMPIOS'!$M$5:$M$493))</f>
        <v>19.789608946154644</v>
      </c>
      <c r="E136">
        <f>AVERAGE('DATOS LIMPIOS'!$M$5:$M$493)</f>
        <v>29.186613608563622</v>
      </c>
    </row>
    <row r="137" spans="2:5" x14ac:dyDescent="0.2">
      <c r="B137" s="112">
        <f>DATE(2025,8,21)</f>
        <v>45890</v>
      </c>
      <c r="C137">
        <f>COUNTIF('DATOS LIMPIOS'!$S$5:$S$493,B137)</f>
        <v>1</v>
      </c>
      <c r="D137">
        <f>IF(C137=0,NA(),AVERAGEIF('DATOS LIMPIOS'!$S$5:$S$493,B137,'DATOS LIMPIOS'!$M$5:$M$493))</f>
        <v>23.078179936700817</v>
      </c>
      <c r="E137">
        <f>AVERAGE('DATOS LIMPIOS'!$M$5:$M$493)</f>
        <v>29.186613608563622</v>
      </c>
    </row>
    <row r="138" spans="2:5" x14ac:dyDescent="0.2">
      <c r="B138" s="112">
        <f>DATE(2025,8,22)</f>
        <v>45891</v>
      </c>
      <c r="C138">
        <f>COUNTIF('DATOS LIMPIOS'!$S$5:$S$493,B138)</f>
        <v>2</v>
      </c>
      <c r="D138">
        <f>IF(C138=0,NA(),AVERAGEIF('DATOS LIMPIOS'!$S$5:$S$493,B138,'DATOS LIMPIOS'!$M$5:$M$493))</f>
        <v>32.308633976657966</v>
      </c>
      <c r="E138">
        <f>AVERAGE('DATOS LIMPIOS'!$M$5:$M$493)</f>
        <v>29.186613608563622</v>
      </c>
    </row>
    <row r="139" spans="2:5" x14ac:dyDescent="0.2">
      <c r="B139" s="112">
        <f>DATE(2025,8,23)</f>
        <v>45892</v>
      </c>
      <c r="C139">
        <f>COUNTIF('DATOS LIMPIOS'!$S$5:$S$493,B139)</f>
        <v>25</v>
      </c>
      <c r="D139">
        <f>IF(C139=0,NA(),AVERAGEIF('DATOS LIMPIOS'!$S$5:$S$493,B139,'DATOS LIMPIOS'!$M$5:$M$493))</f>
        <v>26.247206949037974</v>
      </c>
      <c r="E139">
        <f>AVERAGE('DATOS LIMPIOS'!$M$5:$M$493)</f>
        <v>29.186613608563622</v>
      </c>
    </row>
    <row r="140" spans="2:5" x14ac:dyDescent="0.2">
      <c r="B140" s="112">
        <f>DATE(2025,8,24)</f>
        <v>45893</v>
      </c>
      <c r="C140">
        <f>COUNTIF('DATOS LIMPIOS'!$S$5:$S$493,B140)</f>
        <v>0</v>
      </c>
      <c r="D140" t="e">
        <f>IF(C140=0,NA(),AVERAGEIF('DATOS LIMPIOS'!$S$5:$S$493,B140,'DATOS LIMPIOS'!$M$5:$M$493))</f>
        <v>#N/A</v>
      </c>
      <c r="E140">
        <f>AVERAGE('DATOS LIMPIOS'!$M$5:$M$493)</f>
        <v>29.186613608563622</v>
      </c>
    </row>
    <row r="141" spans="2:5" x14ac:dyDescent="0.2">
      <c r="B141" s="112">
        <f>DATE(2025,8,25)</f>
        <v>45894</v>
      </c>
      <c r="C141">
        <f>COUNTIF('DATOS LIMPIOS'!$S$5:$S$493,B141)</f>
        <v>1</v>
      </c>
      <c r="D141">
        <f>IF(C141=0,NA(),AVERAGEIF('DATOS LIMPIOS'!$S$5:$S$493,B141,'DATOS LIMPIOS'!$M$5:$M$493))</f>
        <v>18.799678382724558</v>
      </c>
      <c r="E141">
        <f>AVERAGE('DATOS LIMPIOS'!$M$5:$M$493)</f>
        <v>29.186613608563622</v>
      </c>
    </row>
    <row r="142" spans="2:5" x14ac:dyDescent="0.2">
      <c r="B142" s="112">
        <f>DATE(2025,8,26)</f>
        <v>45895</v>
      </c>
      <c r="C142">
        <f>COUNTIF('DATOS LIMPIOS'!$S$5:$S$493,B142)</f>
        <v>1</v>
      </c>
      <c r="D142">
        <f>IF(C142=0,NA(),AVERAGEIF('DATOS LIMPIOS'!$S$5:$S$493,B142,'DATOS LIMPIOS'!$M$5:$M$493))</f>
        <v>42.065658919890794</v>
      </c>
      <c r="E142">
        <f>AVERAGE('DATOS LIMPIOS'!$M$5:$M$493)</f>
        <v>29.186613608563622</v>
      </c>
    </row>
    <row r="143" spans="2:5" x14ac:dyDescent="0.2">
      <c r="B143" s="112">
        <f>DATE(2025,8,27)</f>
        <v>45896</v>
      </c>
      <c r="C143">
        <f>COUNTIF('DATOS LIMPIOS'!$S$5:$S$493,B143)</f>
        <v>1</v>
      </c>
      <c r="D143">
        <f>IF(C143=0,NA(),AVERAGEIF('DATOS LIMPIOS'!$S$5:$S$493,B143,'DATOS LIMPIOS'!$M$5:$M$493))</f>
        <v>20.877679851178677</v>
      </c>
      <c r="E143">
        <f>AVERAGE('DATOS LIMPIOS'!$M$5:$M$493)</f>
        <v>29.186613608563622</v>
      </c>
    </row>
    <row r="144" spans="2:5" x14ac:dyDescent="0.2">
      <c r="B144" s="112">
        <f>DATE(2025,8,28)</f>
        <v>45897</v>
      </c>
      <c r="C144">
        <f>COUNTIF('DATOS LIMPIOS'!$S$5:$S$493,B144)</f>
        <v>0</v>
      </c>
      <c r="D144" t="e">
        <f>IF(C144=0,NA(),AVERAGEIF('DATOS LIMPIOS'!$S$5:$S$493,B144,'DATOS LIMPIOS'!$M$5:$M$493))</f>
        <v>#N/A</v>
      </c>
      <c r="E144">
        <f>AVERAGE('DATOS LIMPIOS'!$M$5:$M$493)</f>
        <v>29.186613608563622</v>
      </c>
    </row>
    <row r="145" spans="2:5" x14ac:dyDescent="0.2">
      <c r="B145" s="112">
        <f>DATE(2025,8,29)</f>
        <v>45898</v>
      </c>
      <c r="C145">
        <f>COUNTIF('DATOS LIMPIOS'!$S$5:$S$493,B145)</f>
        <v>1</v>
      </c>
      <c r="D145">
        <f>IF(C145=0,NA(),AVERAGEIF('DATOS LIMPIOS'!$S$5:$S$493,B145,'DATOS LIMPIOS'!$M$5:$M$493))</f>
        <v>21.589774983795131</v>
      </c>
      <c r="E145">
        <f>AVERAGE('DATOS LIMPIOS'!$M$5:$M$493)</f>
        <v>29.186613608563622</v>
      </c>
    </row>
    <row r="146" spans="2:5" x14ac:dyDescent="0.2">
      <c r="B146" s="112">
        <f>DATE(2025,8,30)</f>
        <v>45899</v>
      </c>
      <c r="C146">
        <f>COUNTIF('DATOS LIMPIOS'!$S$5:$S$493,B146)</f>
        <v>1</v>
      </c>
      <c r="D146">
        <f>IF(C146=0,NA(),AVERAGEIF('DATOS LIMPIOS'!$S$5:$S$493,B146,'DATOS LIMPIOS'!$M$5:$M$493))</f>
        <v>44.773187464111942</v>
      </c>
      <c r="E146">
        <f>AVERAGE('DATOS LIMPIOS'!$M$5:$M$493)</f>
        <v>29.186613608563622</v>
      </c>
    </row>
    <row r="147" spans="2:5" x14ac:dyDescent="0.2">
      <c r="B147" s="112">
        <f>DATE(2025,8,31)</f>
        <v>45900</v>
      </c>
      <c r="C147">
        <f>COUNTIF('DATOS LIMPIOS'!$S$5:$S$493,B147)</f>
        <v>0</v>
      </c>
      <c r="D147" t="e">
        <f>IF(C147=0,NA(),AVERAGEIF('DATOS LIMPIOS'!$S$5:$S$493,B147,'DATOS LIMPIOS'!$M$5:$M$493))</f>
        <v>#N/A</v>
      </c>
      <c r="E147">
        <f>AVERAGE('DATOS LIMPIOS'!$M$5:$M$493)</f>
        <v>29.186613608563622</v>
      </c>
    </row>
    <row r="148" spans="2:5" x14ac:dyDescent="0.2">
      <c r="B148" s="112">
        <f>DATE(2025,9,1)</f>
        <v>45901</v>
      </c>
      <c r="C148">
        <f>COUNTIF('DATOS LIMPIOS'!$S$5:$S$493,B148)</f>
        <v>29</v>
      </c>
      <c r="D148">
        <f>IF(C148=0,NA(),AVERAGEIF('DATOS LIMPIOS'!$S$5:$S$493,B148,'DATOS LIMPIOS'!$M$5:$M$493))</f>
        <v>30.008080542248663</v>
      </c>
      <c r="E148">
        <f>AVERAGE('DATOS LIMPIOS'!$M$5:$M$493)</f>
        <v>29.186613608563622</v>
      </c>
    </row>
    <row r="149" spans="2:5" x14ac:dyDescent="0.2">
      <c r="B149" s="112">
        <f>DATE(2025,9,2)</f>
        <v>45902</v>
      </c>
      <c r="C149">
        <f>COUNTIF('DATOS LIMPIOS'!$S$5:$S$493,B149)</f>
        <v>1</v>
      </c>
      <c r="D149">
        <f>IF(C149=0,NA(),AVERAGEIF('DATOS LIMPIOS'!$S$5:$S$493,B149,'DATOS LIMPIOS'!$M$5:$M$493))</f>
        <v>6.0113877883025895</v>
      </c>
      <c r="E149">
        <f>AVERAGE('DATOS LIMPIOS'!$M$5:$M$493)</f>
        <v>29.186613608563622</v>
      </c>
    </row>
    <row r="150" spans="2:5" x14ac:dyDescent="0.2">
      <c r="B150" s="112">
        <f>DATE(2025,9,3)</f>
        <v>45903</v>
      </c>
      <c r="C150">
        <f>COUNTIF('DATOS LIMPIOS'!$S$5:$S$493,B150)</f>
        <v>2</v>
      </c>
      <c r="D150">
        <f>IF(C150=0,NA(),AVERAGEIF('DATOS LIMPIOS'!$S$5:$S$493,B150,'DATOS LIMPIOS'!$M$5:$M$493))</f>
        <v>34.180303825108602</v>
      </c>
      <c r="E150">
        <f>AVERAGE('DATOS LIMPIOS'!$M$5:$M$493)</f>
        <v>29.186613608563622</v>
      </c>
    </row>
    <row r="151" spans="2:5" x14ac:dyDescent="0.2">
      <c r="B151" s="112">
        <f>DATE(2025,9,4)</f>
        <v>45904</v>
      </c>
      <c r="C151">
        <f>COUNTIF('DATOS LIMPIOS'!$S$5:$S$493,B151)</f>
        <v>2</v>
      </c>
      <c r="D151">
        <f>IF(C151=0,NA(),AVERAGEIF('DATOS LIMPIOS'!$S$5:$S$493,B151,'DATOS LIMPIOS'!$M$5:$M$493))</f>
        <v>43.357049382912138</v>
      </c>
      <c r="E151">
        <f>AVERAGE('DATOS LIMPIOS'!$M$5:$M$493)</f>
        <v>29.186613608563622</v>
      </c>
    </row>
    <row r="152" spans="2:5" x14ac:dyDescent="0.2">
      <c r="B152" s="112">
        <f>DATE(2025,9,5)</f>
        <v>45905</v>
      </c>
      <c r="C152">
        <f>COUNTIF('DATOS LIMPIOS'!$S$5:$S$493,B152)</f>
        <v>2</v>
      </c>
      <c r="D152">
        <f>IF(C152=0,NA(),AVERAGEIF('DATOS LIMPIOS'!$S$5:$S$493,B152,'DATOS LIMPIOS'!$M$5:$M$493))</f>
        <v>16.388551787566527</v>
      </c>
      <c r="E152">
        <f>AVERAGE('DATOS LIMPIOS'!$M$5:$M$493)</f>
        <v>29.186613608563622</v>
      </c>
    </row>
    <row r="153" spans="2:5" x14ac:dyDescent="0.2">
      <c r="B153" s="112">
        <f>DATE(2025,9,6)</f>
        <v>45906</v>
      </c>
      <c r="C153">
        <f>COUNTIF('DATOS LIMPIOS'!$S$5:$S$493,B153)</f>
        <v>2</v>
      </c>
      <c r="D153">
        <f>IF(C153=0,NA(),AVERAGEIF('DATOS LIMPIOS'!$S$5:$S$493,B153,'DATOS LIMPIOS'!$M$5:$M$493))</f>
        <v>32.076377280672467</v>
      </c>
      <c r="E153">
        <f>AVERAGE('DATOS LIMPIOS'!$M$5:$M$493)</f>
        <v>29.186613608563622</v>
      </c>
    </row>
    <row r="154" spans="2:5" x14ac:dyDescent="0.2">
      <c r="B154" s="112">
        <f>DATE(2025,9,7)</f>
        <v>45907</v>
      </c>
      <c r="C154">
        <f>COUNTIF('DATOS LIMPIOS'!$S$5:$S$493,B154)</f>
        <v>2</v>
      </c>
      <c r="D154">
        <f>IF(C154=0,NA(),AVERAGEIF('DATOS LIMPIOS'!$S$5:$S$493,B154,'DATOS LIMPIOS'!$M$5:$M$493))</f>
        <v>38.204191511752839</v>
      </c>
      <c r="E154">
        <f>AVERAGE('DATOS LIMPIOS'!$M$5:$M$493)</f>
        <v>29.186613608563622</v>
      </c>
    </row>
    <row r="155" spans="2:5" x14ac:dyDescent="0.2">
      <c r="B155" s="112">
        <f>DATE(2025,9,8)</f>
        <v>45908</v>
      </c>
      <c r="C155">
        <f>COUNTIF('DATOS LIMPIOS'!$S$5:$S$493,B155)</f>
        <v>28</v>
      </c>
      <c r="D155">
        <f>IF(C155=0,NA(),AVERAGEIF('DATOS LIMPIOS'!$S$5:$S$493,B155,'DATOS LIMPIOS'!$M$5:$M$493))</f>
        <v>26.715829601119481</v>
      </c>
      <c r="E155">
        <f>AVERAGE('DATOS LIMPIOS'!$M$5:$M$493)</f>
        <v>29.186613608563622</v>
      </c>
    </row>
    <row r="156" spans="2:5" x14ac:dyDescent="0.2">
      <c r="B156" s="112">
        <f>DATE(2025,9,9)</f>
        <v>45909</v>
      </c>
      <c r="C156">
        <f>COUNTIF('DATOS LIMPIOS'!$S$5:$S$493,B156)</f>
        <v>28</v>
      </c>
      <c r="D156">
        <f>IF(C156=0,NA(),AVERAGEIF('DATOS LIMPIOS'!$S$5:$S$493,B156,'DATOS LIMPIOS'!$M$5:$M$493))</f>
        <v>27.030000219988075</v>
      </c>
      <c r="E156">
        <f>AVERAGE('DATOS LIMPIOS'!$M$5:$M$493)</f>
        <v>29.186613608563622</v>
      </c>
    </row>
    <row r="157" spans="2:5" x14ac:dyDescent="0.2">
      <c r="B157" s="112">
        <f>DATE(2025,9,10)</f>
        <v>45910</v>
      </c>
      <c r="C157">
        <f>COUNTIF('DATOS LIMPIOS'!$S$5:$S$493,B157)</f>
        <v>2</v>
      </c>
      <c r="D157">
        <f>IF(C157=0,NA(),AVERAGEIF('DATOS LIMPIOS'!$S$5:$S$493,B157,'DATOS LIMPIOS'!$M$5:$M$493))</f>
        <v>37.537982700185566</v>
      </c>
      <c r="E157">
        <f>AVERAGE('DATOS LIMPIOS'!$M$5:$M$493)</f>
        <v>29.186613608563622</v>
      </c>
    </row>
    <row r="158" spans="2:5" x14ac:dyDescent="0.2">
      <c r="B158" s="112">
        <f>DATE(2025,9,11)</f>
        <v>45911</v>
      </c>
      <c r="C158">
        <f>COUNTIF('DATOS LIMPIOS'!$S$5:$S$493,B158)</f>
        <v>2</v>
      </c>
      <c r="D158">
        <f>IF(C158=0,NA(),AVERAGEIF('DATOS LIMPIOS'!$S$5:$S$493,B158,'DATOS LIMPIOS'!$M$5:$M$493))</f>
        <v>27.746592765857976</v>
      </c>
      <c r="E158">
        <f>AVERAGE('DATOS LIMPIOS'!$M$5:$M$493)</f>
        <v>29.186613608563622</v>
      </c>
    </row>
    <row r="159" spans="2:5" x14ac:dyDescent="0.2">
      <c r="B159" s="112">
        <f>DATE(2025,9,12)</f>
        <v>45912</v>
      </c>
      <c r="C159">
        <f>COUNTIF('DATOS LIMPIOS'!$S$5:$S$493,B159)</f>
        <v>1</v>
      </c>
      <c r="D159">
        <f>IF(C159=0,NA(),AVERAGEIF('DATOS LIMPIOS'!$S$5:$S$493,B159,'DATOS LIMPIOS'!$M$5:$M$493))</f>
        <v>38.629986941941709</v>
      </c>
      <c r="E159">
        <f>AVERAGE('DATOS LIMPIOS'!$M$5:$M$493)</f>
        <v>29.186613608563622</v>
      </c>
    </row>
    <row r="160" spans="2:5" x14ac:dyDescent="0.2">
      <c r="B160" s="112">
        <f>DATE(2025,9,13)</f>
        <v>45913</v>
      </c>
      <c r="C160">
        <f>COUNTIF('DATOS LIMPIOS'!$S$5:$S$493,B160)</f>
        <v>1</v>
      </c>
      <c r="D160">
        <f>IF(C160=0,NA(),AVERAGEIF('DATOS LIMPIOS'!$S$5:$S$493,B160,'DATOS LIMPIOS'!$M$5:$M$493))</f>
        <v>24.663578204279727</v>
      </c>
      <c r="E160">
        <f>AVERAGE('DATOS LIMPIOS'!$M$5:$M$493)</f>
        <v>29.186613608563622</v>
      </c>
    </row>
    <row r="161" spans="2:5" x14ac:dyDescent="0.2">
      <c r="B161" s="112">
        <f>DATE(2025,9,14)</f>
        <v>45914</v>
      </c>
      <c r="C161">
        <f>COUNTIF('DATOS LIMPIOS'!$S$5:$S$493,B161)</f>
        <v>0</v>
      </c>
      <c r="D161" t="e">
        <f>IF(C161=0,NA(),AVERAGEIF('DATOS LIMPIOS'!$S$5:$S$493,B161,'DATOS LIMPIOS'!$M$5:$M$493))</f>
        <v>#N/A</v>
      </c>
      <c r="E161">
        <f>AVERAGE('DATOS LIMPIOS'!$M$5:$M$493)</f>
        <v>29.186613608563622</v>
      </c>
    </row>
    <row r="162" spans="2:5" x14ac:dyDescent="0.2">
      <c r="B162" s="112">
        <f>DATE(2025,9,15)</f>
        <v>45915</v>
      </c>
      <c r="C162">
        <f>COUNTIF('DATOS LIMPIOS'!$S$5:$S$493,B162)</f>
        <v>0</v>
      </c>
      <c r="D162" t="e">
        <f>IF(C162=0,NA(),AVERAGEIF('DATOS LIMPIOS'!$S$5:$S$493,B162,'DATOS LIMPIOS'!$M$5:$M$493))</f>
        <v>#N/A</v>
      </c>
      <c r="E162">
        <f>AVERAGE('DATOS LIMPIOS'!$M$5:$M$493)</f>
        <v>29.186613608563622</v>
      </c>
    </row>
    <row r="163" spans="2:5" x14ac:dyDescent="0.2">
      <c r="B163" s="112">
        <f>DATE(2025,9,16)</f>
        <v>45916</v>
      </c>
      <c r="C163">
        <f>COUNTIF('DATOS LIMPIOS'!$S$5:$S$493,B163)</f>
        <v>27</v>
      </c>
      <c r="D163">
        <f>IF(C163=0,NA(),AVERAGEIF('DATOS LIMPIOS'!$S$5:$S$493,B163,'DATOS LIMPIOS'!$M$5:$M$493))</f>
        <v>28.442443444260267</v>
      </c>
      <c r="E163">
        <f>AVERAGE('DATOS LIMPIOS'!$M$5:$M$493)</f>
        <v>29.186613608563622</v>
      </c>
    </row>
    <row r="164" spans="2:5" x14ac:dyDescent="0.2">
      <c r="B164" s="112">
        <f>DATE(2025,9,17)</f>
        <v>45917</v>
      </c>
      <c r="C164">
        <f>COUNTIF('DATOS LIMPIOS'!$S$5:$S$493,B164)</f>
        <v>26</v>
      </c>
      <c r="D164">
        <f>IF(C164=0,NA(),AVERAGEIF('DATOS LIMPIOS'!$S$5:$S$493,B164,'DATOS LIMPIOS'!$M$5:$M$493))</f>
        <v>28.680103860257454</v>
      </c>
      <c r="E164">
        <f>AVERAGE('DATOS LIMPIOS'!$M$5:$M$493)</f>
        <v>29.186613608563622</v>
      </c>
    </row>
    <row r="165" spans="2:5" x14ac:dyDescent="0.2">
      <c r="B165" s="112">
        <f>DATE(2025,9,18)</f>
        <v>45918</v>
      </c>
      <c r="C165">
        <f>COUNTIF('DATOS LIMPIOS'!$S$5:$S$493,B165)</f>
        <v>1</v>
      </c>
      <c r="D165">
        <f>IF(C165=0,NA(),AVERAGEIF('DATOS LIMPIOS'!$S$5:$S$493,B165,'DATOS LIMPIOS'!$M$5:$M$493))</f>
        <v>33.766980948578571</v>
      </c>
      <c r="E165">
        <f>AVERAGE('DATOS LIMPIOS'!$M$5:$M$493)</f>
        <v>29.186613608563622</v>
      </c>
    </row>
    <row r="166" spans="2:5" x14ac:dyDescent="0.2">
      <c r="B166" s="112">
        <f>DATE(2025,9,19)</f>
        <v>45919</v>
      </c>
      <c r="C166">
        <f>COUNTIF('DATOS LIMPIOS'!$S$5:$S$493,B166)</f>
        <v>1</v>
      </c>
      <c r="D166">
        <f>IF(C166=0,NA(),AVERAGEIF('DATOS LIMPIOS'!$S$5:$S$493,B166,'DATOS LIMPIOS'!$M$5:$M$493))</f>
        <v>30.955185535277153</v>
      </c>
      <c r="E166">
        <f>AVERAGE('DATOS LIMPIOS'!$M$5:$M$493)</f>
        <v>29.186613608563622</v>
      </c>
    </row>
    <row r="167" spans="2:5" x14ac:dyDescent="0.2">
      <c r="B167" s="112">
        <f>DATE(2025,9,20)</f>
        <v>45920</v>
      </c>
      <c r="C167">
        <f>COUNTIF('DATOS LIMPIOS'!$S$5:$S$493,B167)</f>
        <v>0</v>
      </c>
      <c r="D167" t="e">
        <f>IF(C167=0,NA(),AVERAGEIF('DATOS LIMPIOS'!$S$5:$S$493,B167,'DATOS LIMPIOS'!$M$5:$M$493))</f>
        <v>#N/A</v>
      </c>
      <c r="E167">
        <f>AVERAGE('DATOS LIMPIOS'!$M$5:$M$493)</f>
        <v>29.186613608563622</v>
      </c>
    </row>
    <row r="168" spans="2:5" x14ac:dyDescent="0.2">
      <c r="B168" s="112">
        <f>DATE(2025,9,21)</f>
        <v>45921</v>
      </c>
      <c r="C168">
        <f>COUNTIF('DATOS LIMPIOS'!$S$5:$S$493,B168)</f>
        <v>0</v>
      </c>
      <c r="D168" t="e">
        <f>IF(C168=0,NA(),AVERAGEIF('DATOS LIMPIOS'!$S$5:$S$493,B168,'DATOS LIMPIOS'!$M$5:$M$493))</f>
        <v>#N/A</v>
      </c>
      <c r="E168">
        <f>AVERAGE('DATOS LIMPIOS'!$M$5:$M$493)</f>
        <v>29.186613608563622</v>
      </c>
    </row>
    <row r="169" spans="2:5" x14ac:dyDescent="0.2">
      <c r="B169" s="112">
        <f>DATE(2025,9,22)</f>
        <v>45922</v>
      </c>
      <c r="C169">
        <f>COUNTIF('DATOS LIMPIOS'!$S$5:$S$493,B169)</f>
        <v>2</v>
      </c>
      <c r="D169">
        <f>IF(C169=0,NA(),AVERAGEIF('DATOS LIMPIOS'!$S$5:$S$493,B169,'DATOS LIMPIOS'!$M$5:$M$493))</f>
        <v>30.342199903908707</v>
      </c>
      <c r="E169">
        <f>AVERAGE('DATOS LIMPIOS'!$M$5:$M$493)</f>
        <v>29.186613608563622</v>
      </c>
    </row>
    <row r="170" spans="2:5" x14ac:dyDescent="0.2">
      <c r="B170" s="112">
        <f>DATE(2025,9,23)</f>
        <v>45923</v>
      </c>
      <c r="C170">
        <f>COUNTIF('DATOS LIMPIOS'!$S$5:$S$493,B170)</f>
        <v>1</v>
      </c>
      <c r="D170">
        <f>IF(C170=0,NA(),AVERAGEIF('DATOS LIMPIOS'!$S$5:$S$493,B170,'DATOS LIMPIOS'!$M$5:$M$493))</f>
        <v>41.064859264047456</v>
      </c>
      <c r="E170">
        <f>AVERAGE('DATOS LIMPIOS'!$M$5:$M$493)</f>
        <v>29.186613608563622</v>
      </c>
    </row>
    <row r="171" spans="2:5" x14ac:dyDescent="0.2">
      <c r="B171" s="112">
        <f>DATE(2025,9,24)</f>
        <v>45924</v>
      </c>
      <c r="C171">
        <f>COUNTIF('DATOS LIMPIOS'!$S$5:$S$493,B171)</f>
        <v>2</v>
      </c>
      <c r="D171">
        <f>IF(C171=0,NA(),AVERAGEIF('DATOS LIMPIOS'!$S$5:$S$493,B171,'DATOS LIMPIOS'!$M$5:$M$493))</f>
        <v>40.777102546070942</v>
      </c>
      <c r="E171">
        <f>AVERAGE('DATOS LIMPIOS'!$M$5:$M$493)</f>
        <v>29.186613608563622</v>
      </c>
    </row>
    <row r="172" spans="2:5" x14ac:dyDescent="0.2">
      <c r="B172" s="112">
        <f>DATE(2025,9,25)</f>
        <v>45925</v>
      </c>
      <c r="C172">
        <f>COUNTIF('DATOS LIMPIOS'!$S$5:$S$493,B172)</f>
        <v>1</v>
      </c>
      <c r="D172">
        <f>IF(C172=0,NA(),AVERAGEIF('DATOS LIMPIOS'!$S$5:$S$493,B172,'DATOS LIMPIOS'!$M$5:$M$493))</f>
        <v>48.880377136122569</v>
      </c>
      <c r="E172">
        <f>AVERAGE('DATOS LIMPIOS'!$M$5:$M$493)</f>
        <v>29.186613608563622</v>
      </c>
    </row>
    <row r="173" spans="2:5" x14ac:dyDescent="0.2">
      <c r="B173" s="112">
        <f>DATE(2025,9,26)</f>
        <v>45926</v>
      </c>
      <c r="C173">
        <f>COUNTIF('DATOS LIMPIOS'!$S$5:$S$493,B173)</f>
        <v>1</v>
      </c>
      <c r="D173">
        <f>IF(C173=0,NA(),AVERAGEIF('DATOS LIMPIOS'!$S$5:$S$493,B173,'DATOS LIMPIOS'!$M$5:$M$493))</f>
        <v>19.669684165187622</v>
      </c>
      <c r="E173">
        <f>AVERAGE('DATOS LIMPIOS'!$M$5:$M$493)</f>
        <v>29.186613608563622</v>
      </c>
    </row>
    <row r="174" spans="2:5" x14ac:dyDescent="0.2">
      <c r="B174" s="112">
        <f>DATE(2025,9,27)</f>
        <v>45927</v>
      </c>
      <c r="C174">
        <f>COUNTIF('DATOS LIMPIOS'!$S$5:$S$493,B174)</f>
        <v>1</v>
      </c>
      <c r="D174">
        <f>IF(C174=0,NA(),AVERAGEIF('DATOS LIMPIOS'!$S$5:$S$493,B174,'DATOS LIMPIOS'!$M$5:$M$493))</f>
        <v>11.07795000160457</v>
      </c>
      <c r="E174">
        <f>AVERAGE('DATOS LIMPIOS'!$M$5:$M$493)</f>
        <v>29.186613608563622</v>
      </c>
    </row>
    <row r="175" spans="2:5" x14ac:dyDescent="0.2">
      <c r="B175" s="112">
        <f>DATE(2025,9,28)</f>
        <v>45928</v>
      </c>
      <c r="C175">
        <f>COUNTIF('DATOS LIMPIOS'!$S$5:$S$493,B175)</f>
        <v>1</v>
      </c>
      <c r="D175">
        <f>IF(C175=0,NA(),AVERAGEIF('DATOS LIMPIOS'!$S$5:$S$493,B175,'DATOS LIMPIOS'!$M$5:$M$493))</f>
        <v>24.873415437904409</v>
      </c>
      <c r="E175">
        <f>AVERAGE('DATOS LIMPIOS'!$M$5:$M$493)</f>
        <v>29.186613608563622</v>
      </c>
    </row>
    <row r="176" spans="2:5" x14ac:dyDescent="0.2">
      <c r="B176" s="112">
        <f>DATE(2025,9,29)</f>
        <v>45929</v>
      </c>
      <c r="C176">
        <f>COUNTIF('DATOS LIMPIOS'!$S$5:$S$493,B176)</f>
        <v>1</v>
      </c>
      <c r="D176">
        <f>IF(C176=0,NA(),AVERAGEIF('DATOS LIMPIOS'!$S$5:$S$493,B176,'DATOS LIMPIOS'!$M$5:$M$493))</f>
        <v>17.556599743699273</v>
      </c>
      <c r="E176">
        <f>AVERAGE('DATOS LIMPIOS'!$M$5:$M$493)</f>
        <v>29.186613608563622</v>
      </c>
    </row>
    <row r="177" spans="2:5" x14ac:dyDescent="0.2">
      <c r="B177" s="112">
        <f>DATE(2025,9,30)</f>
        <v>45930</v>
      </c>
      <c r="C177">
        <f>COUNTIF('DATOS LIMPIOS'!$S$5:$S$493,B177)</f>
        <v>0</v>
      </c>
      <c r="D177" t="e">
        <f>IF(C177=0,NA(),AVERAGEIF('DATOS LIMPIOS'!$S$5:$S$493,B177,'DATOS LIMPIOS'!$M$5:$M$493))</f>
        <v>#N/A</v>
      </c>
      <c r="E177">
        <f>AVERAGE('DATOS LIMPIOS'!$M$5:$M$493)</f>
        <v>29.186613608563622</v>
      </c>
    </row>
    <row r="178" spans="2:5" x14ac:dyDescent="0.2">
      <c r="B178" s="112">
        <f>DATE(2025,10,1)</f>
        <v>45931</v>
      </c>
      <c r="C178">
        <f>COUNTIF('DATOS LIMPIOS'!$S$5:$S$493,B178)</f>
        <v>1</v>
      </c>
      <c r="D178">
        <f>IF(C178=0,NA(),AVERAGEIF('DATOS LIMPIOS'!$S$5:$S$493,B178,'DATOS LIMPIOS'!$M$5:$M$493))</f>
        <v>27.153846153846157</v>
      </c>
      <c r="E178">
        <f>AVERAGE('DATOS LIMPIOS'!$M$5:$M$493)</f>
        <v>29.186613608563622</v>
      </c>
    </row>
    <row r="179" spans="2:5" x14ac:dyDescent="0.2">
      <c r="B179" s="112">
        <f>DATE(2025,10,2)</f>
        <v>45932</v>
      </c>
      <c r="C179">
        <f>COUNTIF('DATOS LIMPIOS'!$S$5:$S$493,B179)</f>
        <v>1</v>
      </c>
      <c r="D179">
        <f>IF(C179=0,NA(),AVERAGEIF('DATOS LIMPIOS'!$S$5:$S$493,B179,'DATOS LIMPIOS'!$M$5:$M$493))</f>
        <v>19.573079688104851</v>
      </c>
      <c r="E179">
        <f>AVERAGE('DATOS LIMPIOS'!$M$5:$M$493)</f>
        <v>29.186613608563622</v>
      </c>
    </row>
    <row r="180" spans="2:5" x14ac:dyDescent="0.2">
      <c r="B180" s="112">
        <f>DATE(2025,10,3)</f>
        <v>45933</v>
      </c>
      <c r="C180">
        <f>COUNTIF('DATOS LIMPIOS'!$S$5:$S$493,B180)</f>
        <v>1</v>
      </c>
      <c r="D180">
        <f>IF(C180=0,NA(),AVERAGEIF('DATOS LIMPIOS'!$S$5:$S$493,B180,'DATOS LIMPIOS'!$M$5:$M$493))</f>
        <v>43.952852004911769</v>
      </c>
      <c r="E180">
        <f>AVERAGE('DATOS LIMPIOS'!$M$5:$M$493)</f>
        <v>29.186613608563622</v>
      </c>
    </row>
    <row r="181" spans="2:5" x14ac:dyDescent="0.2">
      <c r="B181" s="112">
        <f>DATE(2025,10,4)</f>
        <v>45934</v>
      </c>
      <c r="C181">
        <f>COUNTIF('DATOS LIMPIOS'!$S$5:$S$493,B181)</f>
        <v>1</v>
      </c>
      <c r="D181">
        <f>IF(C181=0,NA(),AVERAGEIF('DATOS LIMPIOS'!$S$5:$S$493,B181,'DATOS LIMPIOS'!$M$5:$M$493))</f>
        <v>20.609853458343505</v>
      </c>
      <c r="E181">
        <f>AVERAGE('DATOS LIMPIOS'!$M$5:$M$493)</f>
        <v>29.186613608563622</v>
      </c>
    </row>
    <row r="182" spans="2:5" x14ac:dyDescent="0.2">
      <c r="B182" s="112">
        <f>DATE(2025,10,5)</f>
        <v>45935</v>
      </c>
      <c r="C182">
        <f>COUNTIF('DATOS LIMPIOS'!$S$5:$S$493,B182)</f>
        <v>2</v>
      </c>
      <c r="D182">
        <f>IF(C182=0,NA(),AVERAGEIF('DATOS LIMPIOS'!$S$5:$S$493,B182,'DATOS LIMPIOS'!$M$5:$M$493))</f>
        <v>36.434353624889127</v>
      </c>
      <c r="E182">
        <f>AVERAGE('DATOS LIMPIOS'!$M$5:$M$493)</f>
        <v>29.186613608563622</v>
      </c>
    </row>
    <row r="183" spans="2:5" x14ac:dyDescent="0.2">
      <c r="B183" s="112">
        <f>DATE(2025,10,6)</f>
        <v>45936</v>
      </c>
      <c r="C183">
        <f>COUNTIF('DATOS LIMPIOS'!$S$5:$S$493,B183)</f>
        <v>2</v>
      </c>
      <c r="D183">
        <f>IF(C183=0,NA(),AVERAGEIF('DATOS LIMPIOS'!$S$5:$S$493,B183,'DATOS LIMPIOS'!$M$5:$M$493))</f>
        <v>32.601080597783231</v>
      </c>
      <c r="E183">
        <f>AVERAGE('DATOS LIMPIOS'!$M$5:$M$493)</f>
        <v>29.186613608563622</v>
      </c>
    </row>
    <row r="184" spans="2:5" x14ac:dyDescent="0.2">
      <c r="B184" s="112">
        <f>DATE(2025,10,7)</f>
        <v>45937</v>
      </c>
      <c r="C184">
        <f>COUNTIF('DATOS LIMPIOS'!$S$5:$S$493,B184)</f>
        <v>1</v>
      </c>
      <c r="D184">
        <f>IF(C184=0,NA(),AVERAGEIF('DATOS LIMPIOS'!$S$5:$S$493,B184,'DATOS LIMPIOS'!$M$5:$M$493))</f>
        <v>15.952103392196653</v>
      </c>
      <c r="E184">
        <f>AVERAGE('DATOS LIMPIOS'!$M$5:$M$493)</f>
        <v>29.186613608563622</v>
      </c>
    </row>
    <row r="185" spans="2:5" x14ac:dyDescent="0.2">
      <c r="B185" s="112">
        <f>DATE(2025,10,8)</f>
        <v>45938</v>
      </c>
      <c r="C185">
        <f>COUNTIF('DATOS LIMPIOS'!$S$5:$S$493,B185)</f>
        <v>1</v>
      </c>
      <c r="D185">
        <f>IF(C185=0,NA(),AVERAGEIF('DATOS LIMPIOS'!$S$5:$S$493,B185,'DATOS LIMPIOS'!$M$5:$M$493))</f>
        <v>28.999873378796376</v>
      </c>
      <c r="E185">
        <f>AVERAGE('DATOS LIMPIOS'!$M$5:$M$493)</f>
        <v>29.186613608563622</v>
      </c>
    </row>
    <row r="186" spans="2:5" x14ac:dyDescent="0.2">
      <c r="B186" s="112">
        <f>DATE(2025,10,9)</f>
        <v>45939</v>
      </c>
      <c r="C186">
        <f>COUNTIF('DATOS LIMPIOS'!$S$5:$S$493,B186)</f>
        <v>27</v>
      </c>
      <c r="D186">
        <f>IF(C186=0,NA(),AVERAGEIF('DATOS LIMPIOS'!$S$5:$S$493,B186,'DATOS LIMPIOS'!$M$5:$M$493))</f>
        <v>28.700714051077505</v>
      </c>
      <c r="E186">
        <f>AVERAGE('DATOS LIMPIOS'!$M$5:$M$493)</f>
        <v>29.186613608563622</v>
      </c>
    </row>
    <row r="187" spans="2:5" x14ac:dyDescent="0.2">
      <c r="B187" s="112">
        <f>DATE(2025,10,10)</f>
        <v>45940</v>
      </c>
      <c r="C187">
        <f>COUNTIF('DATOS LIMPIOS'!$S$5:$S$493,B187)</f>
        <v>1</v>
      </c>
      <c r="D187">
        <f>IF(C187=0,NA(),AVERAGEIF('DATOS LIMPIOS'!$S$5:$S$493,B187,'DATOS LIMPIOS'!$M$5:$M$493))</f>
        <v>23.971154785846917</v>
      </c>
      <c r="E187">
        <f>AVERAGE('DATOS LIMPIOS'!$M$5:$M$493)</f>
        <v>29.186613608563622</v>
      </c>
    </row>
    <row r="188" spans="2:5" x14ac:dyDescent="0.2">
      <c r="B188" s="112">
        <f>DATE(2025,10,11)</f>
        <v>45941</v>
      </c>
      <c r="C188">
        <f>COUNTIF('DATOS LIMPIOS'!$S$5:$S$493,B188)</f>
        <v>1</v>
      </c>
      <c r="D188">
        <f>IF(C188=0,NA(),AVERAGEIF('DATOS LIMPIOS'!$S$5:$S$493,B188,'DATOS LIMPIOS'!$M$5:$M$493))</f>
        <v>41.835409248929111</v>
      </c>
      <c r="E188">
        <f>AVERAGE('DATOS LIMPIOS'!$M$5:$M$493)</f>
        <v>29.186613608563622</v>
      </c>
    </row>
    <row r="189" spans="2:5" x14ac:dyDescent="0.2">
      <c r="B189" s="112">
        <f>DATE(2025,10,12)</f>
        <v>45942</v>
      </c>
      <c r="C189">
        <f>COUNTIF('DATOS LIMPIOS'!$S$5:$S$493,B189)</f>
        <v>1</v>
      </c>
      <c r="D189">
        <f>IF(C189=0,NA(),AVERAGEIF('DATOS LIMPIOS'!$S$5:$S$493,B189,'DATOS LIMPIOS'!$M$5:$M$493))</f>
        <v>30.422900371966588</v>
      </c>
      <c r="E189">
        <f>AVERAGE('DATOS LIMPIOS'!$M$5:$M$493)</f>
        <v>29.186613608563622</v>
      </c>
    </row>
    <row r="190" spans="2:5" x14ac:dyDescent="0.2">
      <c r="B190" s="112">
        <f>DATE(2025,10,13)</f>
        <v>45943</v>
      </c>
      <c r="C190">
        <f>COUNTIF('DATOS LIMPIOS'!$S$5:$S$493,B190)</f>
        <v>23</v>
      </c>
      <c r="D190">
        <f>IF(C190=0,NA(),AVERAGEIF('DATOS LIMPIOS'!$S$5:$S$493,B190,'DATOS LIMPIOS'!$M$5:$M$493))</f>
        <v>31.836181820126452</v>
      </c>
      <c r="E190">
        <f>AVERAGE('DATOS LIMPIOS'!$M$5:$M$493)</f>
        <v>29.186613608563622</v>
      </c>
    </row>
    <row r="191" spans="2:5" x14ac:dyDescent="0.2">
      <c r="B191" s="112">
        <f>DATE(2025,10,14)</f>
        <v>45944</v>
      </c>
      <c r="C191">
        <f>COUNTIF('DATOS LIMPIOS'!$S$5:$S$493,B191)</f>
        <v>1</v>
      </c>
      <c r="D191">
        <f>IF(C191=0,NA(),AVERAGEIF('DATOS LIMPIOS'!$S$5:$S$493,B191,'DATOS LIMPIOS'!$M$5:$M$493))</f>
        <v>14.962143577040635</v>
      </c>
      <c r="E191">
        <f>AVERAGE('DATOS LIMPIOS'!$M$5:$M$493)</f>
        <v>29.186613608563622</v>
      </c>
    </row>
    <row r="192" spans="2:5" x14ac:dyDescent="0.2">
      <c r="B192" s="112">
        <f>DATE(2025,10,15)</f>
        <v>45945</v>
      </c>
      <c r="C192">
        <f>COUNTIF('DATOS LIMPIOS'!$S$5:$S$493,B192)</f>
        <v>2</v>
      </c>
      <c r="D192">
        <f>IF(C192=0,NA(),AVERAGEIF('DATOS LIMPIOS'!$S$5:$S$493,B192,'DATOS LIMPIOS'!$M$5:$M$493))</f>
        <v>11.754269864248949</v>
      </c>
      <c r="E192">
        <f>AVERAGE('DATOS LIMPIOS'!$M$5:$M$493)</f>
        <v>29.186613608563622</v>
      </c>
    </row>
    <row r="193" spans="2:5" x14ac:dyDescent="0.2">
      <c r="B193" s="112">
        <f>DATE(2025,10,16)</f>
        <v>45946</v>
      </c>
      <c r="C193">
        <f>COUNTIF('DATOS LIMPIOS'!$S$5:$S$493,B193)</f>
        <v>1</v>
      </c>
      <c r="D193">
        <f>IF(C193=0,NA(),AVERAGEIF('DATOS LIMPIOS'!$S$5:$S$493,B193,'DATOS LIMPIOS'!$M$5:$M$493))</f>
        <v>44.964956102485623</v>
      </c>
      <c r="E193">
        <f>AVERAGE('DATOS LIMPIOS'!$M$5:$M$493)</f>
        <v>29.186613608563622</v>
      </c>
    </row>
    <row r="194" spans="2:5" x14ac:dyDescent="0.2">
      <c r="B194" s="112">
        <f>DATE(2025,10,17)</f>
        <v>45947</v>
      </c>
      <c r="C194">
        <f>COUNTIF('DATOS LIMPIOS'!$S$5:$S$493,B194)</f>
        <v>1</v>
      </c>
      <c r="D194">
        <f>IF(C194=0,NA(),AVERAGEIF('DATOS LIMPIOS'!$S$5:$S$493,B194,'DATOS LIMPIOS'!$M$5:$M$493))</f>
        <v>28.812920737075608</v>
      </c>
      <c r="E194">
        <f>AVERAGE('DATOS LIMPIOS'!$M$5:$M$493)</f>
        <v>29.186613608563622</v>
      </c>
    </row>
    <row r="195" spans="2:5" x14ac:dyDescent="0.2">
      <c r="B195" s="112">
        <f>DATE(2025,10,18)</f>
        <v>45948</v>
      </c>
      <c r="C195">
        <f>COUNTIF('DATOS LIMPIOS'!$S$5:$S$493,B195)</f>
        <v>27</v>
      </c>
      <c r="D195">
        <f>IF(C195=0,NA(),AVERAGEIF('DATOS LIMPIOS'!$S$5:$S$493,B195,'DATOS LIMPIOS'!$M$5:$M$493))</f>
        <v>29.376162536497347</v>
      </c>
      <c r="E195">
        <f>AVERAGE('DATOS LIMPIOS'!$M$5:$M$493)</f>
        <v>29.186613608563622</v>
      </c>
    </row>
    <row r="196" spans="2:5" x14ac:dyDescent="0.2">
      <c r="B196" s="112">
        <f>DATE(2025,10,19)</f>
        <v>45949</v>
      </c>
      <c r="C196">
        <f>COUNTIF('DATOS LIMPIOS'!$S$5:$S$493,B196)</f>
        <v>1</v>
      </c>
      <c r="D196">
        <f>IF(C196=0,NA(),AVERAGEIF('DATOS LIMPIOS'!$S$5:$S$493,B196,'DATOS LIMPIOS'!$M$5:$M$493))</f>
        <v>45.547169571920087</v>
      </c>
      <c r="E196">
        <f>AVERAGE('DATOS LIMPIOS'!$M$5:$M$493)</f>
        <v>29.186613608563622</v>
      </c>
    </row>
    <row r="197" spans="2:5" x14ac:dyDescent="0.2">
      <c r="B197" s="112">
        <f>DATE(2025,10,20)</f>
        <v>45950</v>
      </c>
      <c r="C197">
        <f>COUNTIF('DATOS LIMPIOS'!$S$5:$S$493,B197)</f>
        <v>2</v>
      </c>
      <c r="D197">
        <f>IF(C197=0,NA(),AVERAGEIF('DATOS LIMPIOS'!$S$5:$S$493,B197,'DATOS LIMPIOS'!$M$5:$M$493))</f>
        <v>26.45937805402874</v>
      </c>
      <c r="E197">
        <f>AVERAGE('DATOS LIMPIOS'!$M$5:$M$493)</f>
        <v>29.186613608563622</v>
      </c>
    </row>
    <row r="198" spans="2:5" x14ac:dyDescent="0.2">
      <c r="B198" s="112">
        <f>DATE(2025,10,21)</f>
        <v>45951</v>
      </c>
      <c r="C198">
        <f>COUNTIF('DATOS LIMPIOS'!$S$5:$S$493,B198)</f>
        <v>0</v>
      </c>
      <c r="D198" t="e">
        <f>IF(C198=0,NA(),AVERAGEIF('DATOS LIMPIOS'!$S$5:$S$493,B198,'DATOS LIMPIOS'!$M$5:$M$493))</f>
        <v>#N/A</v>
      </c>
      <c r="E198">
        <f>AVERAGE('DATOS LIMPIOS'!$M$5:$M$493)</f>
        <v>29.186613608563622</v>
      </c>
    </row>
    <row r="199" spans="2:5" x14ac:dyDescent="0.2">
      <c r="B199" s="112">
        <f>DATE(2025,10,22)</f>
        <v>45952</v>
      </c>
      <c r="C199">
        <f>COUNTIF('DATOS LIMPIOS'!$S$5:$S$493,B199)</f>
        <v>2</v>
      </c>
      <c r="D199">
        <f>IF(C199=0,NA(),AVERAGEIF('DATOS LIMPIOS'!$S$5:$S$493,B199,'DATOS LIMPIOS'!$M$5:$M$493))</f>
        <v>18.074806582384397</v>
      </c>
      <c r="E199">
        <f>AVERAGE('DATOS LIMPIOS'!$M$5:$M$493)</f>
        <v>29.186613608563622</v>
      </c>
    </row>
    <row r="200" spans="2:5" x14ac:dyDescent="0.2">
      <c r="B200" s="112">
        <f>DATE(2025,10,23)</f>
        <v>45953</v>
      </c>
      <c r="C200">
        <f>COUNTIF('DATOS LIMPIOS'!$S$5:$S$493,B200)</f>
        <v>0</v>
      </c>
      <c r="D200" t="e">
        <f>IF(C200=0,NA(),AVERAGEIF('DATOS LIMPIOS'!$S$5:$S$493,B200,'DATOS LIMPIOS'!$M$5:$M$493))</f>
        <v>#N/A</v>
      </c>
      <c r="E200">
        <f>AVERAGE('DATOS LIMPIOS'!$M$5:$M$493)</f>
        <v>29.186613608563622</v>
      </c>
    </row>
    <row r="201" spans="2:5" x14ac:dyDescent="0.2">
      <c r="B201" s="112">
        <f>DATE(2025,10,24)</f>
        <v>45954</v>
      </c>
      <c r="C201">
        <f>COUNTIF('DATOS LIMPIOS'!$S$5:$S$493,B201)</f>
        <v>29</v>
      </c>
      <c r="D201">
        <f>IF(C201=0,NA(),AVERAGEIF('DATOS LIMPIOS'!$S$5:$S$493,B201,'DATOS LIMPIOS'!$M$5:$M$493))</f>
        <v>27.584787147825477</v>
      </c>
      <c r="E201">
        <f>AVERAGE('DATOS LIMPIOS'!$M$5:$M$493)</f>
        <v>29.186613608563622</v>
      </c>
    </row>
    <row r="202" spans="2:5" x14ac:dyDescent="0.2">
      <c r="B202" s="112">
        <f>DATE(2025,10,25)</f>
        <v>45955</v>
      </c>
      <c r="C202">
        <f>COUNTIF('DATOS LIMPIOS'!$S$5:$S$493,B202)</f>
        <v>1</v>
      </c>
      <c r="D202">
        <f>IF(C202=0,NA(),AVERAGEIF('DATOS LIMPIOS'!$S$5:$S$493,B202,'DATOS LIMPIOS'!$M$5:$M$493))</f>
        <v>46.204442111276663</v>
      </c>
      <c r="E202">
        <f>AVERAGE('DATOS LIMPIOS'!$M$5:$M$493)</f>
        <v>29.186613608563622</v>
      </c>
    </row>
    <row r="203" spans="2:5" x14ac:dyDescent="0.2">
      <c r="B203" s="112">
        <f>DATE(2025,10,26)</f>
        <v>45956</v>
      </c>
      <c r="C203">
        <f>COUNTIF('DATOS LIMPIOS'!$S$5:$S$493,B203)</f>
        <v>1</v>
      </c>
      <c r="D203">
        <f>IF(C203=0,NA(),AVERAGEIF('DATOS LIMPIOS'!$S$5:$S$493,B203,'DATOS LIMPIOS'!$M$5:$M$493))</f>
        <v>35.839748037045602</v>
      </c>
      <c r="E203">
        <f>AVERAGE('DATOS LIMPIOS'!$M$5:$M$493)</f>
        <v>29.186613608563622</v>
      </c>
    </row>
    <row r="204" spans="2:5" x14ac:dyDescent="0.2">
      <c r="B204" s="112">
        <f>DATE(2025,10,27)</f>
        <v>45957</v>
      </c>
      <c r="C204">
        <f>COUNTIF('DATOS LIMPIOS'!$S$5:$S$493,B204)</f>
        <v>2</v>
      </c>
      <c r="D204">
        <f>IF(C204=0,NA(),AVERAGEIF('DATOS LIMPIOS'!$S$5:$S$493,B204,'DATOS LIMPIOS'!$M$5:$M$493))</f>
        <v>29.514028081293947</v>
      </c>
      <c r="E204">
        <f>AVERAGE('DATOS LIMPIOS'!$M$5:$M$493)</f>
        <v>29.186613608563622</v>
      </c>
    </row>
    <row r="205" spans="2:5" x14ac:dyDescent="0.2">
      <c r="B205" s="112">
        <f>DATE(2025,10,28)</f>
        <v>45958</v>
      </c>
      <c r="C205">
        <f>COUNTIF('DATOS LIMPIOS'!$S$5:$S$493,B205)</f>
        <v>2</v>
      </c>
      <c r="D205">
        <f>IF(C205=0,NA(),AVERAGEIF('DATOS LIMPIOS'!$S$5:$S$493,B205,'DATOS LIMPIOS'!$M$5:$M$493))</f>
        <v>33.66458768765898</v>
      </c>
      <c r="E205">
        <f>AVERAGE('DATOS LIMPIOS'!$M$5:$M$493)</f>
        <v>29.186613608563622</v>
      </c>
    </row>
    <row r="206" spans="2:5" x14ac:dyDescent="0.2">
      <c r="B206" s="112">
        <f>DATE(2025,10,29)</f>
        <v>45959</v>
      </c>
      <c r="C206">
        <f>COUNTIF('DATOS LIMPIOS'!$S$5:$S$493,B206)</f>
        <v>27</v>
      </c>
      <c r="D206">
        <f>IF(C206=0,NA(),AVERAGEIF('DATOS LIMPIOS'!$S$5:$S$493,B206,'DATOS LIMPIOS'!$M$5:$M$493))</f>
        <v>29.573956283367252</v>
      </c>
      <c r="E206">
        <f>AVERAGE('DATOS LIMPIOS'!$M$5:$M$493)</f>
        <v>29.186613608563622</v>
      </c>
    </row>
    <row r="207" spans="2:5" x14ac:dyDescent="0.2">
      <c r="B207" s="112">
        <f>DATE(2025,10,30)</f>
        <v>45960</v>
      </c>
      <c r="C207">
        <f>COUNTIF('DATOS LIMPIOS'!$S$5:$S$493,B207)</f>
        <v>1</v>
      </c>
      <c r="D207">
        <f>IF(C207=0,NA(),AVERAGEIF('DATOS LIMPIOS'!$S$5:$S$493,B207,'DATOS LIMPIOS'!$M$5:$M$493))</f>
        <v>47.785219597001735</v>
      </c>
      <c r="E207">
        <f>AVERAGE('DATOS LIMPIOS'!$M$5:$M$493)</f>
        <v>29.186613608563622</v>
      </c>
    </row>
    <row r="208" spans="2:5" x14ac:dyDescent="0.2">
      <c r="B208" s="112">
        <f>DATE(2025,10,31)</f>
        <v>45961</v>
      </c>
      <c r="C208">
        <f>COUNTIF('DATOS LIMPIOS'!$S$5:$S$493,B208)</f>
        <v>0</v>
      </c>
      <c r="D208" t="e">
        <f>IF(C208=0,NA(),AVERAGEIF('DATOS LIMPIOS'!$S$5:$S$493,B208,'DATOS LIMPIOS'!$M$5:$M$493))</f>
        <v>#N/A</v>
      </c>
      <c r="E208">
        <f>AVERAGE('DATOS LIMPIOS'!$M$5:$M$493)</f>
        <v>29.186613608563622</v>
      </c>
    </row>
  </sheetData>
  <pageMargins left="0.75" right="0.75" top="1" bottom="1"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L36"/>
  <sheetViews>
    <sheetView workbookViewId="0">
      <pane ySplit="2" topLeftCell="A3" activePane="bottomLeft" state="frozen"/>
      <selection pane="bottomLeft"/>
    </sheetView>
  </sheetViews>
  <sheetFormatPr baseColWidth="10" defaultColWidth="8.83203125" defaultRowHeight="15" x14ac:dyDescent="0.2"/>
  <cols>
    <col min="1" max="1" width="40" customWidth="1"/>
    <col min="2" max="3" width="14" customWidth="1"/>
    <col min="4" max="4" width="15" customWidth="1"/>
    <col min="5" max="12" width="11" customWidth="1"/>
  </cols>
  <sheetData>
    <row r="1" spans="1:12" ht="30" customHeight="1" x14ac:dyDescent="0.2">
      <c r="A1" s="183" t="s">
        <v>1609</v>
      </c>
      <c r="B1" s="184"/>
      <c r="C1" s="184"/>
      <c r="D1" s="184"/>
      <c r="E1" s="184"/>
      <c r="F1" s="184"/>
      <c r="G1" s="184"/>
      <c r="H1" s="184"/>
      <c r="I1" s="184"/>
      <c r="J1" s="184"/>
      <c r="K1" s="184"/>
      <c r="L1" s="184"/>
    </row>
    <row r="2" spans="1:12" ht="16" customHeight="1" x14ac:dyDescent="0.2">
      <c r="A2" s="170" t="s">
        <v>1610</v>
      </c>
      <c r="B2" s="171"/>
      <c r="C2" s="171"/>
      <c r="D2" s="171"/>
      <c r="E2" s="171"/>
      <c r="F2" s="171"/>
      <c r="G2" s="171"/>
      <c r="H2" s="171"/>
      <c r="I2" s="171"/>
      <c r="J2" s="171"/>
      <c r="K2" s="171"/>
      <c r="L2" s="171"/>
    </row>
    <row r="4" spans="1:12" ht="32" customHeight="1" x14ac:dyDescent="0.2">
      <c r="A4" s="185" t="s">
        <v>1611</v>
      </c>
      <c r="B4" s="5"/>
      <c r="C4" s="5"/>
      <c r="D4" s="5"/>
      <c r="E4" s="5"/>
      <c r="F4" s="5"/>
      <c r="G4" s="5"/>
      <c r="H4" s="5"/>
      <c r="I4" s="5"/>
      <c r="J4" s="5"/>
      <c r="K4" s="5"/>
      <c r="L4" s="5"/>
    </row>
    <row r="6" spans="1:12" ht="14" customHeight="1" x14ac:dyDescent="0.2">
      <c r="A6" s="2" t="s">
        <v>1612</v>
      </c>
      <c r="B6" s="3"/>
      <c r="C6" s="3"/>
      <c r="D6" s="3"/>
      <c r="E6" s="3"/>
      <c r="F6" s="3"/>
    </row>
    <row r="7" spans="1:12" ht="16" x14ac:dyDescent="0.2">
      <c r="A7" s="139" t="s">
        <v>1613</v>
      </c>
      <c r="D7" s="140">
        <v>74</v>
      </c>
      <c r="E7" s="141" t="s">
        <v>1614</v>
      </c>
    </row>
    <row r="8" spans="1:12" ht="16" x14ac:dyDescent="0.2">
      <c r="A8" s="139" t="s">
        <v>1615</v>
      </c>
      <c r="D8" s="142">
        <v>2</v>
      </c>
      <c r="E8" s="141" t="s">
        <v>1616</v>
      </c>
    </row>
    <row r="10" spans="1:12" ht="14" customHeight="1" x14ac:dyDescent="0.2">
      <c r="A10" s="2" t="s">
        <v>1617</v>
      </c>
      <c r="B10" s="3"/>
      <c r="C10" s="3"/>
      <c r="D10" s="3"/>
      <c r="E10" s="3"/>
      <c r="F10" s="3"/>
    </row>
    <row r="11" spans="1:12" ht="21" x14ac:dyDescent="0.2">
      <c r="A11" s="143" t="s">
        <v>1618</v>
      </c>
      <c r="D11" s="144">
        <f>($D$8*($D$7/100)-1)/($D$8-1)*100</f>
        <v>48</v>
      </c>
    </row>
    <row r="12" spans="1:12" x14ac:dyDescent="0.2">
      <c r="A12" s="139" t="s">
        <v>547</v>
      </c>
      <c r="D12" s="145" t="s">
        <v>1619</v>
      </c>
    </row>
    <row r="13" spans="1:12" x14ac:dyDescent="0.2">
      <c r="A13" s="139" t="s">
        <v>1620</v>
      </c>
      <c r="D13" s="146">
        <f>(1-D11/100)^(-$D$8)*(($D$7/100)-D11/100)/($D$7/100)*100</f>
        <v>129.93762993762991</v>
      </c>
    </row>
    <row r="14" spans="1:12" ht="18" x14ac:dyDescent="0.2">
      <c r="A14" s="143" t="s">
        <v>1621</v>
      </c>
      <c r="D14" s="147">
        <f>(1-0.4)^(-$D$8)*(($D$7/100)-0.4)/($D$7/100)*100</f>
        <v>127.6276276276276</v>
      </c>
    </row>
    <row r="15" spans="1:12" ht="19" x14ac:dyDescent="0.2">
      <c r="A15" s="143" t="s">
        <v>1622</v>
      </c>
      <c r="D15" s="148">
        <f>(D14-100)/(D13-100)*100</f>
        <v>92.283950617283963</v>
      </c>
    </row>
    <row r="16" spans="1:12" x14ac:dyDescent="0.2">
      <c r="A16" s="139" t="s">
        <v>1623</v>
      </c>
      <c r="D16" s="149" t="str">
        <f>IF(D14&gt;=100,"No. Queda por encima de no descontar.","SÍ. A este margen, 40 % resta plata.")</f>
        <v>No. Queda por encima de no descontar.</v>
      </c>
    </row>
    <row r="18" spans="1:4" ht="14" customHeight="1" x14ac:dyDescent="0.2">
      <c r="A18" s="2" t="s">
        <v>1624</v>
      </c>
      <c r="B18" s="3"/>
      <c r="C18" s="3"/>
      <c r="D18" s="3"/>
    </row>
    <row r="19" spans="1:4" x14ac:dyDescent="0.2">
      <c r="A19" s="150" t="s">
        <v>1625</v>
      </c>
      <c r="B19" s="150" t="s">
        <v>1626</v>
      </c>
      <c r="C19" s="150" t="s">
        <v>1627</v>
      </c>
      <c r="D19" s="150" t="s">
        <v>1628</v>
      </c>
    </row>
    <row r="20" spans="1:4" x14ac:dyDescent="0.2">
      <c r="A20" s="151">
        <v>0</v>
      </c>
      <c r="B20" s="124">
        <f t="shared" ref="B20:B34" si="0">(1-A20)^(-$D$8)*100</f>
        <v>100</v>
      </c>
      <c r="C20" s="124">
        <f t="shared" ref="C20:C34" si="1">IF(($D$7/100)-A20&lt;=0,0,(($D$7/100)-A20)/($D$7/100)*100)</f>
        <v>100</v>
      </c>
      <c r="D20" s="124">
        <f t="shared" ref="D20:D34" si="2">B20*C20/100</f>
        <v>100</v>
      </c>
    </row>
    <row r="21" spans="1:4" x14ac:dyDescent="0.2">
      <c r="A21" s="151">
        <v>0.05</v>
      </c>
      <c r="B21" s="124">
        <f t="shared" si="0"/>
        <v>110.803324099723</v>
      </c>
      <c r="C21" s="124">
        <f t="shared" si="1"/>
        <v>93.243243243243228</v>
      </c>
      <c r="D21" s="124">
        <f t="shared" si="2"/>
        <v>103.31661301190387</v>
      </c>
    </row>
    <row r="22" spans="1:4" x14ac:dyDescent="0.2">
      <c r="A22" s="151">
        <v>0.1</v>
      </c>
      <c r="B22" s="124">
        <f t="shared" si="0"/>
        <v>123.45679012345678</v>
      </c>
      <c r="C22" s="124">
        <f t="shared" si="1"/>
        <v>86.486486486486484</v>
      </c>
      <c r="D22" s="124">
        <f t="shared" si="2"/>
        <v>106.77344010677344</v>
      </c>
    </row>
    <row r="23" spans="1:4" x14ac:dyDescent="0.2">
      <c r="A23" s="151">
        <v>0.15</v>
      </c>
      <c r="B23" s="124">
        <f t="shared" si="0"/>
        <v>138.4083044982699</v>
      </c>
      <c r="C23" s="124">
        <f t="shared" si="1"/>
        <v>79.729729729729726</v>
      </c>
      <c r="D23" s="124">
        <f t="shared" si="2"/>
        <v>110.35256709997195</v>
      </c>
    </row>
    <row r="24" spans="1:4" x14ac:dyDescent="0.2">
      <c r="A24" s="151">
        <v>0.2</v>
      </c>
      <c r="B24" s="124">
        <f t="shared" si="0"/>
        <v>156.24999999999997</v>
      </c>
      <c r="C24" s="124">
        <f t="shared" si="1"/>
        <v>72.972972972972983</v>
      </c>
      <c r="D24" s="124">
        <f t="shared" si="2"/>
        <v>114.02027027027026</v>
      </c>
    </row>
    <row r="25" spans="1:4" x14ac:dyDescent="0.2">
      <c r="A25" s="151">
        <v>0.25</v>
      </c>
      <c r="B25" s="124">
        <f t="shared" si="0"/>
        <v>177.77777777777777</v>
      </c>
      <c r="C25" s="124">
        <f t="shared" si="1"/>
        <v>66.21621621621621</v>
      </c>
      <c r="D25" s="124">
        <f t="shared" si="2"/>
        <v>117.71771771771769</v>
      </c>
    </row>
    <row r="26" spans="1:4" x14ac:dyDescent="0.2">
      <c r="A26" s="151">
        <v>0.3</v>
      </c>
      <c r="B26" s="124">
        <f t="shared" si="0"/>
        <v>204.08163265306126</v>
      </c>
      <c r="C26" s="124">
        <f t="shared" si="1"/>
        <v>59.45945945945946</v>
      </c>
      <c r="D26" s="124">
        <f t="shared" si="2"/>
        <v>121.34583563154995</v>
      </c>
    </row>
    <row r="27" spans="1:4" x14ac:dyDescent="0.2">
      <c r="A27" s="151">
        <v>0.35</v>
      </c>
      <c r="B27" s="124">
        <f t="shared" si="0"/>
        <v>236.68639053254435</v>
      </c>
      <c r="C27" s="124">
        <f t="shared" si="1"/>
        <v>52.702702702702709</v>
      </c>
      <c r="D27" s="124">
        <f t="shared" si="2"/>
        <v>124.74012474012474</v>
      </c>
    </row>
    <row r="28" spans="1:4" x14ac:dyDescent="0.2">
      <c r="A28" s="152">
        <v>0.4</v>
      </c>
      <c r="B28" s="153">
        <f t="shared" si="0"/>
        <v>277.77777777777777</v>
      </c>
      <c r="C28" s="153">
        <f t="shared" si="1"/>
        <v>45.945945945945944</v>
      </c>
      <c r="D28" s="154">
        <f t="shared" si="2"/>
        <v>127.62762762762763</v>
      </c>
    </row>
    <row r="29" spans="1:4" x14ac:dyDescent="0.2">
      <c r="A29" s="151">
        <v>0.45</v>
      </c>
      <c r="B29" s="124">
        <f t="shared" si="0"/>
        <v>330.57851239669418</v>
      </c>
      <c r="C29" s="124">
        <f t="shared" si="1"/>
        <v>39.189189189189186</v>
      </c>
      <c r="D29" s="124">
        <f t="shared" si="2"/>
        <v>129.55103864194771</v>
      </c>
    </row>
    <row r="30" spans="1:4" x14ac:dyDescent="0.2">
      <c r="A30" s="151">
        <v>0.5</v>
      </c>
      <c r="B30" s="124">
        <f t="shared" si="0"/>
        <v>400</v>
      </c>
      <c r="C30" s="124">
        <f t="shared" si="1"/>
        <v>32.432432432432435</v>
      </c>
      <c r="D30" s="124">
        <f t="shared" si="2"/>
        <v>129.72972972972974</v>
      </c>
    </row>
    <row r="31" spans="1:4" x14ac:dyDescent="0.2">
      <c r="A31" s="151">
        <v>0.55000000000000004</v>
      </c>
      <c r="B31" s="124">
        <f t="shared" si="0"/>
        <v>493.82716049382725</v>
      </c>
      <c r="C31" s="124">
        <f t="shared" si="1"/>
        <v>25.67567567567567</v>
      </c>
      <c r="D31" s="124">
        <f t="shared" si="2"/>
        <v>126.79346012679345</v>
      </c>
    </row>
    <row r="32" spans="1:4" x14ac:dyDescent="0.2">
      <c r="A32" s="151">
        <v>0.6</v>
      </c>
      <c r="B32" s="124">
        <f t="shared" si="0"/>
        <v>624.99999999999989</v>
      </c>
      <c r="C32" s="124">
        <f t="shared" si="1"/>
        <v>18.918918918918919</v>
      </c>
      <c r="D32" s="124">
        <f t="shared" si="2"/>
        <v>118.24324324324323</v>
      </c>
    </row>
    <row r="33" spans="1:12" x14ac:dyDescent="0.2">
      <c r="A33" s="151">
        <v>0.65</v>
      </c>
      <c r="B33" s="124">
        <f t="shared" si="0"/>
        <v>816.32653061224505</v>
      </c>
      <c r="C33" s="124">
        <f t="shared" si="1"/>
        <v>12.162162162162158</v>
      </c>
      <c r="D33" s="124">
        <f t="shared" si="2"/>
        <v>99.282956425813552</v>
      </c>
    </row>
    <row r="34" spans="1:12" x14ac:dyDescent="0.2">
      <c r="A34" s="151">
        <v>0.7</v>
      </c>
      <c r="B34" s="124">
        <f t="shared" si="0"/>
        <v>1111.1111111111109</v>
      </c>
      <c r="C34" s="124">
        <f t="shared" si="1"/>
        <v>5.4054054054054106</v>
      </c>
      <c r="D34" s="124">
        <f t="shared" si="2"/>
        <v>60.060060060060103</v>
      </c>
    </row>
    <row r="36" spans="1:12" ht="42" customHeight="1" x14ac:dyDescent="0.2">
      <c r="A36" s="189" t="s">
        <v>1629</v>
      </c>
      <c r="B36" s="166"/>
      <c r="C36" s="166"/>
      <c r="D36" s="166"/>
      <c r="E36" s="166"/>
      <c r="F36" s="166"/>
      <c r="G36" s="166"/>
      <c r="H36" s="166"/>
      <c r="I36" s="166"/>
      <c r="J36" s="166"/>
      <c r="K36" s="166"/>
      <c r="L36" s="166"/>
    </row>
  </sheetData>
  <mergeCells count="7">
    <mergeCell ref="A2:L2"/>
    <mergeCell ref="A18:D18"/>
    <mergeCell ref="A10:F10"/>
    <mergeCell ref="A1:L1"/>
    <mergeCell ref="A36:L36"/>
    <mergeCell ref="A6:F6"/>
    <mergeCell ref="A4:L4"/>
  </mergeCells>
  <pageMargins left="0.75" right="0.75" top="1" bottom="1" header="0.5" footer="0.5"/>
  <pageSetup fitToHeight="0" orientation="landscape"/>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I38"/>
  <sheetViews>
    <sheetView workbookViewId="0">
      <pane ySplit="2" topLeftCell="A3" activePane="bottomLeft" state="frozen"/>
      <selection pane="bottomLeft"/>
    </sheetView>
  </sheetViews>
  <sheetFormatPr baseColWidth="10" defaultColWidth="8.83203125" defaultRowHeight="15" x14ac:dyDescent="0.2"/>
  <cols>
    <col min="1" max="1" width="4" customWidth="1"/>
    <col min="2" max="2" width="56" customWidth="1"/>
    <col min="3" max="3" width="26" customWidth="1"/>
    <col min="4" max="4" width="9" customWidth="1"/>
    <col min="5" max="5" width="10" customWidth="1"/>
    <col min="6" max="6" width="9" customWidth="1"/>
    <col min="7" max="8" width="13" customWidth="1"/>
    <col min="9" max="9" width="15" customWidth="1"/>
  </cols>
  <sheetData>
    <row r="1" spans="1:9" ht="30" customHeight="1" x14ac:dyDescent="0.2">
      <c r="A1" s="183" t="s">
        <v>1630</v>
      </c>
      <c r="B1" s="184"/>
      <c r="C1" s="184"/>
      <c r="D1" s="184"/>
      <c r="E1" s="184"/>
      <c r="F1" s="184"/>
      <c r="G1" s="184"/>
      <c r="H1" s="184"/>
      <c r="I1" s="184"/>
    </row>
    <row r="2" spans="1:9" ht="16" customHeight="1" x14ac:dyDescent="0.2">
      <c r="A2" s="170" t="s">
        <v>1631</v>
      </c>
      <c r="B2" s="171"/>
      <c r="C2" s="171"/>
      <c r="D2" s="171"/>
      <c r="E2" s="171"/>
      <c r="F2" s="171"/>
      <c r="G2" s="171"/>
      <c r="H2" s="171"/>
      <c r="I2" s="171"/>
    </row>
    <row r="4" spans="1:9" ht="26" customHeight="1" x14ac:dyDescent="0.2">
      <c r="A4" s="185" t="s">
        <v>1632</v>
      </c>
      <c r="B4" s="5"/>
      <c r="C4" s="5"/>
      <c r="D4" s="5"/>
      <c r="E4" s="5"/>
      <c r="F4" s="5"/>
      <c r="G4" s="5"/>
      <c r="H4" s="5"/>
      <c r="I4" s="5"/>
    </row>
    <row r="6" spans="1:9" ht="18" x14ac:dyDescent="0.2">
      <c r="A6" s="143" t="s">
        <v>1633</v>
      </c>
      <c r="D6" s="155">
        <f>AVERAGE('DATOS LIMPIOS'!$M$5:$M$493)</f>
        <v>29.186613608563622</v>
      </c>
      <c r="E6" s="141" t="s">
        <v>1634</v>
      </c>
    </row>
    <row r="9" spans="1:9" ht="30" customHeight="1" x14ac:dyDescent="0.2">
      <c r="A9" s="120" t="s">
        <v>80</v>
      </c>
      <c r="B9" s="120" t="s">
        <v>366</v>
      </c>
      <c r="C9" s="120" t="s">
        <v>345</v>
      </c>
      <c r="D9" s="120" t="s">
        <v>1635</v>
      </c>
      <c r="E9" s="120" t="s">
        <v>87</v>
      </c>
      <c r="F9" s="120" t="s">
        <v>60</v>
      </c>
      <c r="G9" s="120" t="s">
        <v>1636</v>
      </c>
      <c r="H9" s="120" t="s">
        <v>1637</v>
      </c>
      <c r="I9" s="120" t="s">
        <v>1638</v>
      </c>
    </row>
    <row r="10" spans="1:9" x14ac:dyDescent="0.2">
      <c r="A10" s="124">
        <f>'RANKING ASUNTOS'!$A$5</f>
        <v>1</v>
      </c>
      <c r="B10" s="137" t="str">
        <f>'RANKING ASUNTOS'!$B$5</f>
        <v>¡Ahorra YA! Flash Sale: Hasta 50% en tus favoritos</v>
      </c>
      <c r="C10" s="130" t="str">
        <f>IFERROR(INDEX('DATOS LIMPIOS'!$AT$5:$AT$493,MATCH(B10,'DATOS LIMPIOS'!$E$5:$E$493,0)),"")</f>
        <v>Con cifra concreta</v>
      </c>
      <c r="D10" s="124">
        <f>'RANKING ASUNTOS'!$F$5</f>
        <v>21</v>
      </c>
      <c r="E10" s="156">
        <f>'RANKING ASUNTOS'!$G$5</f>
        <v>41.593592985418503</v>
      </c>
      <c r="F10" s="157">
        <f>'RANKING ASUNTOS'!$H$5</f>
        <v>10.6400078621645</v>
      </c>
      <c r="G10" s="158">
        <f t="shared" ref="G10:G31" si="0">E10-$D$6</f>
        <v>12.406979376854881</v>
      </c>
      <c r="H10" s="136" t="str">
        <f t="shared" ref="H10:H31" si="1">IF(D10&lt;8,"VIGILAR",IF(E10&gt;$D$6,"REPETIR","RETIRAR"))</f>
        <v>REPETIR</v>
      </c>
      <c r="I10" s="159" t="str">
        <f>IFERROR(INDEX('DATOS LIMPIOS'!$AH$5:$AH$493,MATCH(B10,'DATOS LIMPIOS'!$E$5:$E$493,0)),"")</f>
        <v>No</v>
      </c>
    </row>
    <row r="11" spans="1:9" x14ac:dyDescent="0.2">
      <c r="A11" s="124">
        <f>'RANKING ASUNTOS'!$A$6</f>
        <v>2</v>
      </c>
      <c r="B11" s="137" t="str">
        <f>'RANKING ASUNTOS'!$B$6</f>
        <v>¡Tu lealtad tiene recompensa! Descúbrela, sorpresas para ti</v>
      </c>
      <c r="C11" s="130" t="str">
        <f>IFERROR(INDEX('DATOS LIMPIOS'!$AT$5:$AT$493,MATCH(B11,'DATOS LIMPIOS'!$E$5:$E$493,0)),"")</f>
        <v>Recompensa o sorpresa</v>
      </c>
      <c r="D11" s="124">
        <f>'RANKING ASUNTOS'!$F$6</f>
        <v>16</v>
      </c>
      <c r="E11" s="156">
        <f>'RANKING ASUNTOS'!$G$6</f>
        <v>40.721427589592501</v>
      </c>
      <c r="F11" s="157">
        <f>'RANKING ASUNTOS'!$H$6</f>
        <v>10.0840784997479</v>
      </c>
      <c r="G11" s="158">
        <f t="shared" si="0"/>
        <v>11.534813981028879</v>
      </c>
      <c r="H11" s="136" t="str">
        <f t="shared" si="1"/>
        <v>REPETIR</v>
      </c>
      <c r="I11" s="159" t="str">
        <f>IFERROR(INDEX('DATOS LIMPIOS'!$AH$5:$AH$493,MATCH(B11,'DATOS LIMPIOS'!$E$5:$E$493,0)),"")</f>
        <v>No</v>
      </c>
    </row>
    <row r="12" spans="1:9" x14ac:dyDescent="0.2">
      <c r="A12" s="124">
        <f>'RANKING ASUNTOS'!$A$7</f>
        <v>3</v>
      </c>
      <c r="B12" s="137" t="str">
        <f>'RANKING ASUNTOS'!$B$7</f>
        <v>¡Pensamos en ti! Descubre estas sorpresas exclusivas</v>
      </c>
      <c r="C12" s="130" t="str">
        <f>IFERROR(INDEX('DATOS LIMPIOS'!$AT$5:$AT$493,MATCH(B12,'DATOS LIMPIOS'!$E$5:$E$493,0)),"")</f>
        <v>Recompensa o sorpresa</v>
      </c>
      <c r="D12" s="124">
        <f>'RANKING ASUNTOS'!$F$7</f>
        <v>20</v>
      </c>
      <c r="E12" s="156">
        <f>'RANKING ASUNTOS'!$G$7</f>
        <v>39.210446566150402</v>
      </c>
      <c r="F12" s="157">
        <f>'RANKING ASUNTOS'!$H$7</f>
        <v>12.290336402782399</v>
      </c>
      <c r="G12" s="158">
        <f t="shared" si="0"/>
        <v>10.02383295758678</v>
      </c>
      <c r="H12" s="136" t="str">
        <f t="shared" si="1"/>
        <v>REPETIR</v>
      </c>
      <c r="I12" s="159" t="str">
        <f>IFERROR(INDEX('DATOS LIMPIOS'!$AH$5:$AH$493,MATCH(B12,'DATOS LIMPIOS'!$E$5:$E$493,0)),"")</f>
        <v>No</v>
      </c>
    </row>
    <row r="13" spans="1:9" x14ac:dyDescent="0.2">
      <c r="A13" s="124">
        <f>'RANKING ASUNTOS'!$A$8</f>
        <v>4</v>
      </c>
      <c r="B13" s="137" t="str">
        <f>'RANKING ASUNTOS'!$B$8</f>
        <v>¡Solo un clic te separa de estas ofertas! L'Oréal Paris</v>
      </c>
      <c r="C13" s="130" t="str">
        <f>IFERROR(INDEX('DATOS LIMPIOS'!$AT$5:$AT$493,MATCH(B13,'DATOS LIMPIOS'!$E$5:$E$493,0)),"")</f>
        <v>Otro: beneficio o novedad</v>
      </c>
      <c r="D13" s="124">
        <f>'RANKING ASUNTOS'!$F$8</f>
        <v>15</v>
      </c>
      <c r="E13" s="156">
        <f>'RANKING ASUNTOS'!$G$8</f>
        <v>38.720231784441999</v>
      </c>
      <c r="F13" s="157">
        <f>'RANKING ASUNTOS'!$H$8</f>
        <v>13.442773238180299</v>
      </c>
      <c r="G13" s="158">
        <f t="shared" si="0"/>
        <v>9.5336181758783773</v>
      </c>
      <c r="H13" s="136" t="str">
        <f t="shared" si="1"/>
        <v>REPETIR</v>
      </c>
      <c r="I13" s="159" t="str">
        <f>IFERROR(INDEX('DATOS LIMPIOS'!$AH$5:$AH$493,MATCH(B13,'DATOS LIMPIOS'!$E$5:$E$493,0)),"")</f>
        <v>No</v>
      </c>
    </row>
    <row r="14" spans="1:9" x14ac:dyDescent="0.2">
      <c r="A14" s="124">
        <f>'RANKING ASUNTOS'!$A$9</f>
        <v>5</v>
      </c>
      <c r="B14" s="137" t="str">
        <f>'RANKING ASUNTOS'!$B$9</f>
        <v>Lo último en L'Oréal: Mantente informad@ de las novedades</v>
      </c>
      <c r="C14" s="130" t="str">
        <f>IFERROR(INDEX('DATOS LIMPIOS'!$AT$5:$AT$493,MATCH(B14,'DATOS LIMPIOS'!$E$5:$E$493,0)),"")</f>
        <v>Otro: beneficio o novedad</v>
      </c>
      <c r="D14" s="124">
        <f>'RANKING ASUNTOS'!$F$9</f>
        <v>19</v>
      </c>
      <c r="E14" s="156">
        <f>'RANKING ASUNTOS'!$G$9</f>
        <v>36.827379346292702</v>
      </c>
      <c r="F14" s="157">
        <f>'RANKING ASUNTOS'!$H$9</f>
        <v>11.2117943545451</v>
      </c>
      <c r="G14" s="158">
        <f t="shared" si="0"/>
        <v>7.6407657377290796</v>
      </c>
      <c r="H14" s="136" t="str">
        <f t="shared" si="1"/>
        <v>REPETIR</v>
      </c>
      <c r="I14" s="159" t="str">
        <f>IFERROR(INDEX('DATOS LIMPIOS'!$AH$5:$AH$493,MATCH(B14,'DATOS LIMPIOS'!$E$5:$E$493,0)),"")</f>
        <v>No</v>
      </c>
    </row>
    <row r="15" spans="1:9" x14ac:dyDescent="0.2">
      <c r="A15" s="124">
        <f>'RANKING ASUNTOS'!$A$10</f>
        <v>6</v>
      </c>
      <c r="B15" s="137" t="str">
        <f>'RANKING ASUNTOS'!$B$10</f>
        <v>¡El futuro de tu piel ha llegado! Nuevo Producto revolucionario</v>
      </c>
      <c r="C15" s="130" t="str">
        <f>IFERROR(INDEX('DATOS LIMPIOS'!$AT$5:$AT$493,MATCH(B15,'DATOS LIMPIOS'!$E$5:$E$493,0)),"")</f>
        <v>Otro: beneficio o novedad</v>
      </c>
      <c r="D15" s="124">
        <f>'RANKING ASUNTOS'!$F$10</f>
        <v>25</v>
      </c>
      <c r="E15" s="156">
        <f>'RANKING ASUNTOS'!$G$10</f>
        <v>36.132518317209403</v>
      </c>
      <c r="F15" s="157">
        <f>'RANKING ASUNTOS'!$H$10</f>
        <v>12.2862799636503</v>
      </c>
      <c r="G15" s="158">
        <f t="shared" si="0"/>
        <v>6.9459047086457808</v>
      </c>
      <c r="H15" s="136" t="str">
        <f t="shared" si="1"/>
        <v>REPETIR</v>
      </c>
      <c r="I15" s="159" t="str">
        <f>IFERROR(INDEX('DATOS LIMPIOS'!$AH$5:$AH$493,MATCH(B15,'DATOS LIMPIOS'!$E$5:$E$493,0)),"")</f>
        <v>No</v>
      </c>
    </row>
    <row r="16" spans="1:9" x14ac:dyDescent="0.2">
      <c r="A16" s="124">
        <f>'RANKING ASUNTOS'!$A$11</f>
        <v>7</v>
      </c>
      <c r="B16" s="137" t="str">
        <f>'RANKING ASUNTOS'!$B$11</f>
        <v>¡Aprovecha los descuentos! Temporada de Fiestas, beauty deals</v>
      </c>
      <c r="C16" s="130" t="str">
        <f>IFERROR(INDEX('DATOS LIMPIOS'!$AT$5:$AT$493,MATCH(B16,'DATOS LIMPIOS'!$E$5:$E$493,0)),"")</f>
        <v>Otro: beneficio o novedad</v>
      </c>
      <c r="D16" s="124">
        <f>'RANKING ASUNTOS'!$F$11</f>
        <v>9</v>
      </c>
      <c r="E16" s="156">
        <f>'RANKING ASUNTOS'!$G$11</f>
        <v>35.565837226891702</v>
      </c>
      <c r="F16" s="157">
        <f>'RANKING ASUNTOS'!$H$11</f>
        <v>9.1636304893164997</v>
      </c>
      <c r="G16" s="158">
        <f t="shared" si="0"/>
        <v>6.3792236183280799</v>
      </c>
      <c r="H16" s="136" t="str">
        <f t="shared" si="1"/>
        <v>REPETIR</v>
      </c>
      <c r="I16" s="159" t="str">
        <f>IFERROR(INDEX('DATOS LIMPIOS'!$AH$5:$AH$493,MATCH(B16,'DATOS LIMPIOS'!$E$5:$E$493,0)),"")</f>
        <v>No</v>
      </c>
    </row>
    <row r="17" spans="1:9" x14ac:dyDescent="0.2">
      <c r="A17" s="124">
        <f>'RANKING ASUNTOS'!$A$12</f>
        <v>8</v>
      </c>
      <c r="B17" s="137" t="str">
        <f>'RANKING ASUNTOS'!$B$12</f>
        <v>¡Regalos perfectos te esperan! Descuentos de Lujo, L'Oréal</v>
      </c>
      <c r="C17" s="130" t="str">
        <f>IFERROR(INDEX('DATOS LIMPIOS'!$AT$5:$AT$493,MATCH(B17,'DATOS LIMPIOS'!$E$5:$E$493,0)),"")</f>
        <v>Recompensa o sorpresa</v>
      </c>
      <c r="D17" s="124">
        <f>'RANKING ASUNTOS'!$F$12</f>
        <v>30</v>
      </c>
      <c r="E17" s="156">
        <f>'RANKING ASUNTOS'!$G$12</f>
        <v>35.4098867022023</v>
      </c>
      <c r="F17" s="157">
        <f>'RANKING ASUNTOS'!$H$12</f>
        <v>10.1802717915416</v>
      </c>
      <c r="G17" s="158">
        <f t="shared" si="0"/>
        <v>6.223273093638678</v>
      </c>
      <c r="H17" s="136" t="str">
        <f t="shared" si="1"/>
        <v>REPETIR</v>
      </c>
      <c r="I17" s="159" t="str">
        <f>IFERROR(INDEX('DATOS LIMPIOS'!$AH$5:$AH$493,MATCH(B17,'DATOS LIMPIOS'!$E$5:$E$493,0)),"")</f>
        <v>No</v>
      </c>
    </row>
    <row r="18" spans="1:9" x14ac:dyDescent="0.2">
      <c r="A18" s="124">
        <f>'RANKING ASUNTOS'!$A$13</f>
        <v>9</v>
      </c>
      <c r="B18" s="137" t="str">
        <f>'RANKING ASUNTOS'!$B$13</f>
        <v>Tu Dosis de Belleza: ¡No te lo pierdas! Tips y trucos</v>
      </c>
      <c r="C18" s="130" t="str">
        <f>IFERROR(INDEX('DATOS LIMPIOS'!$AT$5:$AT$493,MATCH(B18,'DATOS LIMPIOS'!$E$5:$E$493,0)),"")</f>
        <v>Otro: beneficio o novedad</v>
      </c>
      <c r="D18" s="124">
        <f>'RANKING ASUNTOS'!$F$13</f>
        <v>25</v>
      </c>
      <c r="E18" s="156">
        <f>'RANKING ASUNTOS'!$G$13</f>
        <v>33.412775116147898</v>
      </c>
      <c r="F18" s="157">
        <f>'RANKING ASUNTOS'!$H$13</f>
        <v>12.9828339084828</v>
      </c>
      <c r="G18" s="158">
        <f t="shared" si="0"/>
        <v>4.2261615075842762</v>
      </c>
      <c r="H18" s="136" t="str">
        <f t="shared" si="1"/>
        <v>REPETIR</v>
      </c>
      <c r="I18" s="159" t="str">
        <f>IFERROR(INDEX('DATOS LIMPIOS'!$AH$5:$AH$493,MATCH(B18,'DATOS LIMPIOS'!$E$5:$E$493,0)),"")</f>
        <v>No</v>
      </c>
    </row>
    <row r="19" spans="1:9" x14ac:dyDescent="0.2">
      <c r="A19" s="124">
        <f>'RANKING ASUNTOS'!$A$14</f>
        <v>10</v>
      </c>
      <c r="B19" s="137" t="str">
        <f>'RANKING ASUNTOS'!$B$14</f>
        <v>¡Ofertas Exclusivas! Solo para nuestra comunidad VIP</v>
      </c>
      <c r="C19" s="130" t="str">
        <f>IFERROR(INDEX('DATOS LIMPIOS'!$AT$5:$AT$493,MATCH(B19,'DATOS LIMPIOS'!$E$5:$E$493,0)),"")</f>
        <v>Otro: beneficio o novedad</v>
      </c>
      <c r="D19" s="124">
        <f>'RANKING ASUNTOS'!$F$14</f>
        <v>22</v>
      </c>
      <c r="E19" s="156">
        <f>'RANKING ASUNTOS'!$G$14</f>
        <v>33.047230763392903</v>
      </c>
      <c r="F19" s="157">
        <f>'RANKING ASUNTOS'!$H$14</f>
        <v>8.8191240837739802</v>
      </c>
      <c r="G19" s="158">
        <f t="shared" si="0"/>
        <v>3.8606171548292814</v>
      </c>
      <c r="H19" s="136" t="str">
        <f t="shared" si="1"/>
        <v>REPETIR</v>
      </c>
      <c r="I19" s="159" t="str">
        <f>IFERROR(INDEX('DATOS LIMPIOS'!$AH$5:$AH$493,MATCH(B19,'DATOS LIMPIOS'!$E$5:$E$493,0)),"")</f>
        <v>No</v>
      </c>
    </row>
    <row r="20" spans="1:9" x14ac:dyDescent="0.2">
      <c r="A20" s="124">
        <f>'RANKING ASUNTOS'!$A$15</f>
        <v>11</v>
      </c>
      <c r="B20" s="137" t="str">
        <f>'RANKING ASUNTOS'!$B$15</f>
        <v>¡Lo nuevo de L'Oréal! Te va a encantar: innovación en belleza</v>
      </c>
      <c r="C20" s="130" t="str">
        <f>IFERROR(INDEX('DATOS LIMPIOS'!$AT$5:$AT$493,MATCH(B20,'DATOS LIMPIOS'!$E$5:$E$493,0)),"")</f>
        <v>Otro: beneficio o novedad</v>
      </c>
      <c r="D20" s="124">
        <f>'RANKING ASUNTOS'!$F$15</f>
        <v>22</v>
      </c>
      <c r="E20" s="156">
        <f>'RANKING ASUNTOS'!$G$15</f>
        <v>30.936882341686701</v>
      </c>
      <c r="F20" s="157">
        <f>'RANKING ASUNTOS'!$H$15</f>
        <v>11.9436385097718</v>
      </c>
      <c r="G20" s="158">
        <f t="shared" si="0"/>
        <v>1.7502687331230788</v>
      </c>
      <c r="H20" s="136" t="str">
        <f t="shared" si="1"/>
        <v>REPETIR</v>
      </c>
      <c r="I20" s="159" t="str">
        <f>IFERROR(INDEX('DATOS LIMPIOS'!$AH$5:$AH$493,MATCH(B20,'DATOS LIMPIOS'!$E$5:$E$493,0)),"")</f>
        <v>No</v>
      </c>
    </row>
    <row r="21" spans="1:9" x14ac:dyDescent="0.2">
      <c r="A21" s="124">
        <f>'RANKING ASUNTOS'!$A$16</f>
        <v>12</v>
      </c>
      <c r="B21" s="137" t="str">
        <f>'RANKING ASUNTOS'!$B$16</f>
        <v>¡Celebra con nosotros! Descuentos festivos para regalar</v>
      </c>
      <c r="C21" s="130" t="str">
        <f>IFERROR(INDEX('DATOS LIMPIOS'!$AT$5:$AT$493,MATCH(B21,'DATOS LIMPIOS'!$E$5:$E$493,0)),"")</f>
        <v>Otro: beneficio o novedad</v>
      </c>
      <c r="D21" s="124">
        <f>'RANKING ASUNTOS'!$F$16</f>
        <v>20</v>
      </c>
      <c r="E21" s="156">
        <f>'RANKING ASUNTOS'!$G$16</f>
        <v>29.233022524782999</v>
      </c>
      <c r="F21" s="157">
        <f>'RANKING ASUNTOS'!$H$16</f>
        <v>7.9784637705697303</v>
      </c>
      <c r="G21" s="158">
        <f t="shared" si="0"/>
        <v>4.6408916219377261E-2</v>
      </c>
      <c r="H21" s="136" t="str">
        <f t="shared" si="1"/>
        <v>REPETIR</v>
      </c>
      <c r="I21" s="159" t="str">
        <f>IFERROR(INDEX('DATOS LIMPIOS'!$AH$5:$AH$493,MATCH(B21,'DATOS LIMPIOS'!$E$5:$E$493,0)),"")</f>
        <v>No</v>
      </c>
    </row>
    <row r="22" spans="1:9" x14ac:dyDescent="0.2">
      <c r="A22" s="124">
        <f>'RANKING ASUNTOS'!$A$17</f>
        <v>13</v>
      </c>
      <c r="B22" s="137" t="str">
        <f>'RANKING ASUNTOS'!$B$17</f>
        <v>Presentamos: Nuestro último lanzamiento de belleza ¡Imperdible!</v>
      </c>
      <c r="C22" s="130" t="str">
        <f>IFERROR(INDEX('DATOS LIMPIOS'!$AT$5:$AT$493,MATCH(B22,'DATOS LIMPIOS'!$E$5:$E$493,0)),"")</f>
        <v>Otro: beneficio o novedad</v>
      </c>
      <c r="D22" s="124">
        <f>'RANKING ASUNTOS'!$F$17</f>
        <v>33</v>
      </c>
      <c r="E22" s="156">
        <f>'RANKING ASUNTOS'!$G$17</f>
        <v>23.315840784070001</v>
      </c>
      <c r="F22" s="157">
        <f>'RANKING ASUNTOS'!$H$17</f>
        <v>8.3866728214971804</v>
      </c>
      <c r="G22" s="158">
        <f t="shared" si="0"/>
        <v>-5.8707728244936206</v>
      </c>
      <c r="H22" s="136" t="str">
        <f t="shared" si="1"/>
        <v>RETIRAR</v>
      </c>
      <c r="I22" s="159" t="str">
        <f>IFERROR(INDEX('DATOS LIMPIOS'!$AH$5:$AH$493,MATCH(B22,'DATOS LIMPIOS'!$E$5:$E$493,0)),"")</f>
        <v>Sí</v>
      </c>
    </row>
    <row r="23" spans="1:9" x14ac:dyDescent="0.2">
      <c r="A23" s="124">
        <f>'RANKING ASUNTOS'!$A$18</f>
        <v>14</v>
      </c>
      <c r="B23" s="137" t="str">
        <f>'RANKING ASUNTOS'!$B$18</f>
        <v>Tu dosis semanal de belleza: Novedades y tips</v>
      </c>
      <c r="C23" s="130" t="str">
        <f>IFERROR(INDEX('DATOS LIMPIOS'!$AT$5:$AT$493,MATCH(B23,'DATOS LIMPIOS'!$E$5:$E$493,0)),"")</f>
        <v>Otro: beneficio o novedad</v>
      </c>
      <c r="D23" s="124">
        <f>'RANKING ASUNTOS'!$F$18</f>
        <v>22</v>
      </c>
      <c r="E23" s="156">
        <f>'RANKING ASUNTOS'!$G$18</f>
        <v>22.8912938254356</v>
      </c>
      <c r="F23" s="157">
        <f>'RANKING ASUNTOS'!$H$18</f>
        <v>8.9502193048585195</v>
      </c>
      <c r="G23" s="158">
        <f t="shared" si="0"/>
        <v>-6.2953197831280221</v>
      </c>
      <c r="H23" s="136" t="str">
        <f t="shared" si="1"/>
        <v>RETIRAR</v>
      </c>
      <c r="I23" s="159" t="str">
        <f>IFERROR(INDEX('DATOS LIMPIOS'!$AH$5:$AH$493,MATCH(B23,'DATOS LIMPIOS'!$E$5:$E$493,0)),"")</f>
        <v>No</v>
      </c>
    </row>
    <row r="24" spans="1:9" x14ac:dyDescent="0.2">
      <c r="A24" s="124">
        <f>'RANKING ASUNTOS'!$A$19</f>
        <v>15</v>
      </c>
      <c r="B24" s="137" t="str">
        <f>'RANKING ASUNTOS'!$B$19</f>
        <v>¡Aprovecha antes de que se acabe! Oferta Flash, productos top</v>
      </c>
      <c r="C24" s="130" t="str">
        <f>IFERROR(INDEX('DATOS LIMPIOS'!$AT$5:$AT$493,MATCH(B24,'DATOS LIMPIOS'!$E$5:$E$493,0)),"")</f>
        <v>Solo urgencia, sin cifra</v>
      </c>
      <c r="D24" s="124">
        <f>'RANKING ASUNTOS'!$F$19</f>
        <v>20</v>
      </c>
      <c r="E24" s="156">
        <f>'RANKING ASUNTOS'!$G$19</f>
        <v>22.775066640377801</v>
      </c>
      <c r="F24" s="157">
        <f>'RANKING ASUNTOS'!$H$19</f>
        <v>7.6719520838611004</v>
      </c>
      <c r="G24" s="158">
        <f t="shared" si="0"/>
        <v>-6.4115469681858208</v>
      </c>
      <c r="H24" s="136" t="str">
        <f t="shared" si="1"/>
        <v>RETIRAR</v>
      </c>
      <c r="I24" s="159" t="str">
        <f>IFERROR(INDEX('DATOS LIMPIOS'!$AH$5:$AH$493,MATCH(B24,'DATOS LIMPIOS'!$E$5:$E$493,0)),"")</f>
        <v>No</v>
      </c>
    </row>
    <row r="25" spans="1:9" x14ac:dyDescent="0.2">
      <c r="A25" s="124">
        <f>'RANKING ASUNTOS'!$A$20</f>
        <v>16</v>
      </c>
      <c r="B25" s="137" t="str">
        <f>'RANKING ASUNTOS'!$B$20</f>
        <v>¡Ofertas de Temporada! Listas para ti, regalos perfectos</v>
      </c>
      <c r="C25" s="130" t="str">
        <f>IFERROR(INDEX('DATOS LIMPIOS'!$AT$5:$AT$493,MATCH(B25,'DATOS LIMPIOS'!$E$5:$E$493,0)),"")</f>
        <v>Recompensa o sorpresa</v>
      </c>
      <c r="D25" s="124">
        <f>'RANKING ASUNTOS'!$F$20</f>
        <v>10</v>
      </c>
      <c r="E25" s="156">
        <f>'RANKING ASUNTOS'!$G$20</f>
        <v>21.434915192428001</v>
      </c>
      <c r="F25" s="157">
        <f>'RANKING ASUNTOS'!$H$20</f>
        <v>7.2719368394638604</v>
      </c>
      <c r="G25" s="158">
        <f t="shared" si="0"/>
        <v>-7.7516984161356213</v>
      </c>
      <c r="H25" s="136" t="str">
        <f t="shared" si="1"/>
        <v>RETIRAR</v>
      </c>
      <c r="I25" s="159" t="str">
        <f>IFERROR(INDEX('DATOS LIMPIOS'!$AH$5:$AH$493,MATCH(B25,'DATOS LIMPIOS'!$E$5:$E$493,0)),"")</f>
        <v>Sí</v>
      </c>
    </row>
    <row r="26" spans="1:9" x14ac:dyDescent="0.2">
      <c r="A26" s="124">
        <f>'RANKING ASUNTOS'!$A$21</f>
        <v>17</v>
      </c>
      <c r="B26" s="137" t="str">
        <f>'RANKING ASUNTOS'!$B$21</f>
        <v>¡Exclusivo para nuestros clientes VIP! Acceso limitado</v>
      </c>
      <c r="C26" s="130" t="str">
        <f>IFERROR(INDEX('DATOS LIMPIOS'!$AT$5:$AT$493,MATCH(B26,'DATOS LIMPIOS'!$E$5:$E$493,0)),"")</f>
        <v>Otro: beneficio o novedad</v>
      </c>
      <c r="D26" s="124">
        <f>'RANKING ASUNTOS'!$F$21</f>
        <v>8</v>
      </c>
      <c r="E26" s="156">
        <f>'RANKING ASUNTOS'!$G$21</f>
        <v>21.363100647493699</v>
      </c>
      <c r="F26" s="157">
        <f>'RANKING ASUNTOS'!$H$21</f>
        <v>7.2412428235406798</v>
      </c>
      <c r="G26" s="158">
        <f t="shared" si="0"/>
        <v>-7.8235129610699232</v>
      </c>
      <c r="H26" s="136" t="str">
        <f t="shared" si="1"/>
        <v>RETIRAR</v>
      </c>
      <c r="I26" s="159" t="str">
        <f>IFERROR(INDEX('DATOS LIMPIOS'!$AH$5:$AH$493,MATCH(B26,'DATOS LIMPIOS'!$E$5:$E$493,0)),"")</f>
        <v>No</v>
      </c>
    </row>
    <row r="27" spans="1:9" x14ac:dyDescent="0.2">
      <c r="A27" s="124">
        <f>'RANKING ASUNTOS'!$A$22</f>
        <v>18</v>
      </c>
      <c r="B27" s="137" t="str">
        <f>'RANKING ASUNTOS'!$B$22</f>
        <v>¡Un pequeño detalle para agradecerte tu lealtad! L'Oréal</v>
      </c>
      <c r="C27" s="130" t="str">
        <f>IFERROR(INDEX('DATOS LIMPIOS'!$AT$5:$AT$493,MATCH(B27,'DATOS LIMPIOS'!$E$5:$E$493,0)),"")</f>
        <v>Recompensa o sorpresa</v>
      </c>
      <c r="D27" s="124">
        <f>'RANKING ASUNTOS'!$F$22</f>
        <v>14</v>
      </c>
      <c r="E27" s="156">
        <f>'RANKING ASUNTOS'!$G$22</f>
        <v>20.724631699294999</v>
      </c>
      <c r="F27" s="157">
        <f>'RANKING ASUNTOS'!$H$22</f>
        <v>7.8195809033385801</v>
      </c>
      <c r="G27" s="158">
        <f t="shared" si="0"/>
        <v>-8.4619819092686228</v>
      </c>
      <c r="H27" s="136" t="str">
        <f t="shared" si="1"/>
        <v>RETIRAR</v>
      </c>
      <c r="I27" s="159" t="str">
        <f>IFERROR(INDEX('DATOS LIMPIOS'!$AH$5:$AH$493,MATCH(B27,'DATOS LIMPIOS'!$E$5:$E$493,0)),"")</f>
        <v>Sí</v>
      </c>
    </row>
    <row r="28" spans="1:9" x14ac:dyDescent="0.2">
      <c r="A28" s="124">
        <f>'RANKING ASUNTOS'!$A$23</f>
        <v>19</v>
      </c>
      <c r="B28" s="137" t="str">
        <f>'RANKING ASUNTOS'!$B$23</f>
        <v>¡Oportunidad Única! Solo por hoy, tus favoritos a un clic</v>
      </c>
      <c r="C28" s="130" t="str">
        <f>IFERROR(INDEX('DATOS LIMPIOS'!$AT$5:$AT$493,MATCH(B28,'DATOS LIMPIOS'!$E$5:$E$493,0)),"")</f>
        <v>Solo urgencia, sin cifra</v>
      </c>
      <c r="D28" s="124">
        <f>'RANKING ASUNTOS'!$F$23</f>
        <v>11</v>
      </c>
      <c r="E28" s="156">
        <f>'RANKING ASUNTOS'!$G$23</f>
        <v>18.4286861862401</v>
      </c>
      <c r="F28" s="157">
        <f>'RANKING ASUNTOS'!$H$23</f>
        <v>7.0116974908304899</v>
      </c>
      <c r="G28" s="158">
        <f t="shared" si="0"/>
        <v>-10.757927422323522</v>
      </c>
      <c r="H28" s="136" t="str">
        <f t="shared" si="1"/>
        <v>RETIRAR</v>
      </c>
      <c r="I28" s="159" t="str">
        <f>IFERROR(INDEX('DATOS LIMPIOS'!$AH$5:$AH$493,MATCH(B28,'DATOS LIMPIOS'!$E$5:$E$493,0)),"")</f>
        <v>Sí</v>
      </c>
    </row>
    <row r="29" spans="1:9" x14ac:dyDescent="0.2">
      <c r="A29" s="124">
        <f>'RANKING ASUNTOS'!$A$24</f>
        <v>20</v>
      </c>
      <c r="B29" s="137" t="str">
        <f>'RANKING ASUNTOS'!$B$24</f>
        <v>¡Gran oferta! Por tiempo limitado, no te lo pierdas</v>
      </c>
      <c r="C29" s="130" t="str">
        <f>IFERROR(INDEX('DATOS LIMPIOS'!$AT$5:$AT$493,MATCH(B29,'DATOS LIMPIOS'!$E$5:$E$493,0)),"")</f>
        <v>Solo urgencia, sin cifra</v>
      </c>
      <c r="D29" s="124">
        <f>'RANKING ASUNTOS'!$F$24</f>
        <v>9</v>
      </c>
      <c r="E29" s="156">
        <f>'RANKING ASUNTOS'!$G$24</f>
        <v>17.395911943759799</v>
      </c>
      <c r="F29" s="157">
        <f>'RANKING ASUNTOS'!$H$24</f>
        <v>9.2938358042445</v>
      </c>
      <c r="G29" s="158">
        <f t="shared" si="0"/>
        <v>-11.790701664803823</v>
      </c>
      <c r="H29" s="136" t="str">
        <f t="shared" si="1"/>
        <v>RETIRAR</v>
      </c>
      <c r="I29" s="159" t="str">
        <f>IFERROR(INDEX('DATOS LIMPIOS'!$AH$5:$AH$493,MATCH(B29,'DATOS LIMPIOS'!$E$5:$E$493,0)),"")</f>
        <v>Sí</v>
      </c>
    </row>
    <row r="30" spans="1:9" x14ac:dyDescent="0.2">
      <c r="A30" s="124">
        <f>'RANKING ASUNTOS'!$A$25</f>
        <v>21</v>
      </c>
      <c r="B30" s="137" t="str">
        <f>'RANKING ASUNTOS'!$B$25</f>
        <v>Actualización de L'Oréal: ¿Qué hay de nuevo en el mundo beauty?</v>
      </c>
      <c r="C30" s="130" t="str">
        <f>IFERROR(INDEX('DATOS LIMPIOS'!$AT$5:$AT$493,MATCH(B30,'DATOS LIMPIOS'!$E$5:$E$493,0)),"")</f>
        <v>Pregunta abierta</v>
      </c>
      <c r="D30" s="124">
        <f>'RANKING ASUNTOS'!$F$25</f>
        <v>10</v>
      </c>
      <c r="E30" s="156">
        <f>'RANKING ASUNTOS'!$G$25</f>
        <v>15.9082135397306</v>
      </c>
      <c r="F30" s="157">
        <f>'RANKING ASUNTOS'!$H$25</f>
        <v>8.08965498759658</v>
      </c>
      <c r="G30" s="158">
        <f t="shared" si="0"/>
        <v>-13.278400068833022</v>
      </c>
      <c r="H30" s="136" t="str">
        <f t="shared" si="1"/>
        <v>RETIRAR</v>
      </c>
      <c r="I30" s="159" t="str">
        <f>IFERROR(INDEX('DATOS LIMPIOS'!$AH$5:$AH$493,MATCH(B30,'DATOS LIMPIOS'!$E$5:$E$493,0)),"")</f>
        <v>Sí</v>
      </c>
    </row>
    <row r="31" spans="1:9" x14ac:dyDescent="0.2">
      <c r="A31" s="124">
        <f>'RANKING ASUNTOS'!$A$26</f>
        <v>22</v>
      </c>
      <c r="B31" s="137" t="str">
        <f>'RANKING ASUNTOS'!$B$26</f>
        <v>¡Oportunidades de ahorro! Descúbrelas, solo para ti</v>
      </c>
      <c r="C31" s="130" t="str">
        <f>IFERROR(INDEX('DATOS LIMPIOS'!$AT$5:$AT$493,MATCH(B31,'DATOS LIMPIOS'!$E$5:$E$493,0)),"")</f>
        <v>Recompensa o sorpresa</v>
      </c>
      <c r="D31" s="124">
        <f>'RANKING ASUNTOS'!$F$26</f>
        <v>8</v>
      </c>
      <c r="E31" s="156">
        <f>'RANKING ASUNTOS'!$G$26</f>
        <v>10.7172110217459</v>
      </c>
      <c r="F31" s="157">
        <f>'RANKING ASUNTOS'!$H$26</f>
        <v>7.8528886139407801</v>
      </c>
      <c r="G31" s="158">
        <f t="shared" si="0"/>
        <v>-18.469402586817722</v>
      </c>
      <c r="H31" s="136" t="str">
        <f t="shared" si="1"/>
        <v>RETIRAR</v>
      </c>
      <c r="I31" s="159" t="str">
        <f>IFERROR(INDEX('DATOS LIMPIOS'!$AH$5:$AH$493,MATCH(B31,'DATOS LIMPIOS'!$E$5:$E$493,0)),"")</f>
        <v>Sí</v>
      </c>
    </row>
    <row r="33" spans="1:9" ht="14" customHeight="1" x14ac:dyDescent="0.2">
      <c r="A33" s="2" t="s">
        <v>1639</v>
      </c>
      <c r="B33" s="3"/>
      <c r="C33" s="3"/>
      <c r="D33" s="3"/>
      <c r="E33" s="3"/>
      <c r="F33" s="3"/>
      <c r="G33" s="3"/>
      <c r="H33" s="3"/>
      <c r="I33" s="3"/>
    </row>
    <row r="34" spans="1:9" ht="19" x14ac:dyDescent="0.2">
      <c r="A34" s="143" t="s">
        <v>1640</v>
      </c>
      <c r="D34" s="160">
        <f>COUNTIF($H$10:$H$31,"REPETIR")</f>
        <v>12</v>
      </c>
    </row>
    <row r="35" spans="1:9" ht="19" x14ac:dyDescent="0.2">
      <c r="A35" s="143" t="s">
        <v>1641</v>
      </c>
      <c r="D35" s="161">
        <f>COUNTIF($H$10:$H$31,"RETIRAR")</f>
        <v>10</v>
      </c>
    </row>
    <row r="36" spans="1:9" ht="19" x14ac:dyDescent="0.2">
      <c r="A36" s="143" t="s">
        <v>1642</v>
      </c>
      <c r="D36" s="161">
        <f>COUNTIFS($H$10:$H$31,"RETIRAR",$I$10:$I$31,"Sí")</f>
        <v>7</v>
      </c>
    </row>
    <row r="38" spans="1:9" ht="42" customHeight="1" x14ac:dyDescent="0.2">
      <c r="A38" s="189" t="s">
        <v>1643</v>
      </c>
      <c r="B38" s="166"/>
      <c r="C38" s="166"/>
      <c r="D38" s="166"/>
      <c r="E38" s="166"/>
      <c r="F38" s="166"/>
      <c r="G38" s="166"/>
      <c r="H38" s="166"/>
      <c r="I38" s="166"/>
    </row>
  </sheetData>
  <mergeCells count="5">
    <mergeCell ref="A33:I33"/>
    <mergeCell ref="A2:I2"/>
    <mergeCell ref="A1:I1"/>
    <mergeCell ref="A4:I4"/>
    <mergeCell ref="A38:I38"/>
  </mergeCells>
  <pageMargins left="0.75" right="0.75" top="1" bottom="1" header="0.5" footer="0.5"/>
  <pageSetup fitToHeight="0" orientation="landscape"/>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4" baseType="variant">
      <vt:variant>
        <vt:lpstr>Worksheets</vt:lpstr>
      </vt:variant>
      <vt:variant>
        <vt:i4>20</vt:i4>
      </vt:variant>
      <vt:variant>
        <vt:lpstr>Named Ranges</vt:lpstr>
      </vt:variant>
      <vt:variant>
        <vt:i4>5</vt:i4>
      </vt:variant>
    </vt:vector>
  </HeadingPairs>
  <TitlesOfParts>
    <vt:vector size="25" baseType="lpstr">
      <vt:lpstr>LÉEME</vt:lpstr>
      <vt:lpstr>TABLERO PRO</vt:lpstr>
      <vt:lpstr>PRUEBA DE ROBUSTEZ</vt:lpstr>
      <vt:lpstr>TABLERO</vt:lpstr>
      <vt:lpstr>HALLAZGOS</vt:lpstr>
      <vt:lpstr>H0 DATOS</vt:lpstr>
      <vt:lpstr>H1 CALENDARIO</vt:lpstr>
      <vt:lpstr>H2 CAMPAÑA</vt:lpstr>
      <vt:lpstr>H3 ASUNTO</vt:lpstr>
      <vt:lpstr>H4 TEMÁTICA HOT SALE</vt:lpstr>
      <vt:lpstr>RANKING ASUNTOS</vt:lpstr>
      <vt:lpstr>PROYECCIÓN COP</vt:lpstr>
      <vt:lpstr>PRUEBA AB</vt:lpstr>
      <vt:lpstr>FÓRMULAS Y VERIFICACIÓN</vt:lpstr>
      <vt:lpstr>DATOS LIMPIOS</vt:lpstr>
      <vt:lpstr>FILAS EXCLUIDAS</vt:lpstr>
      <vt:lpstr>_datos_graficos</vt:lpstr>
      <vt:lpstr>_calculos</vt:lpstr>
      <vt:lpstr>DESCUENTO ÓPTIMO</vt:lpstr>
      <vt:lpstr>BIBLIOTECA ASUNTOS</vt:lpstr>
      <vt:lpstr>'BIBLIOTECA ASUNTOS'!Print_Area</vt:lpstr>
      <vt:lpstr>'DESCUENTO ÓPTIMO'!Print_Area</vt:lpstr>
      <vt:lpstr>LÉEME!Print_Area</vt:lpstr>
      <vt:lpstr>'PRUEBA DE ROBUSTEZ'!Print_Area</vt:lpstr>
      <vt:lpstr>'TABLERO PRO'!Print_Area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Jose Martinez</cp:lastModifiedBy>
  <cp:revision>2</cp:revision>
  <dcterms:created xsi:type="dcterms:W3CDTF">2026-10-20T01:16:48Z</dcterms:created>
  <dcterms:modified xsi:type="dcterms:W3CDTF">2026-10-22T08:36:00Z</dcterms:modified>
  <dc:language>en-US</dc:language>
</cp:coreProperties>
</file>